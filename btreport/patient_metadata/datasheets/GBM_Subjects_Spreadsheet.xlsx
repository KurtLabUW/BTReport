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dicksontchen/Desktop/gbm_ml_mls/"/>
    </mc:Choice>
  </mc:AlternateContent>
  <xr:revisionPtr revIDLastSave="0" documentId="13_ncr:1_{EF850205-2398-DE4D-A6F2-3C4AF8829BAB}" xr6:coauthVersionLast="47" xr6:coauthVersionMax="47" xr10:uidLastSave="{00000000-0000-0000-0000-000000000000}"/>
  <bookViews>
    <workbookView xWindow="0" yWindow="620" windowWidth="51200" windowHeight="40720" xr2:uid="{00000000-000D-0000-FFFF-FFFF00000000}"/>
  </bookViews>
  <sheets>
    <sheet name="IMAGING-DATA" sheetId="1" r:id="rId1"/>
    <sheet name="Results" sheetId="2" r:id="rId2"/>
    <sheet name="Updated_results" sheetId="3" r:id="rId3"/>
    <sheet name="Results_Kfold" sheetId="4" r:id="rId4"/>
    <sheet name="Sheet9" sheetId="5" r:id="rId5"/>
    <sheet name="IMAGING-DATA(Aggregated_radiomi" sheetId="6" r:id="rId6"/>
    <sheet name="CLINICAL-RAW-DATA-FINAL" sheetId="7" r:id="rId7"/>
    <sheet name="TESTING - CLINICAL-RAW-DATA-FIN" sheetId="8" r:id="rId8"/>
    <sheet name="test" sheetId="9" r:id="rId9"/>
    <sheet name="RAW-UNFILTERED"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0" i="8" l="1"/>
  <c r="E259" i="8"/>
  <c r="E258" i="8"/>
  <c r="E257" i="8"/>
  <c r="E256" i="8"/>
  <c r="E255" i="8"/>
  <c r="E254" i="8"/>
  <c r="E253" i="8"/>
  <c r="E252" i="8"/>
  <c r="E251" i="8"/>
  <c r="E250" i="8"/>
  <c r="E260" i="7"/>
  <c r="E259" i="7"/>
  <c r="E258" i="7"/>
  <c r="E257" i="7"/>
  <c r="E256" i="7"/>
  <c r="E255" i="7"/>
  <c r="E254" i="7"/>
  <c r="E253" i="7"/>
  <c r="E252" i="7"/>
  <c r="E251" i="7"/>
  <c r="E250" i="7"/>
  <c r="H462" i="6"/>
  <c r="K462" i="6" s="1"/>
  <c r="H461" i="6"/>
  <c r="K461" i="6" s="1"/>
  <c r="H460" i="6"/>
  <c r="K460" i="6" s="1"/>
  <c r="H459" i="6"/>
  <c r="K459" i="6" s="1"/>
  <c r="H458" i="6"/>
  <c r="K458" i="6" s="1"/>
  <c r="H457" i="6"/>
  <c r="K457" i="6" s="1"/>
  <c r="H456" i="6"/>
  <c r="K456" i="6" s="1"/>
  <c r="H455" i="6"/>
  <c r="K455" i="6" s="1"/>
  <c r="H454" i="6"/>
  <c r="K454" i="6" s="1"/>
  <c r="H453" i="6"/>
  <c r="K453" i="6" s="1"/>
  <c r="H452" i="6"/>
  <c r="K452" i="6" s="1"/>
  <c r="H451" i="6"/>
  <c r="K451" i="6" s="1"/>
  <c r="H450" i="6"/>
  <c r="K450" i="6" s="1"/>
  <c r="H449" i="6"/>
  <c r="K449" i="6" s="1"/>
  <c r="H448" i="6"/>
  <c r="K448" i="6" s="1"/>
  <c r="K447" i="6"/>
  <c r="H447" i="6"/>
  <c r="H446" i="6"/>
  <c r="K446" i="6" s="1"/>
  <c r="H445" i="6"/>
  <c r="K445" i="6" s="1"/>
  <c r="H444" i="6"/>
  <c r="K444" i="6" s="1"/>
  <c r="H443" i="6"/>
  <c r="K443" i="6" s="1"/>
  <c r="H442" i="6"/>
  <c r="K442" i="6" s="1"/>
  <c r="H441" i="6"/>
  <c r="K441" i="6" s="1"/>
  <c r="H440" i="6"/>
  <c r="K440" i="6" s="1"/>
  <c r="H439" i="6"/>
  <c r="K439" i="6" s="1"/>
  <c r="H438" i="6"/>
  <c r="K438" i="6" s="1"/>
  <c r="H437" i="6"/>
  <c r="K437" i="6" s="1"/>
  <c r="H436" i="6"/>
  <c r="K436" i="6" s="1"/>
  <c r="H435" i="6"/>
  <c r="K435" i="6" s="1"/>
  <c r="H434" i="6"/>
  <c r="K434" i="6" s="1"/>
  <c r="H433" i="6"/>
  <c r="K433" i="6" s="1"/>
  <c r="H432" i="6"/>
  <c r="K432" i="6" s="1"/>
  <c r="H431" i="6"/>
  <c r="K431" i="6" s="1"/>
  <c r="H430" i="6"/>
  <c r="K430" i="6" s="1"/>
  <c r="H429" i="6"/>
  <c r="K429" i="6" s="1"/>
  <c r="H428" i="6"/>
  <c r="K428" i="6" s="1"/>
  <c r="H427" i="6"/>
  <c r="K427" i="6" s="1"/>
  <c r="H426" i="6"/>
  <c r="K426" i="6" s="1"/>
  <c r="H425" i="6"/>
  <c r="K425" i="6" s="1"/>
  <c r="H424" i="6"/>
  <c r="K424" i="6" s="1"/>
  <c r="H423" i="6"/>
  <c r="K423" i="6" s="1"/>
  <c r="H422" i="6"/>
  <c r="K422" i="6" s="1"/>
  <c r="H421" i="6"/>
  <c r="K421" i="6" s="1"/>
  <c r="H420" i="6"/>
  <c r="K420" i="6" s="1"/>
  <c r="H419" i="6"/>
  <c r="K419" i="6" s="1"/>
  <c r="H418" i="6"/>
  <c r="K418" i="6" s="1"/>
  <c r="H417" i="6"/>
  <c r="K417" i="6" s="1"/>
  <c r="H416" i="6"/>
  <c r="K416" i="6" s="1"/>
  <c r="H415" i="6"/>
  <c r="K415" i="6" s="1"/>
  <c r="H414" i="6"/>
  <c r="K414" i="6" s="1"/>
  <c r="H413" i="6"/>
  <c r="K413" i="6" s="1"/>
  <c r="H412" i="6"/>
  <c r="K412" i="6" s="1"/>
  <c r="H411" i="6"/>
  <c r="K411" i="6" s="1"/>
  <c r="H410" i="6"/>
  <c r="K410" i="6" s="1"/>
  <c r="H409" i="6"/>
  <c r="K409" i="6" s="1"/>
  <c r="H408" i="6"/>
  <c r="K408" i="6" s="1"/>
  <c r="H407" i="6"/>
  <c r="K407" i="6" s="1"/>
  <c r="H406" i="6"/>
  <c r="K406" i="6" s="1"/>
  <c r="H405" i="6"/>
  <c r="K405" i="6" s="1"/>
  <c r="H404" i="6"/>
  <c r="K404" i="6" s="1"/>
  <c r="H403" i="6"/>
  <c r="K403" i="6" s="1"/>
  <c r="H402" i="6"/>
  <c r="K402" i="6" s="1"/>
  <c r="H401" i="6"/>
  <c r="K401" i="6" s="1"/>
  <c r="H400" i="6"/>
  <c r="K400" i="6" s="1"/>
  <c r="H399" i="6"/>
  <c r="K399" i="6" s="1"/>
  <c r="H398" i="6"/>
  <c r="K398" i="6" s="1"/>
  <c r="H397" i="6"/>
  <c r="K397" i="6" s="1"/>
  <c r="H396" i="6"/>
  <c r="K396" i="6" s="1"/>
  <c r="H395" i="6"/>
  <c r="K395" i="6" s="1"/>
  <c r="H394" i="6"/>
  <c r="K394" i="6" s="1"/>
  <c r="H393" i="6"/>
  <c r="K393" i="6" s="1"/>
  <c r="H392" i="6"/>
  <c r="K392" i="6" s="1"/>
  <c r="H391" i="6"/>
  <c r="K391" i="6" s="1"/>
  <c r="H390" i="6"/>
  <c r="K390" i="6" s="1"/>
  <c r="H389" i="6"/>
  <c r="K389" i="6" s="1"/>
  <c r="H388" i="6"/>
  <c r="K388" i="6" s="1"/>
  <c r="H387" i="6"/>
  <c r="K387" i="6" s="1"/>
  <c r="H386" i="6"/>
  <c r="K386" i="6" s="1"/>
  <c r="H385" i="6"/>
  <c r="K385" i="6" s="1"/>
  <c r="H384" i="6"/>
  <c r="K384" i="6" s="1"/>
  <c r="H383" i="6"/>
  <c r="K383" i="6" s="1"/>
  <c r="H382" i="6"/>
  <c r="K382" i="6" s="1"/>
  <c r="H381" i="6"/>
  <c r="K381" i="6" s="1"/>
  <c r="H380" i="6"/>
  <c r="K380" i="6" s="1"/>
  <c r="H379" i="6"/>
  <c r="K379" i="6" s="1"/>
  <c r="H378" i="6"/>
  <c r="K378" i="6" s="1"/>
  <c r="H377" i="6"/>
  <c r="K377" i="6" s="1"/>
  <c r="H376" i="6"/>
  <c r="K376" i="6" s="1"/>
  <c r="H375" i="6"/>
  <c r="K375" i="6" s="1"/>
  <c r="H374" i="6"/>
  <c r="K374" i="6" s="1"/>
  <c r="H373" i="6"/>
  <c r="K373" i="6" s="1"/>
  <c r="H372" i="6"/>
  <c r="K372" i="6" s="1"/>
  <c r="H371" i="6"/>
  <c r="K371" i="6" s="1"/>
  <c r="H370" i="6"/>
  <c r="K370" i="6" s="1"/>
  <c r="H369" i="6"/>
  <c r="K369" i="6" s="1"/>
  <c r="H368" i="6"/>
  <c r="K368" i="6" s="1"/>
  <c r="H367" i="6"/>
  <c r="K367" i="6" s="1"/>
  <c r="K366" i="6"/>
  <c r="H366" i="6"/>
  <c r="H365" i="6"/>
  <c r="K365" i="6" s="1"/>
  <c r="H364" i="6"/>
  <c r="K364" i="6" s="1"/>
  <c r="H363" i="6"/>
  <c r="K363" i="6" s="1"/>
  <c r="H362" i="6"/>
  <c r="K362" i="6" s="1"/>
  <c r="H361" i="6"/>
  <c r="K361" i="6" s="1"/>
  <c r="H360" i="6"/>
  <c r="K360" i="6" s="1"/>
  <c r="H359" i="6"/>
  <c r="K359" i="6" s="1"/>
  <c r="H358" i="6"/>
  <c r="K358" i="6" s="1"/>
  <c r="H357" i="6"/>
  <c r="K357" i="6" s="1"/>
  <c r="H356" i="6"/>
  <c r="K356" i="6" s="1"/>
  <c r="H355" i="6"/>
  <c r="K355" i="6" s="1"/>
  <c r="H354" i="6"/>
  <c r="K354" i="6" s="1"/>
  <c r="H353" i="6"/>
  <c r="K353" i="6" s="1"/>
  <c r="H352" i="6"/>
  <c r="K352" i="6" s="1"/>
  <c r="H351" i="6"/>
  <c r="K351" i="6" s="1"/>
  <c r="H350" i="6"/>
  <c r="K350" i="6" s="1"/>
  <c r="H349" i="6"/>
  <c r="K349" i="6" s="1"/>
  <c r="H348" i="6"/>
  <c r="K348" i="6" s="1"/>
  <c r="H347" i="6"/>
  <c r="K347" i="6" s="1"/>
  <c r="H346" i="6"/>
  <c r="K346" i="6" s="1"/>
  <c r="K345" i="6"/>
  <c r="H345" i="6"/>
  <c r="H344" i="6"/>
  <c r="K344" i="6" s="1"/>
  <c r="H343" i="6"/>
  <c r="K343" i="6" s="1"/>
  <c r="H342" i="6"/>
  <c r="K342" i="6" s="1"/>
  <c r="H341" i="6"/>
  <c r="K341" i="6" s="1"/>
  <c r="H340" i="6"/>
  <c r="K340" i="6" s="1"/>
  <c r="H339" i="6"/>
  <c r="K339" i="6" s="1"/>
  <c r="H338" i="6"/>
  <c r="K338" i="6" s="1"/>
  <c r="H337" i="6"/>
  <c r="K337" i="6" s="1"/>
  <c r="H336" i="6"/>
  <c r="K336" i="6" s="1"/>
  <c r="H335" i="6"/>
  <c r="K335" i="6" s="1"/>
  <c r="H334" i="6"/>
  <c r="K334" i="6" s="1"/>
  <c r="H333" i="6"/>
  <c r="K333" i="6" s="1"/>
  <c r="H332" i="6"/>
  <c r="K332" i="6" s="1"/>
  <c r="H331" i="6"/>
  <c r="K331" i="6" s="1"/>
  <c r="H330" i="6"/>
  <c r="K330" i="6" s="1"/>
  <c r="K329" i="6"/>
  <c r="H329" i="6"/>
  <c r="H328" i="6"/>
  <c r="K328" i="6" s="1"/>
  <c r="H327" i="6"/>
  <c r="K327" i="6" s="1"/>
  <c r="H326" i="6"/>
  <c r="K326" i="6" s="1"/>
  <c r="H325" i="6"/>
  <c r="K325" i="6" s="1"/>
  <c r="H324" i="6"/>
  <c r="K324" i="6" s="1"/>
  <c r="H323" i="6"/>
  <c r="K323" i="6" s="1"/>
  <c r="H322" i="6"/>
  <c r="K322" i="6" s="1"/>
  <c r="H321" i="6"/>
  <c r="K321" i="6" s="1"/>
  <c r="H320" i="6"/>
  <c r="K320" i="6" s="1"/>
  <c r="H319" i="6"/>
  <c r="K319" i="6" s="1"/>
  <c r="H318" i="6"/>
  <c r="K318" i="6" s="1"/>
  <c r="H317" i="6"/>
  <c r="K317" i="6" s="1"/>
  <c r="H316" i="6"/>
  <c r="K316" i="6" s="1"/>
  <c r="K315" i="6"/>
  <c r="H315" i="6"/>
  <c r="H314" i="6"/>
  <c r="K314" i="6" s="1"/>
  <c r="K313" i="6"/>
  <c r="H313" i="6"/>
  <c r="H312" i="6"/>
  <c r="K312" i="6" s="1"/>
  <c r="H311" i="6"/>
  <c r="K311" i="6" s="1"/>
  <c r="H310" i="6"/>
  <c r="K310" i="6" s="1"/>
  <c r="H309" i="6"/>
  <c r="K309" i="6" s="1"/>
  <c r="K308" i="6"/>
  <c r="H308" i="6"/>
  <c r="H307" i="6"/>
  <c r="K307" i="6" s="1"/>
  <c r="H306" i="6"/>
  <c r="K306" i="6" s="1"/>
  <c r="H305" i="6"/>
  <c r="K305" i="6" s="1"/>
  <c r="H304" i="6"/>
  <c r="K304" i="6" s="1"/>
  <c r="H303" i="6"/>
  <c r="K303" i="6" s="1"/>
  <c r="K302" i="6"/>
  <c r="H302" i="6"/>
  <c r="H301" i="6"/>
  <c r="K301" i="6" s="1"/>
  <c r="H300" i="6"/>
  <c r="K300" i="6" s="1"/>
  <c r="K299" i="6"/>
  <c r="H299" i="6"/>
  <c r="H298" i="6"/>
  <c r="K298" i="6" s="1"/>
  <c r="H297" i="6"/>
  <c r="K297" i="6" s="1"/>
  <c r="H296" i="6"/>
  <c r="K296" i="6" s="1"/>
  <c r="H295" i="6"/>
  <c r="K295" i="6" s="1"/>
  <c r="H294" i="6"/>
  <c r="K294" i="6" s="1"/>
  <c r="H293" i="6"/>
  <c r="K293" i="6" s="1"/>
  <c r="H292" i="6"/>
  <c r="K292" i="6" s="1"/>
  <c r="H291" i="6"/>
  <c r="K291" i="6" s="1"/>
  <c r="H290" i="6"/>
  <c r="K290" i="6" s="1"/>
  <c r="H289" i="6"/>
  <c r="K289" i="6" s="1"/>
  <c r="H288" i="6"/>
  <c r="K288" i="6" s="1"/>
  <c r="H287" i="6"/>
  <c r="K287" i="6" s="1"/>
  <c r="H286" i="6"/>
  <c r="K286" i="6" s="1"/>
  <c r="H285" i="6"/>
  <c r="K285" i="6" s="1"/>
  <c r="H284" i="6"/>
  <c r="K284" i="6" s="1"/>
  <c r="H283" i="6"/>
  <c r="K283" i="6" s="1"/>
  <c r="H282" i="6"/>
  <c r="K282" i="6" s="1"/>
  <c r="H281" i="6"/>
  <c r="K281" i="6" s="1"/>
  <c r="H280" i="6"/>
  <c r="K280" i="6" s="1"/>
  <c r="H279" i="6"/>
  <c r="K279" i="6" s="1"/>
  <c r="H278" i="6"/>
  <c r="K278" i="6" s="1"/>
  <c r="H277" i="6"/>
  <c r="K277" i="6" s="1"/>
  <c r="H276" i="6"/>
  <c r="K276" i="6" s="1"/>
  <c r="H275" i="6"/>
  <c r="K275" i="6" s="1"/>
  <c r="H274" i="6"/>
  <c r="K274" i="6" s="1"/>
  <c r="H273" i="6"/>
  <c r="K273" i="6" s="1"/>
  <c r="H272" i="6"/>
  <c r="K272" i="6" s="1"/>
  <c r="H271" i="6"/>
  <c r="K271" i="6" s="1"/>
  <c r="H270" i="6"/>
  <c r="K270" i="6" s="1"/>
  <c r="H269" i="6"/>
  <c r="K269" i="6" s="1"/>
  <c r="H268" i="6"/>
  <c r="K268" i="6" s="1"/>
  <c r="H267" i="6"/>
  <c r="K267" i="6" s="1"/>
  <c r="H266" i="6"/>
  <c r="K266" i="6" s="1"/>
  <c r="H265" i="6"/>
  <c r="K265" i="6" s="1"/>
  <c r="H264" i="6"/>
  <c r="K264" i="6" s="1"/>
  <c r="H263" i="6"/>
  <c r="K263" i="6" s="1"/>
  <c r="H262" i="6"/>
  <c r="K262" i="6" s="1"/>
  <c r="H261" i="6"/>
  <c r="K261" i="6" s="1"/>
  <c r="H260" i="6"/>
  <c r="K260" i="6" s="1"/>
  <c r="H259" i="6"/>
  <c r="K259" i="6" s="1"/>
  <c r="H258" i="6"/>
  <c r="K258" i="6" s="1"/>
  <c r="H257" i="6"/>
  <c r="K257" i="6" s="1"/>
  <c r="H256" i="6"/>
  <c r="K256" i="6" s="1"/>
  <c r="H255" i="6"/>
  <c r="K255" i="6" s="1"/>
  <c r="H254" i="6"/>
  <c r="K254" i="6" s="1"/>
  <c r="H253" i="6"/>
  <c r="K253" i="6" s="1"/>
  <c r="H252" i="6"/>
  <c r="K252" i="6" s="1"/>
  <c r="H251" i="6"/>
  <c r="K251" i="6" s="1"/>
  <c r="H250" i="6"/>
  <c r="K250" i="6" s="1"/>
  <c r="H249" i="6"/>
  <c r="K249" i="6" s="1"/>
  <c r="H248" i="6"/>
  <c r="K248" i="6" s="1"/>
  <c r="H247" i="6"/>
  <c r="K247" i="6" s="1"/>
  <c r="H246" i="6"/>
  <c r="K246" i="6" s="1"/>
  <c r="H245" i="6"/>
  <c r="K245" i="6" s="1"/>
  <c r="H244" i="6"/>
  <c r="K244" i="6" s="1"/>
  <c r="H243" i="6"/>
  <c r="K243" i="6" s="1"/>
  <c r="H242" i="6"/>
  <c r="K242" i="6" s="1"/>
  <c r="H241" i="6"/>
  <c r="K241" i="6" s="1"/>
  <c r="H240" i="6"/>
  <c r="K240" i="6" s="1"/>
  <c r="H239" i="6"/>
  <c r="K239" i="6" s="1"/>
  <c r="H238" i="6"/>
  <c r="K238" i="6" s="1"/>
  <c r="H237" i="6"/>
  <c r="K237" i="6" s="1"/>
  <c r="H236" i="6"/>
  <c r="K236" i="6" s="1"/>
  <c r="H235" i="6"/>
  <c r="K235" i="6" s="1"/>
  <c r="H234" i="6"/>
  <c r="K234" i="6" s="1"/>
  <c r="H233" i="6"/>
  <c r="K233" i="6" s="1"/>
  <c r="H232" i="6"/>
  <c r="K232" i="6" s="1"/>
  <c r="H231" i="6"/>
  <c r="K231" i="6" s="1"/>
  <c r="H230" i="6"/>
  <c r="K230" i="6" s="1"/>
  <c r="H229" i="6"/>
  <c r="K229" i="6" s="1"/>
  <c r="H228" i="6"/>
  <c r="K228" i="6" s="1"/>
  <c r="H227" i="6"/>
  <c r="K227" i="6" s="1"/>
  <c r="H226" i="6"/>
  <c r="K226" i="6" s="1"/>
  <c r="H225" i="6"/>
  <c r="K225" i="6" s="1"/>
  <c r="H224" i="6"/>
  <c r="K224" i="6" s="1"/>
  <c r="H223" i="6"/>
  <c r="K223" i="6" s="1"/>
  <c r="H222" i="6"/>
  <c r="K222" i="6" s="1"/>
  <c r="H221" i="6"/>
  <c r="K221" i="6" s="1"/>
  <c r="H220" i="6"/>
  <c r="K220" i="6" s="1"/>
  <c r="H219" i="6"/>
  <c r="K219" i="6" s="1"/>
  <c r="H218" i="6"/>
  <c r="K218" i="6" s="1"/>
  <c r="H217" i="6"/>
  <c r="K217" i="6" s="1"/>
  <c r="H216" i="6"/>
  <c r="K216" i="6" s="1"/>
  <c r="H215" i="6"/>
  <c r="K215" i="6" s="1"/>
  <c r="H214" i="6"/>
  <c r="K214" i="6" s="1"/>
  <c r="H213" i="6"/>
  <c r="K213" i="6" s="1"/>
  <c r="H212" i="6"/>
  <c r="K212" i="6" s="1"/>
  <c r="H211" i="6"/>
  <c r="K211" i="6" s="1"/>
  <c r="H210" i="6"/>
  <c r="K210" i="6" s="1"/>
  <c r="H209" i="6"/>
  <c r="K209" i="6" s="1"/>
  <c r="H208" i="6"/>
  <c r="K208" i="6" s="1"/>
  <c r="H207" i="6"/>
  <c r="K207" i="6" s="1"/>
  <c r="H206" i="6"/>
  <c r="K206" i="6" s="1"/>
  <c r="H205" i="6"/>
  <c r="K205" i="6" s="1"/>
  <c r="H204" i="6"/>
  <c r="K204" i="6" s="1"/>
  <c r="H203" i="6"/>
  <c r="K203" i="6" s="1"/>
  <c r="H202" i="6"/>
  <c r="K202" i="6" s="1"/>
  <c r="H201" i="6"/>
  <c r="K201" i="6" s="1"/>
  <c r="H200" i="6"/>
  <c r="K200" i="6" s="1"/>
  <c r="H199" i="6"/>
  <c r="K199" i="6" s="1"/>
  <c r="H198" i="6"/>
  <c r="K198" i="6" s="1"/>
  <c r="H197" i="6"/>
  <c r="K197" i="6" s="1"/>
  <c r="H196" i="6"/>
  <c r="K196" i="6" s="1"/>
  <c r="H195" i="6"/>
  <c r="K195" i="6" s="1"/>
  <c r="H194" i="6"/>
  <c r="K194" i="6" s="1"/>
  <c r="H193" i="6"/>
  <c r="K193" i="6" s="1"/>
  <c r="H192" i="6"/>
  <c r="K192" i="6" s="1"/>
  <c r="H191" i="6"/>
  <c r="K191" i="6" s="1"/>
  <c r="H190" i="6"/>
  <c r="K190" i="6" s="1"/>
  <c r="H189" i="6"/>
  <c r="K189" i="6" s="1"/>
  <c r="H188" i="6"/>
  <c r="K188" i="6" s="1"/>
  <c r="H187" i="6"/>
  <c r="K187" i="6" s="1"/>
  <c r="K186" i="6"/>
  <c r="H186" i="6"/>
  <c r="H185" i="6"/>
  <c r="K185" i="6" s="1"/>
  <c r="H184" i="6"/>
  <c r="K184" i="6" s="1"/>
  <c r="H183" i="6"/>
  <c r="K183" i="6" s="1"/>
  <c r="K182" i="6"/>
  <c r="H182" i="6"/>
  <c r="H181" i="6"/>
  <c r="K181" i="6" s="1"/>
  <c r="H180" i="6"/>
  <c r="K180" i="6" s="1"/>
  <c r="H179" i="6"/>
  <c r="K179" i="6" s="1"/>
  <c r="H178" i="6"/>
  <c r="K178" i="6" s="1"/>
  <c r="H177" i="6"/>
  <c r="K177" i="6" s="1"/>
  <c r="H176" i="6"/>
  <c r="K176" i="6" s="1"/>
  <c r="H175" i="6"/>
  <c r="K175" i="6" s="1"/>
  <c r="H174" i="6"/>
  <c r="K174" i="6" s="1"/>
  <c r="H173" i="6"/>
  <c r="K173" i="6" s="1"/>
  <c r="H172" i="6"/>
  <c r="K172" i="6" s="1"/>
  <c r="H171" i="6"/>
  <c r="K171" i="6" s="1"/>
  <c r="H170" i="6"/>
  <c r="K170" i="6" s="1"/>
  <c r="H169" i="6"/>
  <c r="K169" i="6" s="1"/>
  <c r="H168" i="6"/>
  <c r="K168" i="6" s="1"/>
  <c r="H167" i="6"/>
  <c r="K167" i="6" s="1"/>
  <c r="H166" i="6"/>
  <c r="K166" i="6" s="1"/>
  <c r="H165" i="6"/>
  <c r="K165" i="6" s="1"/>
  <c r="H164" i="6"/>
  <c r="K164" i="6" s="1"/>
  <c r="H163" i="6"/>
  <c r="K163" i="6" s="1"/>
  <c r="H162" i="6"/>
  <c r="K162" i="6" s="1"/>
  <c r="H161" i="6"/>
  <c r="K161" i="6" s="1"/>
  <c r="H160" i="6"/>
  <c r="K160" i="6" s="1"/>
  <c r="H159" i="6"/>
  <c r="K159" i="6" s="1"/>
  <c r="H158" i="6"/>
  <c r="K158" i="6" s="1"/>
  <c r="H157" i="6"/>
  <c r="K157" i="6" s="1"/>
  <c r="H156" i="6"/>
  <c r="K156" i="6" s="1"/>
  <c r="H155" i="6"/>
  <c r="K155" i="6" s="1"/>
  <c r="H154" i="6"/>
  <c r="K154" i="6" s="1"/>
  <c r="H153" i="6"/>
  <c r="K153" i="6" s="1"/>
  <c r="H152" i="6"/>
  <c r="K152" i="6" s="1"/>
  <c r="H151" i="6"/>
  <c r="K151" i="6" s="1"/>
  <c r="H150" i="6"/>
  <c r="K150" i="6" s="1"/>
  <c r="H149" i="6"/>
  <c r="K149" i="6" s="1"/>
  <c r="H148" i="6"/>
  <c r="K148" i="6" s="1"/>
  <c r="H147" i="6"/>
  <c r="K147" i="6" s="1"/>
  <c r="H146" i="6"/>
  <c r="K146" i="6" s="1"/>
  <c r="H145" i="6"/>
  <c r="K145" i="6" s="1"/>
  <c r="H144" i="6"/>
  <c r="K144" i="6" s="1"/>
  <c r="H143" i="6"/>
  <c r="K143" i="6" s="1"/>
  <c r="H142" i="6"/>
  <c r="K142" i="6" s="1"/>
  <c r="H141" i="6"/>
  <c r="K141" i="6" s="1"/>
  <c r="H140" i="6"/>
  <c r="K140" i="6" s="1"/>
  <c r="H139" i="6"/>
  <c r="K139" i="6" s="1"/>
  <c r="H138" i="6"/>
  <c r="K138" i="6" s="1"/>
  <c r="H137" i="6"/>
  <c r="K137" i="6" s="1"/>
  <c r="H136" i="6"/>
  <c r="K136" i="6" s="1"/>
  <c r="H135" i="6"/>
  <c r="K135" i="6" s="1"/>
  <c r="H134" i="6"/>
  <c r="K134" i="6" s="1"/>
  <c r="H133" i="6"/>
  <c r="K133" i="6" s="1"/>
  <c r="H132" i="6"/>
  <c r="K132" i="6" s="1"/>
  <c r="H131" i="6"/>
  <c r="K131" i="6" s="1"/>
  <c r="H130" i="6"/>
  <c r="K130" i="6" s="1"/>
  <c r="H129" i="6"/>
  <c r="K129" i="6" s="1"/>
  <c r="H128" i="6"/>
  <c r="K128" i="6" s="1"/>
  <c r="H127" i="6"/>
  <c r="K127" i="6" s="1"/>
  <c r="H126" i="6"/>
  <c r="K126" i="6" s="1"/>
  <c r="H125" i="6"/>
  <c r="K125" i="6" s="1"/>
  <c r="K124" i="6"/>
  <c r="H124" i="6"/>
  <c r="H123" i="6"/>
  <c r="K123" i="6" s="1"/>
  <c r="H122" i="6"/>
  <c r="K122" i="6" s="1"/>
  <c r="H121" i="6"/>
  <c r="K121" i="6" s="1"/>
  <c r="H120" i="6"/>
  <c r="K120" i="6" s="1"/>
  <c r="H119" i="6"/>
  <c r="K119" i="6" s="1"/>
  <c r="H118" i="6"/>
  <c r="K118" i="6" s="1"/>
  <c r="H117" i="6"/>
  <c r="K117" i="6" s="1"/>
  <c r="H116" i="6"/>
  <c r="K116" i="6" s="1"/>
  <c r="H115" i="6"/>
  <c r="K115" i="6" s="1"/>
  <c r="H114" i="6"/>
  <c r="K114" i="6" s="1"/>
  <c r="H113" i="6"/>
  <c r="K113" i="6" s="1"/>
  <c r="H112" i="6"/>
  <c r="K112" i="6" s="1"/>
  <c r="H111" i="6"/>
  <c r="K111" i="6" s="1"/>
  <c r="H110" i="6"/>
  <c r="K110" i="6" s="1"/>
  <c r="H109" i="6"/>
  <c r="K109" i="6" s="1"/>
  <c r="H108" i="6"/>
  <c r="K108" i="6" s="1"/>
  <c r="H107" i="6"/>
  <c r="K107" i="6" s="1"/>
  <c r="H106" i="6"/>
  <c r="K106" i="6" s="1"/>
  <c r="H105" i="6"/>
  <c r="K105" i="6" s="1"/>
  <c r="H104" i="6"/>
  <c r="K104" i="6" s="1"/>
  <c r="H103" i="6"/>
  <c r="K103" i="6" s="1"/>
  <c r="H102" i="6"/>
  <c r="K102" i="6" s="1"/>
  <c r="H101" i="6"/>
  <c r="K101" i="6" s="1"/>
  <c r="H100" i="6"/>
  <c r="K100" i="6" s="1"/>
  <c r="H99" i="6"/>
  <c r="K99" i="6" s="1"/>
  <c r="H98" i="6"/>
  <c r="K98" i="6" s="1"/>
  <c r="H97" i="6"/>
  <c r="K97" i="6" s="1"/>
  <c r="H96" i="6"/>
  <c r="K96" i="6" s="1"/>
  <c r="H95" i="6"/>
  <c r="K95" i="6" s="1"/>
  <c r="H94" i="6"/>
  <c r="K94" i="6" s="1"/>
  <c r="H93" i="6"/>
  <c r="K93" i="6" s="1"/>
  <c r="H92" i="6"/>
  <c r="K92" i="6" s="1"/>
  <c r="K91" i="6"/>
  <c r="H91" i="6"/>
  <c r="H90" i="6"/>
  <c r="K90" i="6" s="1"/>
  <c r="H89" i="6"/>
  <c r="K89" i="6" s="1"/>
  <c r="H88" i="6"/>
  <c r="K88" i="6" s="1"/>
  <c r="H87" i="6"/>
  <c r="K87" i="6" s="1"/>
  <c r="H86" i="6"/>
  <c r="K86" i="6" s="1"/>
  <c r="H85" i="6"/>
  <c r="K85" i="6" s="1"/>
  <c r="H84" i="6"/>
  <c r="K84" i="6" s="1"/>
  <c r="H83" i="6"/>
  <c r="K83" i="6" s="1"/>
  <c r="H82" i="6"/>
  <c r="K82" i="6" s="1"/>
  <c r="K81" i="6"/>
  <c r="H81" i="6"/>
  <c r="H80" i="6"/>
  <c r="K80" i="6" s="1"/>
  <c r="H79" i="6"/>
  <c r="K79" i="6" s="1"/>
  <c r="H78" i="6"/>
  <c r="K78" i="6" s="1"/>
  <c r="H77" i="6"/>
  <c r="K77" i="6" s="1"/>
  <c r="H76" i="6"/>
  <c r="K76" i="6" s="1"/>
  <c r="K75" i="6"/>
  <c r="H75" i="6"/>
  <c r="H74" i="6"/>
  <c r="K74" i="6" s="1"/>
  <c r="H73" i="6"/>
  <c r="K73" i="6" s="1"/>
  <c r="H72" i="6"/>
  <c r="K72" i="6" s="1"/>
  <c r="H71" i="6"/>
  <c r="K71" i="6" s="1"/>
  <c r="H70" i="6"/>
  <c r="K70" i="6" s="1"/>
  <c r="H69" i="6"/>
  <c r="K69" i="6" s="1"/>
  <c r="H68" i="6"/>
  <c r="K68" i="6" s="1"/>
  <c r="H67" i="6"/>
  <c r="K67" i="6" s="1"/>
  <c r="H66" i="6"/>
  <c r="K66" i="6" s="1"/>
  <c r="K65" i="6"/>
  <c r="H65" i="6"/>
  <c r="H64" i="6"/>
  <c r="K64" i="6" s="1"/>
  <c r="H63" i="6"/>
  <c r="K63" i="6" s="1"/>
  <c r="H62" i="6"/>
  <c r="K62" i="6" s="1"/>
  <c r="H61" i="6"/>
  <c r="K61" i="6" s="1"/>
  <c r="K60" i="6"/>
  <c r="H60" i="6"/>
  <c r="H59" i="6"/>
  <c r="K59" i="6" s="1"/>
  <c r="H58" i="6"/>
  <c r="K58" i="6" s="1"/>
  <c r="H57" i="6"/>
  <c r="K57" i="6" s="1"/>
  <c r="H56" i="6"/>
  <c r="K56" i="6" s="1"/>
  <c r="H55" i="6"/>
  <c r="K55" i="6" s="1"/>
  <c r="K54" i="6"/>
  <c r="H54" i="6"/>
  <c r="K53" i="6"/>
  <c r="H53" i="6"/>
  <c r="H52" i="6"/>
  <c r="K52" i="6" s="1"/>
  <c r="H51" i="6"/>
  <c r="K51" i="6" s="1"/>
  <c r="H50" i="6"/>
  <c r="K50" i="6" s="1"/>
  <c r="H49" i="6"/>
  <c r="K49" i="6" s="1"/>
  <c r="H48" i="6"/>
  <c r="K48" i="6" s="1"/>
  <c r="H47" i="6"/>
  <c r="K47" i="6" s="1"/>
  <c r="H46" i="6"/>
  <c r="K46" i="6" s="1"/>
  <c r="H45" i="6"/>
  <c r="K45" i="6" s="1"/>
  <c r="H44" i="6"/>
  <c r="K44" i="6" s="1"/>
  <c r="H43" i="6"/>
  <c r="K43" i="6" s="1"/>
  <c r="H42" i="6"/>
  <c r="K42" i="6" s="1"/>
  <c r="H41" i="6"/>
  <c r="K41" i="6" s="1"/>
  <c r="H40" i="6"/>
  <c r="K40" i="6" s="1"/>
  <c r="H39" i="6"/>
  <c r="K39" i="6" s="1"/>
  <c r="H38" i="6"/>
  <c r="K38" i="6" s="1"/>
  <c r="H37" i="6"/>
  <c r="K37" i="6" s="1"/>
  <c r="H36" i="6"/>
  <c r="K36" i="6" s="1"/>
  <c r="H35" i="6"/>
  <c r="K35" i="6" s="1"/>
  <c r="H34" i="6"/>
  <c r="K34" i="6" s="1"/>
  <c r="H33" i="6"/>
  <c r="K33" i="6" s="1"/>
  <c r="H32" i="6"/>
  <c r="K32" i="6" s="1"/>
  <c r="H31" i="6"/>
  <c r="K31" i="6" s="1"/>
  <c r="H30" i="6"/>
  <c r="K30" i="6" s="1"/>
  <c r="H29" i="6"/>
  <c r="K29" i="6" s="1"/>
  <c r="H28" i="6"/>
  <c r="K28" i="6" s="1"/>
  <c r="H27" i="6"/>
  <c r="K27" i="6" s="1"/>
  <c r="H26" i="6"/>
  <c r="K26" i="6" s="1"/>
  <c r="H25" i="6"/>
  <c r="K25" i="6" s="1"/>
  <c r="H24" i="6"/>
  <c r="K24" i="6" s="1"/>
  <c r="H23" i="6"/>
  <c r="K23" i="6" s="1"/>
  <c r="H22" i="6"/>
  <c r="K22" i="6" s="1"/>
  <c r="H21" i="6"/>
  <c r="K21" i="6" s="1"/>
  <c r="H20" i="6"/>
  <c r="K20" i="6" s="1"/>
  <c r="H19" i="6"/>
  <c r="K19" i="6" s="1"/>
  <c r="H18" i="6"/>
  <c r="K18" i="6" s="1"/>
  <c r="H17" i="6"/>
  <c r="K17" i="6" s="1"/>
  <c r="H16" i="6"/>
  <c r="K16" i="6" s="1"/>
  <c r="H15" i="6"/>
  <c r="K15" i="6" s="1"/>
  <c r="H14" i="6"/>
  <c r="K14" i="6" s="1"/>
  <c r="H13" i="6"/>
  <c r="K13" i="6" s="1"/>
  <c r="H12" i="6"/>
  <c r="K12" i="6" s="1"/>
  <c r="K11" i="6"/>
  <c r="H11" i="6"/>
  <c r="H10" i="6"/>
  <c r="K10" i="6" s="1"/>
  <c r="H9" i="6"/>
  <c r="K9" i="6" s="1"/>
  <c r="H8" i="6"/>
  <c r="K8" i="6" s="1"/>
  <c r="H7" i="6"/>
  <c r="K7" i="6" s="1"/>
  <c r="H6" i="6"/>
  <c r="K6" i="6" s="1"/>
  <c r="H5" i="6"/>
  <c r="K5" i="6" s="1"/>
  <c r="H4" i="6"/>
  <c r="K4" i="6" s="1"/>
  <c r="H3" i="6"/>
  <c r="K3" i="6" s="1"/>
  <c r="H2" i="6"/>
  <c r="K2" i="6" s="1"/>
  <c r="H462" i="1"/>
  <c r="J462" i="1" s="1"/>
  <c r="H461" i="1"/>
  <c r="J461" i="1" s="1"/>
  <c r="H460" i="1"/>
  <c r="J460" i="1" s="1"/>
  <c r="H459" i="1"/>
  <c r="J459" i="1" s="1"/>
  <c r="H458" i="1"/>
  <c r="J458" i="1" s="1"/>
  <c r="H457" i="1"/>
  <c r="J457" i="1" s="1"/>
  <c r="H456" i="1"/>
  <c r="J456" i="1" s="1"/>
  <c r="H455" i="1"/>
  <c r="J455" i="1" s="1"/>
  <c r="H454" i="1"/>
  <c r="J454" i="1" s="1"/>
  <c r="H453" i="1"/>
  <c r="J453" i="1" s="1"/>
  <c r="H452" i="1"/>
  <c r="J452" i="1" s="1"/>
  <c r="H451" i="1"/>
  <c r="J451" i="1" s="1"/>
  <c r="H450" i="1"/>
  <c r="J450" i="1" s="1"/>
  <c r="H449" i="1"/>
  <c r="J449" i="1" s="1"/>
  <c r="H448" i="1"/>
  <c r="J448" i="1" s="1"/>
  <c r="H447" i="1"/>
  <c r="J447" i="1" s="1"/>
  <c r="H446" i="1"/>
  <c r="J446" i="1" s="1"/>
  <c r="H445" i="1"/>
  <c r="J445" i="1" s="1"/>
  <c r="H444" i="1"/>
  <c r="J444" i="1" s="1"/>
  <c r="H443" i="1"/>
  <c r="J443" i="1" s="1"/>
  <c r="H442" i="1"/>
  <c r="J442" i="1" s="1"/>
  <c r="H441" i="1"/>
  <c r="J441" i="1" s="1"/>
  <c r="H440" i="1"/>
  <c r="J440" i="1" s="1"/>
  <c r="H439" i="1"/>
  <c r="J439" i="1" s="1"/>
  <c r="H438" i="1"/>
  <c r="J438" i="1" s="1"/>
  <c r="H437" i="1"/>
  <c r="J437" i="1" s="1"/>
  <c r="H436" i="1"/>
  <c r="J436" i="1" s="1"/>
  <c r="H435" i="1"/>
  <c r="J435" i="1" s="1"/>
  <c r="H434" i="1"/>
  <c r="J434" i="1" s="1"/>
  <c r="H433" i="1"/>
  <c r="J433" i="1" s="1"/>
  <c r="H432" i="1"/>
  <c r="J432" i="1" s="1"/>
  <c r="H431" i="1"/>
  <c r="J431" i="1" s="1"/>
  <c r="H430" i="1"/>
  <c r="J430" i="1" s="1"/>
  <c r="H429" i="1"/>
  <c r="J429" i="1" s="1"/>
  <c r="H428" i="1"/>
  <c r="J428" i="1" s="1"/>
  <c r="H427" i="1"/>
  <c r="J427" i="1" s="1"/>
  <c r="H426" i="1"/>
  <c r="J426" i="1" s="1"/>
  <c r="H425" i="1"/>
  <c r="J425" i="1" s="1"/>
  <c r="H424" i="1"/>
  <c r="J424" i="1" s="1"/>
  <c r="H423" i="1"/>
  <c r="J423" i="1" s="1"/>
  <c r="H422" i="1"/>
  <c r="J422" i="1" s="1"/>
  <c r="H421" i="1"/>
  <c r="J421" i="1" s="1"/>
  <c r="H420" i="1"/>
  <c r="J420" i="1" s="1"/>
  <c r="H419" i="1"/>
  <c r="J419" i="1" s="1"/>
  <c r="H418" i="1"/>
  <c r="J418" i="1" s="1"/>
  <c r="H417" i="1"/>
  <c r="J417" i="1" s="1"/>
  <c r="H416" i="1"/>
  <c r="J416" i="1" s="1"/>
  <c r="H415" i="1"/>
  <c r="J415" i="1" s="1"/>
  <c r="H414" i="1"/>
  <c r="J414" i="1" s="1"/>
  <c r="H413" i="1"/>
  <c r="J413" i="1" s="1"/>
  <c r="H412" i="1"/>
  <c r="J412" i="1" s="1"/>
  <c r="H411" i="1"/>
  <c r="J411" i="1" s="1"/>
  <c r="H410" i="1"/>
  <c r="J410" i="1" s="1"/>
  <c r="H409" i="1"/>
  <c r="J409" i="1" s="1"/>
  <c r="H408" i="1"/>
  <c r="J408" i="1" s="1"/>
  <c r="H407" i="1"/>
  <c r="J407" i="1" s="1"/>
  <c r="H406" i="1"/>
  <c r="J406" i="1" s="1"/>
  <c r="H405" i="1"/>
  <c r="J405" i="1" s="1"/>
  <c r="H404" i="1"/>
  <c r="J404" i="1" s="1"/>
  <c r="H403" i="1"/>
  <c r="J403" i="1" s="1"/>
  <c r="H402" i="1"/>
  <c r="J402" i="1" s="1"/>
  <c r="H401" i="1"/>
  <c r="J401" i="1" s="1"/>
  <c r="H400" i="1"/>
  <c r="J400" i="1" s="1"/>
  <c r="H399" i="1"/>
  <c r="J399" i="1" s="1"/>
  <c r="H398" i="1"/>
  <c r="J398" i="1" s="1"/>
  <c r="H397" i="1"/>
  <c r="J397" i="1" s="1"/>
  <c r="H396" i="1"/>
  <c r="J396" i="1" s="1"/>
  <c r="H395" i="1"/>
  <c r="J395" i="1" s="1"/>
  <c r="H394" i="1"/>
  <c r="J394" i="1" s="1"/>
  <c r="H393" i="1"/>
  <c r="J393" i="1" s="1"/>
  <c r="H392" i="1"/>
  <c r="J392" i="1" s="1"/>
  <c r="H391" i="1"/>
  <c r="J391" i="1" s="1"/>
  <c r="H390" i="1"/>
  <c r="J390" i="1" s="1"/>
  <c r="H389" i="1"/>
  <c r="J389" i="1" s="1"/>
  <c r="H388" i="1"/>
  <c r="J388" i="1" s="1"/>
  <c r="H387" i="1"/>
  <c r="J387" i="1" s="1"/>
  <c r="H386" i="1"/>
  <c r="J386" i="1" s="1"/>
  <c r="H385" i="1"/>
  <c r="J385" i="1" s="1"/>
  <c r="H384" i="1"/>
  <c r="J384" i="1" s="1"/>
  <c r="H383" i="1"/>
  <c r="J383" i="1" s="1"/>
  <c r="H382" i="1"/>
  <c r="J382" i="1" s="1"/>
  <c r="H381" i="1"/>
  <c r="J381" i="1" s="1"/>
  <c r="H380" i="1"/>
  <c r="J380" i="1" s="1"/>
  <c r="H379" i="1"/>
  <c r="J379" i="1" s="1"/>
  <c r="H378" i="1"/>
  <c r="J378" i="1" s="1"/>
  <c r="H377" i="1"/>
  <c r="J377" i="1" s="1"/>
  <c r="H376" i="1"/>
  <c r="J376" i="1" s="1"/>
  <c r="H375" i="1"/>
  <c r="J375" i="1" s="1"/>
  <c r="H374" i="1"/>
  <c r="J374" i="1" s="1"/>
  <c r="H373" i="1"/>
  <c r="J373" i="1" s="1"/>
  <c r="H372" i="1"/>
  <c r="J372" i="1" s="1"/>
  <c r="H371" i="1"/>
  <c r="J371" i="1" s="1"/>
  <c r="H370" i="1"/>
  <c r="J370" i="1" s="1"/>
  <c r="H369" i="1"/>
  <c r="J369" i="1" s="1"/>
  <c r="H368" i="1"/>
  <c r="J368" i="1" s="1"/>
  <c r="H367" i="1"/>
  <c r="J367" i="1" s="1"/>
  <c r="H366" i="1"/>
  <c r="J366" i="1" s="1"/>
  <c r="H365" i="1"/>
  <c r="J365" i="1" s="1"/>
  <c r="H364" i="1"/>
  <c r="J364" i="1" s="1"/>
  <c r="H363" i="1"/>
  <c r="J363" i="1" s="1"/>
  <c r="H362" i="1"/>
  <c r="J362" i="1" s="1"/>
  <c r="H361" i="1"/>
  <c r="J361" i="1" s="1"/>
  <c r="H360" i="1"/>
  <c r="J360" i="1" s="1"/>
  <c r="H359" i="1"/>
  <c r="J359" i="1" s="1"/>
  <c r="H358" i="1"/>
  <c r="J358" i="1" s="1"/>
  <c r="H357" i="1"/>
  <c r="J357" i="1" s="1"/>
  <c r="H356" i="1"/>
  <c r="J356" i="1" s="1"/>
  <c r="H355" i="1"/>
  <c r="J355" i="1" s="1"/>
  <c r="H354" i="1"/>
  <c r="J354" i="1" s="1"/>
  <c r="H353" i="1"/>
  <c r="J353" i="1" s="1"/>
  <c r="H352" i="1"/>
  <c r="J352" i="1" s="1"/>
  <c r="H351" i="1"/>
  <c r="J351" i="1" s="1"/>
  <c r="H350" i="1"/>
  <c r="J350" i="1" s="1"/>
  <c r="H349" i="1"/>
  <c r="J349" i="1" s="1"/>
  <c r="H348" i="1"/>
  <c r="J348" i="1" s="1"/>
  <c r="H347" i="1"/>
  <c r="J347" i="1" s="1"/>
  <c r="H346" i="1"/>
  <c r="J346" i="1" s="1"/>
  <c r="H345" i="1"/>
  <c r="J345" i="1" s="1"/>
  <c r="H344" i="1"/>
  <c r="J344" i="1" s="1"/>
  <c r="H343" i="1"/>
  <c r="J343" i="1" s="1"/>
  <c r="H342" i="1"/>
  <c r="J342" i="1" s="1"/>
  <c r="H341" i="1"/>
  <c r="J341" i="1" s="1"/>
  <c r="H340" i="1"/>
  <c r="J340" i="1" s="1"/>
  <c r="H339" i="1"/>
  <c r="J339" i="1" s="1"/>
  <c r="H338" i="1"/>
  <c r="J338" i="1" s="1"/>
  <c r="H337" i="1"/>
  <c r="J337" i="1" s="1"/>
  <c r="H336" i="1"/>
  <c r="J336" i="1" s="1"/>
  <c r="H335" i="1"/>
  <c r="J335" i="1" s="1"/>
  <c r="H334" i="1"/>
  <c r="J334" i="1" s="1"/>
  <c r="H333" i="1"/>
  <c r="J333" i="1" s="1"/>
  <c r="H332" i="1"/>
  <c r="J332" i="1" s="1"/>
  <c r="H331" i="1"/>
  <c r="J331" i="1" s="1"/>
  <c r="H330" i="1"/>
  <c r="J330" i="1" s="1"/>
  <c r="H329" i="1"/>
  <c r="J329" i="1" s="1"/>
  <c r="H328" i="1"/>
  <c r="J328" i="1" s="1"/>
  <c r="H327" i="1"/>
  <c r="J327" i="1" s="1"/>
  <c r="H326" i="1"/>
  <c r="J326" i="1" s="1"/>
  <c r="H325" i="1"/>
  <c r="J325" i="1" s="1"/>
  <c r="H324" i="1"/>
  <c r="J324" i="1" s="1"/>
  <c r="H323" i="1"/>
  <c r="J323" i="1" s="1"/>
  <c r="H322" i="1"/>
  <c r="J322" i="1" s="1"/>
  <c r="H321" i="1"/>
  <c r="J321" i="1" s="1"/>
  <c r="H320" i="1"/>
  <c r="J320" i="1" s="1"/>
  <c r="H319" i="1"/>
  <c r="J319" i="1" s="1"/>
  <c r="H318" i="1"/>
  <c r="J318" i="1" s="1"/>
  <c r="H317" i="1"/>
  <c r="J317" i="1" s="1"/>
  <c r="H316" i="1"/>
  <c r="J316" i="1" s="1"/>
  <c r="H315" i="1"/>
  <c r="J315" i="1" s="1"/>
  <c r="H314" i="1"/>
  <c r="J314" i="1" s="1"/>
  <c r="H313" i="1"/>
  <c r="J313" i="1" s="1"/>
  <c r="H312" i="1"/>
  <c r="J312" i="1" s="1"/>
  <c r="H311" i="1"/>
  <c r="J311" i="1" s="1"/>
  <c r="H310" i="1"/>
  <c r="J310" i="1" s="1"/>
  <c r="H309" i="1"/>
  <c r="J309" i="1" s="1"/>
  <c r="H308" i="1"/>
  <c r="J308" i="1" s="1"/>
  <c r="H307" i="1"/>
  <c r="J307" i="1" s="1"/>
  <c r="H306" i="1"/>
  <c r="J306" i="1" s="1"/>
  <c r="H305" i="1"/>
  <c r="J305" i="1" s="1"/>
  <c r="H304" i="1"/>
  <c r="J304" i="1" s="1"/>
  <c r="H303" i="1"/>
  <c r="J303" i="1" s="1"/>
  <c r="H302" i="1"/>
  <c r="J302" i="1" s="1"/>
  <c r="H301" i="1"/>
  <c r="J301" i="1" s="1"/>
  <c r="H300" i="1"/>
  <c r="J300" i="1" s="1"/>
  <c r="H299" i="1"/>
  <c r="J299" i="1" s="1"/>
  <c r="H298" i="1"/>
  <c r="J298" i="1" s="1"/>
  <c r="H297" i="1"/>
  <c r="J297" i="1" s="1"/>
  <c r="H296" i="1"/>
  <c r="J296" i="1" s="1"/>
  <c r="H295" i="1"/>
  <c r="J295" i="1" s="1"/>
  <c r="H294" i="1"/>
  <c r="J294" i="1" s="1"/>
  <c r="H293" i="1"/>
  <c r="J293" i="1" s="1"/>
  <c r="H292" i="1"/>
  <c r="J292" i="1" s="1"/>
  <c r="H291" i="1"/>
  <c r="J291" i="1" s="1"/>
  <c r="H290" i="1"/>
  <c r="J290" i="1" s="1"/>
  <c r="H289" i="1"/>
  <c r="J289" i="1" s="1"/>
  <c r="H288" i="1"/>
  <c r="J288" i="1" s="1"/>
  <c r="H287" i="1"/>
  <c r="J287" i="1" s="1"/>
  <c r="H286" i="1"/>
  <c r="J286" i="1" s="1"/>
  <c r="H285" i="1"/>
  <c r="J285" i="1" s="1"/>
  <c r="H284" i="1"/>
  <c r="J284" i="1" s="1"/>
  <c r="H283" i="1"/>
  <c r="J283" i="1" s="1"/>
  <c r="H282" i="1"/>
  <c r="J282" i="1" s="1"/>
  <c r="H281" i="1"/>
  <c r="J281" i="1" s="1"/>
  <c r="H280" i="1"/>
  <c r="J280" i="1" s="1"/>
  <c r="H279" i="1"/>
  <c r="J279" i="1" s="1"/>
  <c r="H278" i="1"/>
  <c r="J278" i="1" s="1"/>
  <c r="H277" i="1"/>
  <c r="J277" i="1" s="1"/>
  <c r="H276" i="1"/>
  <c r="J276" i="1" s="1"/>
  <c r="H275" i="1"/>
  <c r="J275" i="1" s="1"/>
  <c r="H274" i="1"/>
  <c r="J274" i="1" s="1"/>
  <c r="H273" i="1"/>
  <c r="J273" i="1" s="1"/>
  <c r="H272" i="1"/>
  <c r="J272" i="1" s="1"/>
  <c r="H271" i="1"/>
  <c r="J271" i="1" s="1"/>
  <c r="H270" i="1"/>
  <c r="J270" i="1" s="1"/>
  <c r="H269" i="1"/>
  <c r="J269" i="1" s="1"/>
  <c r="H268" i="1"/>
  <c r="J268" i="1" s="1"/>
  <c r="H267" i="1"/>
  <c r="J267" i="1" s="1"/>
  <c r="H266" i="1"/>
  <c r="J266" i="1" s="1"/>
  <c r="H265" i="1"/>
  <c r="J265" i="1" s="1"/>
  <c r="H264" i="1"/>
  <c r="J264" i="1" s="1"/>
  <c r="H263" i="1"/>
  <c r="J263" i="1" s="1"/>
  <c r="H262" i="1"/>
  <c r="J262" i="1" s="1"/>
  <c r="H261" i="1"/>
  <c r="J261" i="1" s="1"/>
  <c r="H260" i="1"/>
  <c r="J260" i="1" s="1"/>
  <c r="H259" i="1"/>
  <c r="J259" i="1" s="1"/>
  <c r="H258" i="1"/>
  <c r="J258" i="1" s="1"/>
  <c r="H257" i="1"/>
  <c r="J257" i="1" s="1"/>
  <c r="H256" i="1"/>
  <c r="J256" i="1" s="1"/>
  <c r="H255" i="1"/>
  <c r="J255" i="1" s="1"/>
  <c r="H254" i="1"/>
  <c r="J254" i="1" s="1"/>
  <c r="H253" i="1"/>
  <c r="J253" i="1" s="1"/>
  <c r="H252" i="1"/>
  <c r="J252" i="1" s="1"/>
  <c r="H251" i="1"/>
  <c r="J251" i="1" s="1"/>
  <c r="H250" i="1"/>
  <c r="J250" i="1" s="1"/>
  <c r="H249" i="1"/>
  <c r="J249" i="1" s="1"/>
  <c r="H248" i="1"/>
  <c r="J248" i="1" s="1"/>
  <c r="H247" i="1"/>
  <c r="J247" i="1" s="1"/>
  <c r="H246" i="1"/>
  <c r="J246" i="1" s="1"/>
  <c r="H245" i="1"/>
  <c r="J245" i="1" s="1"/>
  <c r="H244" i="1"/>
  <c r="J244" i="1" s="1"/>
  <c r="H243" i="1"/>
  <c r="J243" i="1" s="1"/>
  <c r="H242" i="1"/>
  <c r="J242" i="1" s="1"/>
  <c r="H241" i="1"/>
  <c r="J241" i="1" s="1"/>
  <c r="H240" i="1"/>
  <c r="J240" i="1" s="1"/>
  <c r="H239" i="1"/>
  <c r="J239" i="1" s="1"/>
  <c r="H238" i="1"/>
  <c r="J238" i="1" s="1"/>
  <c r="H237" i="1"/>
  <c r="J237" i="1" s="1"/>
  <c r="H236" i="1"/>
  <c r="J236" i="1" s="1"/>
  <c r="H235" i="1"/>
  <c r="J235" i="1" s="1"/>
  <c r="H234" i="1"/>
  <c r="J234" i="1" s="1"/>
  <c r="H233" i="1"/>
  <c r="J233" i="1" s="1"/>
  <c r="H232" i="1"/>
  <c r="J232" i="1" s="1"/>
  <c r="H231" i="1"/>
  <c r="J231" i="1" s="1"/>
  <c r="H230" i="1"/>
  <c r="J230" i="1" s="1"/>
  <c r="H229" i="1"/>
  <c r="J229" i="1" s="1"/>
  <c r="H228" i="1"/>
  <c r="J228" i="1" s="1"/>
  <c r="H227" i="1"/>
  <c r="J227" i="1" s="1"/>
  <c r="H226" i="1"/>
  <c r="J226" i="1" s="1"/>
  <c r="H225" i="1"/>
  <c r="J225" i="1" s="1"/>
  <c r="H224" i="1"/>
  <c r="J224" i="1" s="1"/>
  <c r="H223" i="1"/>
  <c r="J223" i="1" s="1"/>
  <c r="H222" i="1"/>
  <c r="J222" i="1" s="1"/>
  <c r="H221" i="1"/>
  <c r="J221" i="1" s="1"/>
  <c r="H220" i="1"/>
  <c r="J220" i="1" s="1"/>
  <c r="H219" i="1"/>
  <c r="J219" i="1" s="1"/>
  <c r="H218" i="1"/>
  <c r="J218" i="1" s="1"/>
  <c r="H217" i="1"/>
  <c r="J217" i="1" s="1"/>
  <c r="H216" i="1"/>
  <c r="J216" i="1" s="1"/>
  <c r="H215" i="1"/>
  <c r="J215" i="1" s="1"/>
  <c r="H214" i="1"/>
  <c r="J214" i="1" s="1"/>
  <c r="H213" i="1"/>
  <c r="J213" i="1" s="1"/>
  <c r="H212" i="1"/>
  <c r="J212" i="1" s="1"/>
  <c r="H211" i="1"/>
  <c r="J211" i="1" s="1"/>
  <c r="H210" i="1"/>
  <c r="J210" i="1" s="1"/>
  <c r="H209" i="1"/>
  <c r="J209" i="1" s="1"/>
  <c r="H208" i="1"/>
  <c r="J208" i="1" s="1"/>
  <c r="H207" i="1"/>
  <c r="J207" i="1" s="1"/>
  <c r="H206" i="1"/>
  <c r="J206" i="1" s="1"/>
  <c r="H205" i="1"/>
  <c r="J205" i="1" s="1"/>
  <c r="H204" i="1"/>
  <c r="J204" i="1" s="1"/>
  <c r="H203" i="1"/>
  <c r="J203" i="1" s="1"/>
  <c r="H202" i="1"/>
  <c r="J202" i="1" s="1"/>
  <c r="H201" i="1"/>
  <c r="J201" i="1" s="1"/>
  <c r="H200" i="1"/>
  <c r="J200" i="1" s="1"/>
  <c r="H199" i="1"/>
  <c r="J199" i="1" s="1"/>
  <c r="H198" i="1"/>
  <c r="J198" i="1" s="1"/>
  <c r="H197" i="1"/>
  <c r="J197" i="1" s="1"/>
  <c r="H196" i="1"/>
  <c r="J196" i="1" s="1"/>
  <c r="H195" i="1"/>
  <c r="J195" i="1" s="1"/>
  <c r="H194" i="1"/>
  <c r="J194" i="1" s="1"/>
  <c r="H193" i="1"/>
  <c r="J193" i="1" s="1"/>
  <c r="H192" i="1"/>
  <c r="J192" i="1" s="1"/>
  <c r="H191" i="1"/>
  <c r="J191" i="1" s="1"/>
  <c r="H190" i="1"/>
  <c r="J190" i="1" s="1"/>
  <c r="H189" i="1"/>
  <c r="J189" i="1" s="1"/>
  <c r="H188" i="1"/>
  <c r="J188" i="1" s="1"/>
  <c r="H187" i="1"/>
  <c r="J187" i="1" s="1"/>
  <c r="H186" i="1"/>
  <c r="J186" i="1" s="1"/>
  <c r="H185" i="1"/>
  <c r="J185" i="1" s="1"/>
  <c r="H184" i="1"/>
  <c r="J184" i="1" s="1"/>
  <c r="H183" i="1"/>
  <c r="J183" i="1" s="1"/>
  <c r="H182" i="1"/>
  <c r="J182" i="1" s="1"/>
  <c r="H181" i="1"/>
  <c r="J181" i="1" s="1"/>
  <c r="H180" i="1"/>
  <c r="J180" i="1" s="1"/>
  <c r="H179" i="1"/>
  <c r="J179" i="1" s="1"/>
  <c r="H178" i="1"/>
  <c r="J178" i="1" s="1"/>
  <c r="H177" i="1"/>
  <c r="J177" i="1" s="1"/>
  <c r="H176" i="1"/>
  <c r="J176" i="1" s="1"/>
  <c r="H175" i="1"/>
  <c r="J175" i="1" s="1"/>
  <c r="H174" i="1"/>
  <c r="J174" i="1" s="1"/>
  <c r="H173" i="1"/>
  <c r="J173" i="1" s="1"/>
  <c r="H172" i="1"/>
  <c r="J172" i="1" s="1"/>
  <c r="H171" i="1"/>
  <c r="J171" i="1" s="1"/>
  <c r="H170" i="1"/>
  <c r="J170" i="1" s="1"/>
  <c r="H169" i="1"/>
  <c r="J169" i="1" s="1"/>
  <c r="H168" i="1"/>
  <c r="J168" i="1" s="1"/>
  <c r="H167" i="1"/>
  <c r="J167" i="1" s="1"/>
  <c r="H166" i="1"/>
  <c r="J166" i="1" s="1"/>
  <c r="H165" i="1"/>
  <c r="J165" i="1" s="1"/>
  <c r="H164" i="1"/>
  <c r="J164" i="1" s="1"/>
  <c r="H163" i="1"/>
  <c r="J163" i="1" s="1"/>
  <c r="H162" i="1"/>
  <c r="J162" i="1" s="1"/>
  <c r="H161" i="1"/>
  <c r="J161" i="1" s="1"/>
  <c r="H160" i="1"/>
  <c r="J160" i="1" s="1"/>
  <c r="H159" i="1"/>
  <c r="J159" i="1" s="1"/>
  <c r="H158" i="1"/>
  <c r="J158" i="1" s="1"/>
  <c r="H157" i="1"/>
  <c r="J157" i="1" s="1"/>
  <c r="H156" i="1"/>
  <c r="J156" i="1" s="1"/>
  <c r="H155" i="1"/>
  <c r="J155" i="1" s="1"/>
  <c r="H154" i="1"/>
  <c r="J154" i="1" s="1"/>
  <c r="H153" i="1"/>
  <c r="J153" i="1" s="1"/>
  <c r="H152" i="1"/>
  <c r="J152" i="1" s="1"/>
  <c r="H151" i="1"/>
  <c r="J151" i="1" s="1"/>
  <c r="H150" i="1"/>
  <c r="J150" i="1" s="1"/>
  <c r="H149" i="1"/>
  <c r="J149" i="1" s="1"/>
  <c r="H148" i="1"/>
  <c r="J148" i="1" s="1"/>
  <c r="H147" i="1"/>
  <c r="J147" i="1" s="1"/>
  <c r="H146" i="1"/>
  <c r="J146" i="1" s="1"/>
  <c r="H145" i="1"/>
  <c r="J145" i="1" s="1"/>
  <c r="H144" i="1"/>
  <c r="J144" i="1" s="1"/>
  <c r="H143" i="1"/>
  <c r="J143" i="1" s="1"/>
  <c r="H142" i="1"/>
  <c r="J142" i="1" s="1"/>
  <c r="H141" i="1"/>
  <c r="J141" i="1" s="1"/>
  <c r="H140" i="1"/>
  <c r="J140" i="1" s="1"/>
  <c r="H139" i="1"/>
  <c r="J139" i="1" s="1"/>
  <c r="H138" i="1"/>
  <c r="J138" i="1" s="1"/>
  <c r="H137" i="1"/>
  <c r="J137" i="1" s="1"/>
  <c r="H136" i="1"/>
  <c r="J136" i="1" s="1"/>
  <c r="H135" i="1"/>
  <c r="J135" i="1" s="1"/>
  <c r="H134" i="1"/>
  <c r="J134" i="1" s="1"/>
  <c r="H133" i="1"/>
  <c r="J133" i="1" s="1"/>
  <c r="H132" i="1"/>
  <c r="J132" i="1" s="1"/>
  <c r="H131" i="1"/>
  <c r="J131" i="1" s="1"/>
  <c r="H130" i="1"/>
  <c r="J130" i="1" s="1"/>
  <c r="H129" i="1"/>
  <c r="J129" i="1" s="1"/>
  <c r="H128" i="1"/>
  <c r="J128" i="1" s="1"/>
  <c r="H127" i="1"/>
  <c r="J127" i="1" s="1"/>
  <c r="H126" i="1"/>
  <c r="J126" i="1" s="1"/>
  <c r="H125" i="1"/>
  <c r="J125" i="1" s="1"/>
  <c r="H124" i="1"/>
  <c r="J124" i="1" s="1"/>
  <c r="H123" i="1"/>
  <c r="J123" i="1" s="1"/>
  <c r="H122" i="1"/>
  <c r="J122" i="1" s="1"/>
  <c r="H121" i="1"/>
  <c r="J121" i="1" s="1"/>
  <c r="H120" i="1"/>
  <c r="J120" i="1" s="1"/>
  <c r="H119" i="1"/>
  <c r="J119" i="1" s="1"/>
  <c r="H118" i="1"/>
  <c r="J118" i="1" s="1"/>
  <c r="H117" i="1"/>
  <c r="J117" i="1" s="1"/>
  <c r="H116" i="1"/>
  <c r="J116" i="1" s="1"/>
  <c r="H115" i="1"/>
  <c r="J115" i="1" s="1"/>
  <c r="H114" i="1"/>
  <c r="J114" i="1" s="1"/>
  <c r="H113" i="1"/>
  <c r="J113" i="1" s="1"/>
  <c r="H112" i="1"/>
  <c r="J112" i="1" s="1"/>
  <c r="H111" i="1"/>
  <c r="J111" i="1" s="1"/>
  <c r="H110" i="1"/>
  <c r="J110" i="1" s="1"/>
  <c r="H109" i="1"/>
  <c r="J109" i="1" s="1"/>
  <c r="H108" i="1"/>
  <c r="J108" i="1" s="1"/>
  <c r="H107" i="1"/>
  <c r="J107" i="1" s="1"/>
  <c r="H106" i="1"/>
  <c r="J106" i="1" s="1"/>
  <c r="H105" i="1"/>
  <c r="J105" i="1" s="1"/>
  <c r="H104" i="1"/>
  <c r="J104" i="1" s="1"/>
  <c r="H103" i="1"/>
  <c r="J103" i="1" s="1"/>
  <c r="H102" i="1"/>
  <c r="J102" i="1" s="1"/>
  <c r="H101" i="1"/>
  <c r="J101" i="1" s="1"/>
  <c r="H100" i="1"/>
  <c r="J100" i="1" s="1"/>
  <c r="H99" i="1"/>
  <c r="J99" i="1" s="1"/>
  <c r="H98" i="1"/>
  <c r="J98" i="1" s="1"/>
  <c r="H97" i="1"/>
  <c r="J97" i="1" s="1"/>
  <c r="H96" i="1"/>
  <c r="J96" i="1" s="1"/>
  <c r="H95" i="1"/>
  <c r="J95" i="1" s="1"/>
  <c r="H94" i="1"/>
  <c r="J94" i="1" s="1"/>
  <c r="H93" i="1"/>
  <c r="J93" i="1" s="1"/>
  <c r="H92" i="1"/>
  <c r="J92" i="1" s="1"/>
  <c r="H91" i="1"/>
  <c r="J91" i="1" s="1"/>
  <c r="H90" i="1"/>
  <c r="J90" i="1" s="1"/>
  <c r="H89" i="1"/>
  <c r="J89" i="1" s="1"/>
  <c r="H88" i="1"/>
  <c r="J88" i="1" s="1"/>
  <c r="H87" i="1"/>
  <c r="J87" i="1" s="1"/>
  <c r="H86" i="1"/>
  <c r="J86" i="1" s="1"/>
  <c r="H85" i="1"/>
  <c r="J85" i="1" s="1"/>
  <c r="H84" i="1"/>
  <c r="J84" i="1" s="1"/>
  <c r="H83" i="1"/>
  <c r="J83" i="1" s="1"/>
  <c r="H82" i="1"/>
  <c r="J82" i="1" s="1"/>
  <c r="H81" i="1"/>
  <c r="J81" i="1" s="1"/>
  <c r="H80" i="1"/>
  <c r="J80" i="1" s="1"/>
  <c r="H79" i="1"/>
  <c r="J79" i="1" s="1"/>
  <c r="H78" i="1"/>
  <c r="J78" i="1" s="1"/>
  <c r="H77" i="1"/>
  <c r="J77" i="1" s="1"/>
  <c r="H76" i="1"/>
  <c r="J76" i="1" s="1"/>
  <c r="H75" i="1"/>
  <c r="J75" i="1" s="1"/>
  <c r="H74" i="1"/>
  <c r="J74" i="1" s="1"/>
  <c r="H73" i="1"/>
  <c r="J73" i="1" s="1"/>
  <c r="H72" i="1"/>
  <c r="J72" i="1" s="1"/>
  <c r="H71" i="1"/>
  <c r="J71" i="1" s="1"/>
  <c r="H70" i="1"/>
  <c r="J70" i="1" s="1"/>
  <c r="H69" i="1"/>
  <c r="J69" i="1" s="1"/>
  <c r="H68" i="1"/>
  <c r="J68" i="1" s="1"/>
  <c r="H67" i="1"/>
  <c r="J67" i="1" s="1"/>
  <c r="H66" i="1"/>
  <c r="J66" i="1" s="1"/>
  <c r="H65" i="1"/>
  <c r="J65" i="1" s="1"/>
  <c r="H64" i="1"/>
  <c r="J64" i="1" s="1"/>
  <c r="H63" i="1"/>
  <c r="J63" i="1" s="1"/>
  <c r="H62" i="1"/>
  <c r="J62" i="1" s="1"/>
  <c r="H61" i="1"/>
  <c r="J61" i="1" s="1"/>
  <c r="H60" i="1"/>
  <c r="J60" i="1" s="1"/>
  <c r="H59" i="1"/>
  <c r="J59" i="1" s="1"/>
  <c r="H58" i="1"/>
  <c r="J58" i="1" s="1"/>
  <c r="H57" i="1"/>
  <c r="J57" i="1" s="1"/>
  <c r="H56" i="1"/>
  <c r="J56" i="1" s="1"/>
  <c r="H55" i="1"/>
  <c r="J55" i="1" s="1"/>
  <c r="H54" i="1"/>
  <c r="J54" i="1" s="1"/>
  <c r="H53" i="1"/>
  <c r="J53" i="1" s="1"/>
  <c r="H52" i="1"/>
  <c r="J52" i="1" s="1"/>
  <c r="H51" i="1"/>
  <c r="J51" i="1" s="1"/>
  <c r="H50" i="1"/>
  <c r="J50" i="1" s="1"/>
  <c r="H49" i="1"/>
  <c r="J49" i="1" s="1"/>
  <c r="H48" i="1"/>
  <c r="J48" i="1" s="1"/>
  <c r="H47" i="1"/>
  <c r="J47" i="1" s="1"/>
  <c r="H46" i="1"/>
  <c r="J46" i="1" s="1"/>
  <c r="H45" i="1"/>
  <c r="J45" i="1" s="1"/>
  <c r="H44" i="1"/>
  <c r="J44" i="1" s="1"/>
  <c r="H43" i="1"/>
  <c r="J43" i="1" s="1"/>
  <c r="H42" i="1"/>
  <c r="J42" i="1" s="1"/>
  <c r="H41" i="1"/>
  <c r="J41" i="1" s="1"/>
  <c r="H40" i="1"/>
  <c r="J40" i="1" s="1"/>
  <c r="H39" i="1"/>
  <c r="J39" i="1" s="1"/>
  <c r="H38" i="1"/>
  <c r="J38" i="1" s="1"/>
  <c r="H37" i="1"/>
  <c r="J37" i="1" s="1"/>
  <c r="H36" i="1"/>
  <c r="J36" i="1" s="1"/>
  <c r="H35" i="1"/>
  <c r="J35" i="1" s="1"/>
  <c r="H34" i="1"/>
  <c r="J34" i="1" s="1"/>
  <c r="H33" i="1"/>
  <c r="J33" i="1" s="1"/>
  <c r="H32" i="1"/>
  <c r="J32" i="1" s="1"/>
  <c r="H31" i="1"/>
  <c r="J31" i="1" s="1"/>
  <c r="H30" i="1"/>
  <c r="J30" i="1" s="1"/>
  <c r="H29" i="1"/>
  <c r="J29" i="1" s="1"/>
  <c r="H28" i="1"/>
  <c r="J28" i="1" s="1"/>
  <c r="H27" i="1"/>
  <c r="J27" i="1" s="1"/>
  <c r="H26" i="1"/>
  <c r="J26" i="1" s="1"/>
  <c r="H25" i="1"/>
  <c r="J25" i="1" s="1"/>
  <c r="H24" i="1"/>
  <c r="J24" i="1" s="1"/>
  <c r="H23" i="1"/>
  <c r="J23" i="1" s="1"/>
  <c r="H22" i="1"/>
  <c r="J22" i="1" s="1"/>
  <c r="H21" i="1"/>
  <c r="J21" i="1" s="1"/>
  <c r="H20" i="1"/>
  <c r="J20" i="1" s="1"/>
  <c r="H19" i="1"/>
  <c r="J19" i="1" s="1"/>
  <c r="H18" i="1"/>
  <c r="J18" i="1" s="1"/>
  <c r="H17" i="1"/>
  <c r="J17" i="1" s="1"/>
  <c r="H16" i="1"/>
  <c r="J16" i="1" s="1"/>
  <c r="H15" i="1"/>
  <c r="J15" i="1" s="1"/>
  <c r="H14" i="1"/>
  <c r="J14" i="1" s="1"/>
  <c r="H13" i="1"/>
  <c r="J13" i="1" s="1"/>
  <c r="H12" i="1"/>
  <c r="J12" i="1" s="1"/>
  <c r="H11" i="1"/>
  <c r="J11" i="1" s="1"/>
  <c r="H10" i="1"/>
  <c r="J10" i="1" s="1"/>
  <c r="H9" i="1"/>
  <c r="J9" i="1" s="1"/>
  <c r="H8" i="1"/>
  <c r="J8" i="1" s="1"/>
  <c r="H7" i="1"/>
  <c r="J7" i="1" s="1"/>
  <c r="H6" i="1"/>
  <c r="J6" i="1" s="1"/>
  <c r="H5" i="1"/>
  <c r="J5" i="1" s="1"/>
  <c r="H4" i="1"/>
  <c r="J4" i="1" s="1"/>
  <c r="H3" i="1"/>
  <c r="J3" i="1" s="1"/>
  <c r="H2" i="1"/>
  <c r="J2" i="1" s="1"/>
</calcChain>
</file>

<file path=xl/sharedStrings.xml><?xml version="1.0" encoding="utf-8"?>
<sst xmlns="http://schemas.openxmlformats.org/spreadsheetml/2006/main" count="13519" uniqueCount="1964">
  <si>
    <t>2023_subject_id</t>
  </si>
  <si>
    <t>2021_subject_id</t>
  </si>
  <si>
    <t>dataset_id</t>
  </si>
  <si>
    <t>dataset</t>
  </si>
  <si>
    <t>nr_volume</t>
  </si>
  <si>
    <t>er_volume</t>
  </si>
  <si>
    <t>et_volume</t>
  </si>
  <si>
    <t>tumor_volume</t>
  </si>
  <si>
    <t>etiv</t>
  </si>
  <si>
    <t>tumor_burden</t>
  </si>
  <si>
    <t>num_lesions</t>
  </si>
  <si>
    <t>BraTS-GLI-00000-000</t>
  </si>
  <si>
    <t>BraTS2021_00000</t>
  </si>
  <si>
    <t>00000057</t>
  </si>
  <si>
    <t>UCSF-PDGM-Training</t>
  </si>
  <si>
    <t>BraTS-GLI-00002-000</t>
  </si>
  <si>
    <t>BraTS2021_00002</t>
  </si>
  <si>
    <t>00000014</t>
  </si>
  <si>
    <t>BraTS-GLI-00003-000</t>
  </si>
  <si>
    <t>BraTS2021_00003</t>
  </si>
  <si>
    <t>00000017</t>
  </si>
  <si>
    <t>BraTS-GLI-00005-000</t>
  </si>
  <si>
    <t>BraTS2021_00005</t>
  </si>
  <si>
    <t>00000119</t>
  </si>
  <si>
    <t>BraTS-GLI-00006-000</t>
  </si>
  <si>
    <t>BraTS2021_00006</t>
  </si>
  <si>
    <t>00000116</t>
  </si>
  <si>
    <t>BraTS-GLI-00008-000</t>
  </si>
  <si>
    <t>BraTS2021_00008</t>
  </si>
  <si>
    <t>00000088</t>
  </si>
  <si>
    <t>BraTS-GLI-00009-000</t>
  </si>
  <si>
    <t>BraTS2021_00009</t>
  </si>
  <si>
    <t>00000092</t>
  </si>
  <si>
    <t>BraTS-GLI-00011-000</t>
  </si>
  <si>
    <t>BraTS2021_00011</t>
  </si>
  <si>
    <t>00000055</t>
  </si>
  <si>
    <t>BraTS-GLI-00012-000</t>
  </si>
  <si>
    <t>BraTS2021_00012</t>
  </si>
  <si>
    <t>00000061</t>
  </si>
  <si>
    <t>BraTS-GLI-00014-000</t>
  </si>
  <si>
    <t>BraTS2021_00014</t>
  </si>
  <si>
    <t>00000106</t>
  </si>
  <si>
    <t>BraTS-GLI-00016-000</t>
  </si>
  <si>
    <t>BraTS2021_00016</t>
  </si>
  <si>
    <t>00000027</t>
  </si>
  <si>
    <t>BraTS-GLI-00017-000</t>
  </si>
  <si>
    <t>BraTS2021_00017</t>
  </si>
  <si>
    <t>00000085</t>
  </si>
  <si>
    <t>BraTS-GLI-00018-000</t>
  </si>
  <si>
    <t>BraTS2021_00018</t>
  </si>
  <si>
    <t>00000053</t>
  </si>
  <si>
    <t>BraTS-GLI-00019-000</t>
  </si>
  <si>
    <t>BraTS2021_00019</t>
  </si>
  <si>
    <t>00000111</t>
  </si>
  <si>
    <t>BraTS-GLI-00020-000</t>
  </si>
  <si>
    <t>BraTS2021_00020</t>
  </si>
  <si>
    <t>00000093</t>
  </si>
  <si>
    <t>BraTS-GLI-00021-000</t>
  </si>
  <si>
    <t>BraTS2021_00021</t>
  </si>
  <si>
    <t>00000015</t>
  </si>
  <si>
    <t>BraTS-GLI-00022-000</t>
  </si>
  <si>
    <t>BraTS2021_00022</t>
  </si>
  <si>
    <t>00000097</t>
  </si>
  <si>
    <t>BraTS-GLI-00024-000</t>
  </si>
  <si>
    <t>BraTS2021_00024</t>
  </si>
  <si>
    <t>00000039</t>
  </si>
  <si>
    <t>BraTS-GLI-00025-000</t>
  </si>
  <si>
    <t>BraTS2021_00025</t>
  </si>
  <si>
    <t>00000036</t>
  </si>
  <si>
    <t>BraTS-GLI-00026-000</t>
  </si>
  <si>
    <t>BraTS2021_00026</t>
  </si>
  <si>
    <t>00000048</t>
  </si>
  <si>
    <t>BraTS-GLI-00028-000</t>
  </si>
  <si>
    <t>BraTS2021_00028</t>
  </si>
  <si>
    <t>00000099</t>
  </si>
  <si>
    <t>BraTS-GLI-00030-000</t>
  </si>
  <si>
    <t>BraTS2021_00030</t>
  </si>
  <si>
    <t>00000046</t>
  </si>
  <si>
    <t>BraTS-GLI-00031-000</t>
  </si>
  <si>
    <t>BraTS2021_00031</t>
  </si>
  <si>
    <t>00000063</t>
  </si>
  <si>
    <t>BraTS-GLI-00032-000</t>
  </si>
  <si>
    <t>BraTS2021_00032</t>
  </si>
  <si>
    <t>00000020</t>
  </si>
  <si>
    <t>BraTS-GLI-00033-000</t>
  </si>
  <si>
    <t>BraTS2021_00033</t>
  </si>
  <si>
    <t>00000108</t>
  </si>
  <si>
    <t>BraTS-GLI-00035-000</t>
  </si>
  <si>
    <t>BraTS2021_00035</t>
  </si>
  <si>
    <t>00000023</t>
  </si>
  <si>
    <t>BraTS-GLI-00036-000</t>
  </si>
  <si>
    <t>BraTS2021_00036</t>
  </si>
  <si>
    <t>00000059</t>
  </si>
  <si>
    <t>BraTS-GLI-00043-000</t>
  </si>
  <si>
    <t>BraTS2021_00043</t>
  </si>
  <si>
    <t>00000045</t>
  </si>
  <si>
    <t>BraTS-GLI-00044-000</t>
  </si>
  <si>
    <t>BraTS2021_00044</t>
  </si>
  <si>
    <t>00000042</t>
  </si>
  <si>
    <t>BraTS-GLI-00045-000</t>
  </si>
  <si>
    <t>BraTS2021_00045</t>
  </si>
  <si>
    <t>00000084</t>
  </si>
  <si>
    <t>BraTS-GLI-00046-000</t>
  </si>
  <si>
    <t>BraTS2021_00046</t>
  </si>
  <si>
    <t>00000095</t>
  </si>
  <si>
    <t>BraTS-GLI-00048-000</t>
  </si>
  <si>
    <t>BraTS2021_00048</t>
  </si>
  <si>
    <t>00000050</t>
  </si>
  <si>
    <t>BraTS-GLI-00049-000</t>
  </si>
  <si>
    <t>BraTS2021_00049</t>
  </si>
  <si>
    <t>00000009</t>
  </si>
  <si>
    <t>BraTS-GLI-00052-000</t>
  </si>
  <si>
    <t>BraTS2021_00052</t>
  </si>
  <si>
    <t>00000070</t>
  </si>
  <si>
    <t>BraTS-GLI-00053-000</t>
  </si>
  <si>
    <t>BraTS2021_00053</t>
  </si>
  <si>
    <t>00000104</t>
  </si>
  <si>
    <t>BraTS-GLI-00054-000</t>
  </si>
  <si>
    <t>BraTS2021_00054</t>
  </si>
  <si>
    <t>00000016</t>
  </si>
  <si>
    <t>BraTS-GLI-00056-000</t>
  </si>
  <si>
    <t>BraTS2021_00056</t>
  </si>
  <si>
    <t>00000013</t>
  </si>
  <si>
    <t>BraTS-GLI-00058-000</t>
  </si>
  <si>
    <t>BraTS2021_00058</t>
  </si>
  <si>
    <t>00000043</t>
  </si>
  <si>
    <t>BraTS-GLI-00059-000</t>
  </si>
  <si>
    <t>BraTS2021_00059</t>
  </si>
  <si>
    <t>00000044</t>
  </si>
  <si>
    <t>BraTS-GLI-00060-000</t>
  </si>
  <si>
    <t>BraTS2021_00060</t>
  </si>
  <si>
    <t>00000090</t>
  </si>
  <si>
    <t>BraTS-GLI-00061-000</t>
  </si>
  <si>
    <t>BraTS2021_00061</t>
  </si>
  <si>
    <t>00000075</t>
  </si>
  <si>
    <t>BraTS-GLI-00062-000</t>
  </si>
  <si>
    <t>BraTS2021_00062</t>
  </si>
  <si>
    <t>00000114</t>
  </si>
  <si>
    <t>BraTS-GLI-00063-000</t>
  </si>
  <si>
    <t>BraTS2021_00063</t>
  </si>
  <si>
    <t>00000109</t>
  </si>
  <si>
    <t>BraTS-GLI-00064-000</t>
  </si>
  <si>
    <t>BraTS2021_00064</t>
  </si>
  <si>
    <t>00000112</t>
  </si>
  <si>
    <t>BraTS-GLI-00066-000</t>
  </si>
  <si>
    <t>BraTS2021_00066</t>
  </si>
  <si>
    <t>00000080</t>
  </si>
  <si>
    <t>BraTS-GLI-00068-000</t>
  </si>
  <si>
    <t>BraTS2021_00068</t>
  </si>
  <si>
    <t>00000011</t>
  </si>
  <si>
    <t>BraTS-GLI-00070-000</t>
  </si>
  <si>
    <t>BraTS2021_00070</t>
  </si>
  <si>
    <t>00000033</t>
  </si>
  <si>
    <t>BraTS-GLI-00071-000</t>
  </si>
  <si>
    <t>BraTS2021_00071</t>
  </si>
  <si>
    <t>00000087</t>
  </si>
  <si>
    <t>BraTS-GLI-00072-000</t>
  </si>
  <si>
    <t>BraTS2021_00072</t>
  </si>
  <si>
    <t>00000024</t>
  </si>
  <si>
    <t>BraTS-GLI-00074-000</t>
  </si>
  <si>
    <t>BraTS2021_00074</t>
  </si>
  <si>
    <t>00000067</t>
  </si>
  <si>
    <t>BraTS-GLI-00077-000</t>
  </si>
  <si>
    <t>BraTS2021_00077</t>
  </si>
  <si>
    <t>00000077</t>
  </si>
  <si>
    <t>BraTS-GLI-00078-000</t>
  </si>
  <si>
    <t>BraTS2021_00078</t>
  </si>
  <si>
    <t>00000037</t>
  </si>
  <si>
    <t>BraTS-GLI-00081-000</t>
  </si>
  <si>
    <t>BraTS2021_00081</t>
  </si>
  <si>
    <t>00000079</t>
  </si>
  <si>
    <t>BraTS-GLI-00084-000</t>
  </si>
  <si>
    <t>BraTS2021_00084</t>
  </si>
  <si>
    <t>00000074</t>
  </si>
  <si>
    <t>BraTS-GLI-00085-000</t>
  </si>
  <si>
    <t>BraTS2021_00085</t>
  </si>
  <si>
    <t>00000021</t>
  </si>
  <si>
    <t>BraTS-GLI-00087-000</t>
  </si>
  <si>
    <t>BraTS2021_00087</t>
  </si>
  <si>
    <t>00000010</t>
  </si>
  <si>
    <t>BraTS-GLI-00088-000</t>
  </si>
  <si>
    <t>BraTS2021_00088</t>
  </si>
  <si>
    <t>00000034</t>
  </si>
  <si>
    <t>BraTS-GLI-00089-000</t>
  </si>
  <si>
    <t>BraTS2021_00089</t>
  </si>
  <si>
    <t>00000086</t>
  </si>
  <si>
    <t>BraTS-GLI-00090-000</t>
  </si>
  <si>
    <t>BraTS2021_00090</t>
  </si>
  <si>
    <t>00000101</t>
  </si>
  <si>
    <t>BraTS-GLI-00094-000</t>
  </si>
  <si>
    <t>BraTS2021_00094</t>
  </si>
  <si>
    <t>00000025</t>
  </si>
  <si>
    <t>BraTS-GLI-00095-000</t>
  </si>
  <si>
    <t>BraTS2021_00095</t>
  </si>
  <si>
    <t>00000065</t>
  </si>
  <si>
    <t>BraTS-GLI-00096-000</t>
  </si>
  <si>
    <t>BraTS2021_00096</t>
  </si>
  <si>
    <t>00000103</t>
  </si>
  <si>
    <t>BraTS-GLI-00097-000</t>
  </si>
  <si>
    <t>BraTS2021_00097</t>
  </si>
  <si>
    <t>00000004</t>
  </si>
  <si>
    <t>BraTS-GLI-00098-000</t>
  </si>
  <si>
    <t>BraTS2021_00098</t>
  </si>
  <si>
    <t>00000030</t>
  </si>
  <si>
    <t>BraTS-GLI-00099-000</t>
  </si>
  <si>
    <t>BraTS2021_00099</t>
  </si>
  <si>
    <t>00000118</t>
  </si>
  <si>
    <t>BraTS-GLI-00100-000</t>
  </si>
  <si>
    <t>BraTS2021_00100</t>
  </si>
  <si>
    <t>TCGA-02-0085</t>
  </si>
  <si>
    <t>TCGA-GBM-Training</t>
  </si>
  <si>
    <t>BraTS-GLI-00102-000</t>
  </si>
  <si>
    <t>BraTS2021_00102</t>
  </si>
  <si>
    <t>TCGA-02-0102</t>
  </si>
  <si>
    <t>BraTS-GLI-00104-000</t>
  </si>
  <si>
    <t>BraTS2021_00104</t>
  </si>
  <si>
    <t>TCGA-12-1094</t>
  </si>
  <si>
    <t>BraTS-GLI-00105-000</t>
  </si>
  <si>
    <t>BraTS2021_00105</t>
  </si>
  <si>
    <t>TCGA-06-1802</t>
  </si>
  <si>
    <t>BraTS-GLI-00106-000</t>
  </si>
  <si>
    <t>BraTS2021_00106</t>
  </si>
  <si>
    <t>TCGA-19-2631</t>
  </si>
  <si>
    <t>BraTS-GLI-00107-000</t>
  </si>
  <si>
    <t>BraTS2021_00107</t>
  </si>
  <si>
    <t>TCGA-76-6280</t>
  </si>
  <si>
    <t>BraTS-GLI-00108-000</t>
  </si>
  <si>
    <t>BraTS2021_00108</t>
  </si>
  <si>
    <t>TCGA-76-6193</t>
  </si>
  <si>
    <t>BraTS-GLI-00109-000</t>
  </si>
  <si>
    <t>BraTS2021_00109</t>
  </si>
  <si>
    <t>TCGA-02-0075</t>
  </si>
  <si>
    <t>BraTS-GLI-00110-000</t>
  </si>
  <si>
    <t>BraTS2021_00110</t>
  </si>
  <si>
    <t>TCGA-12-1098</t>
  </si>
  <si>
    <t>BraTS-GLI-00111-000</t>
  </si>
  <si>
    <t>BraTS2021_00111</t>
  </si>
  <si>
    <t>TCGA-19-2624</t>
  </si>
  <si>
    <t>BraTS-GLI-00113-000</t>
  </si>
  <si>
    <t>BraTS2021_00113</t>
  </si>
  <si>
    <t>TCGA-02-0006</t>
  </si>
  <si>
    <t>BraTS-GLI-00116-000</t>
  </si>
  <si>
    <t>BraTS2021_00116</t>
  </si>
  <si>
    <t>TCGA-14-1825</t>
  </si>
  <si>
    <t>BraTS-GLI-00117-000</t>
  </si>
  <si>
    <t>BraTS2021_00117</t>
  </si>
  <si>
    <t>TCGA-19-1789</t>
  </si>
  <si>
    <t>BraTS-GLI-00120-000</t>
  </si>
  <si>
    <t>BraTS2021_00120</t>
  </si>
  <si>
    <t>TCGA-06-0145</t>
  </si>
  <si>
    <t>BraTS-GLI-00121-000</t>
  </si>
  <si>
    <t>BraTS2021_00121</t>
  </si>
  <si>
    <t>TCGA-06-0122</t>
  </si>
  <si>
    <t>BraTS-GLI-00122-000</t>
  </si>
  <si>
    <t>BraTS2021_00122</t>
  </si>
  <si>
    <t>TCGA-76-6285</t>
  </si>
  <si>
    <t>BraTS-GLI-00123-000</t>
  </si>
  <si>
    <t>BraTS2021_00123</t>
  </si>
  <si>
    <t>TCGA-02-0047</t>
  </si>
  <si>
    <t>BraTS-GLI-00124-000</t>
  </si>
  <si>
    <t>BraTS2021_00124</t>
  </si>
  <si>
    <t>TCGA-19-0963</t>
  </si>
  <si>
    <t>BraTS-GLI-00128-000</t>
  </si>
  <si>
    <t>BraTS2021_00128</t>
  </si>
  <si>
    <t>TCGA-12-1598</t>
  </si>
  <si>
    <t>BraTS-GLI-00130-000</t>
  </si>
  <si>
    <t>BraTS2021_00130</t>
  </si>
  <si>
    <t>TCGA-19-5958</t>
  </si>
  <si>
    <t>BraTS-GLI-00132-000</t>
  </si>
  <si>
    <t>BraTS2021_00132</t>
  </si>
  <si>
    <t>TCGA-06-0142</t>
  </si>
  <si>
    <t>BraTS-GLI-00137-000</t>
  </si>
  <si>
    <t>BraTS2021_00137</t>
  </si>
  <si>
    <t>TCGA-06-0137</t>
  </si>
  <si>
    <t>BraTS-GLI-00138-000</t>
  </si>
  <si>
    <t>BraTS2021_00138</t>
  </si>
  <si>
    <t>TCGA-19-5954</t>
  </si>
  <si>
    <t>BraTS-GLI-00139-000</t>
  </si>
  <si>
    <t>BraTS2021_00139</t>
  </si>
  <si>
    <t>TCGA-02-0054</t>
  </si>
  <si>
    <t>BraTS-GLI-00140-000</t>
  </si>
  <si>
    <t>BraTS2021_00140</t>
  </si>
  <si>
    <t>TCGA-12-3650</t>
  </si>
  <si>
    <t>BraTS-GLI-00142-000</t>
  </si>
  <si>
    <t>BraTS2021_00142</t>
  </si>
  <si>
    <t>TCGA-06-0139</t>
  </si>
  <si>
    <t>BraTS-GLI-00143-000</t>
  </si>
  <si>
    <t>BraTS2021_00143</t>
  </si>
  <si>
    <t>TCGA-06-0119</t>
  </si>
  <si>
    <t>BraTS-GLI-00147-000</t>
  </si>
  <si>
    <t>BraTS2021_00147</t>
  </si>
  <si>
    <t>TCGA-06-0190</t>
  </si>
  <si>
    <t>BraTS-GLI-00148-000</t>
  </si>
  <si>
    <t>BraTS2021_00148</t>
  </si>
  <si>
    <t>TCGA-76-6191</t>
  </si>
  <si>
    <t>BraTS-GLI-00149-000</t>
  </si>
  <si>
    <t>BraTS2021_00149</t>
  </si>
  <si>
    <t>TCGA-02-0009</t>
  </si>
  <si>
    <t>BraTS-GLI-00151-000</t>
  </si>
  <si>
    <t>BraTS2021_00151</t>
  </si>
  <si>
    <t>TCGA-02-0086</t>
  </si>
  <si>
    <t>BraTS-GLI-00154-000</t>
  </si>
  <si>
    <t>BraTS2021_00154</t>
  </si>
  <si>
    <t>UPENN-GBM-00122_11</t>
  </si>
  <si>
    <t>UPENN-GBM-Training</t>
  </si>
  <si>
    <t>BraTS-GLI-00156-000</t>
  </si>
  <si>
    <t>BraTS2021_00156</t>
  </si>
  <si>
    <t>UPENN-GBM-00530_11</t>
  </si>
  <si>
    <t>BraTS-GLI-00158-000</t>
  </si>
  <si>
    <t>BraTS2021_00158</t>
  </si>
  <si>
    <t>UPENN-GBM-00267_11</t>
  </si>
  <si>
    <t>BraTS-GLI-00159-000</t>
  </si>
  <si>
    <t>BraTS2021_00159</t>
  </si>
  <si>
    <t>UPENN-GBM-00360_11</t>
  </si>
  <si>
    <t>BraTS-GLI-00160-000</t>
  </si>
  <si>
    <t>BraTS2021_00160</t>
  </si>
  <si>
    <t>UPENN-GBM-00344_11</t>
  </si>
  <si>
    <t>BraTS-GLI-00165-000</t>
  </si>
  <si>
    <t>BraTS2021_00165</t>
  </si>
  <si>
    <t>UPENN-GBM-00535_11</t>
  </si>
  <si>
    <t>BraTS-GLI-00167-000</t>
  </si>
  <si>
    <t>BraTS2021_00167</t>
  </si>
  <si>
    <t>UPENN-GBM-00456_11</t>
  </si>
  <si>
    <t>BraTS-GLI-00170-000</t>
  </si>
  <si>
    <t>BraTS2021_00170</t>
  </si>
  <si>
    <t>UPENN-GBM-00549_11</t>
  </si>
  <si>
    <t>BraTS-GLI-00171-000</t>
  </si>
  <si>
    <t>BraTS2021_00171</t>
  </si>
  <si>
    <t>UPENN-GBM-00520_11</t>
  </si>
  <si>
    <t>BraTS-GLI-00172-000</t>
  </si>
  <si>
    <t>BraTS2021_00172</t>
  </si>
  <si>
    <t>UPENN-GBM-00398_11</t>
  </si>
  <si>
    <t>BraTS-GLI-00176-000</t>
  </si>
  <si>
    <t>BraTS2021_00176</t>
  </si>
  <si>
    <t>UPENN-GBM-00447_11</t>
  </si>
  <si>
    <t>BraTS-GLI-00178-000</t>
  </si>
  <si>
    <t>BraTS2021_00178</t>
  </si>
  <si>
    <t>UPENN-GBM-00455_11</t>
  </si>
  <si>
    <t>BraTS-GLI-00183-000</t>
  </si>
  <si>
    <t>BraTS2021_00183</t>
  </si>
  <si>
    <t>UPENN-GBM-00581_11</t>
  </si>
  <si>
    <t>BraTS-GLI-00184-000</t>
  </si>
  <si>
    <t>BraTS2021_00184</t>
  </si>
  <si>
    <t>UPENN-GBM-00368_11</t>
  </si>
  <si>
    <t>BraTS-GLI-00185-000</t>
  </si>
  <si>
    <t>BraTS2021_00185</t>
  </si>
  <si>
    <t>UPENN-GBM-00534_11</t>
  </si>
  <si>
    <t>BraTS-GLI-00187-000</t>
  </si>
  <si>
    <t>BraTS2021_00187</t>
  </si>
  <si>
    <t>UPENN-GBM-00414_11</t>
  </si>
  <si>
    <t>BraTS-GLI-00188-000</t>
  </si>
  <si>
    <t>BraTS2021_00188</t>
  </si>
  <si>
    <t>UPENN-GBM-00554_11</t>
  </si>
  <si>
    <t>BraTS-GLI-00192-000</t>
  </si>
  <si>
    <t>BraTS2021_00192</t>
  </si>
  <si>
    <t>UPENN-GBM-00528_11</t>
  </si>
  <si>
    <t>BraTS-GLI-00193-000</t>
  </si>
  <si>
    <t>BraTS2021_00193</t>
  </si>
  <si>
    <t>UPENN-GBM-00563_11</t>
  </si>
  <si>
    <t>BraTS-GLI-00194-000</t>
  </si>
  <si>
    <t>BraTS2021_00194</t>
  </si>
  <si>
    <t>UPENN-GBM-00470_11</t>
  </si>
  <si>
    <t>BraTS-GLI-00196-000</t>
  </si>
  <si>
    <t>BraTS2021_00196</t>
  </si>
  <si>
    <t>UPENN-GBM-00445_11</t>
  </si>
  <si>
    <t>BraTS-GLI-00199-000</t>
  </si>
  <si>
    <t>BraTS2021_00199</t>
  </si>
  <si>
    <t>UPENN-GBM-00399_11</t>
  </si>
  <si>
    <t>BraTS-GLI-00203-000</t>
  </si>
  <si>
    <t>BraTS2021_00203</t>
  </si>
  <si>
    <t>UPENN-GBM-00546_11</t>
  </si>
  <si>
    <t>BraTS-GLI-00204-000</t>
  </si>
  <si>
    <t>BraTS2021_00204</t>
  </si>
  <si>
    <t>UPENN-GBM-00498_11</t>
  </si>
  <si>
    <t>BraTS-GLI-00206-000</t>
  </si>
  <si>
    <t>BraTS2021_00206</t>
  </si>
  <si>
    <t>UPENN-GBM-00452_11</t>
  </si>
  <si>
    <t>BraTS-GLI-00209-000</t>
  </si>
  <si>
    <t>BraTS2021_00209</t>
  </si>
  <si>
    <t>UPENN-GBM-00312_11</t>
  </si>
  <si>
    <t>BraTS-GLI-00210-000</t>
  </si>
  <si>
    <t>BraTS2021_00210</t>
  </si>
  <si>
    <t>UPENN-GBM-00406_11</t>
  </si>
  <si>
    <t>BraTS-GLI-00211-000</t>
  </si>
  <si>
    <t>BraTS2021_00211</t>
  </si>
  <si>
    <t>UPENN-GBM-00421_11</t>
  </si>
  <si>
    <t>BraTS-GLI-00212-000</t>
  </si>
  <si>
    <t>BraTS2021_00212</t>
  </si>
  <si>
    <t>UPENN-GBM-00516_11</t>
  </si>
  <si>
    <t>BraTS-GLI-00214-000</t>
  </si>
  <si>
    <t>BraTS2021_00214</t>
  </si>
  <si>
    <t>UPENN-GBM-00570_11</t>
  </si>
  <si>
    <t>BraTS-GLI-00216-000</t>
  </si>
  <si>
    <t>BraTS2021_00216</t>
  </si>
  <si>
    <t>UPENN-GBM-00500_11</t>
  </si>
  <si>
    <t>BraTS-GLI-00217-000</t>
  </si>
  <si>
    <t>BraTS2021_00217</t>
  </si>
  <si>
    <t>UPENN-GBM-00480_11</t>
  </si>
  <si>
    <t>BraTS-GLI-00218-000</t>
  </si>
  <si>
    <t>BraTS2021_00218</t>
  </si>
  <si>
    <t>UPENN-GBM-00387_11</t>
  </si>
  <si>
    <t>BraTS-GLI-00220-000</t>
  </si>
  <si>
    <t>BraTS2021_00220</t>
  </si>
  <si>
    <t>UPENN-GBM-00418_11</t>
  </si>
  <si>
    <t>BraTS-GLI-00221-000</t>
  </si>
  <si>
    <t>BraTS2021_00221</t>
  </si>
  <si>
    <t>UPENN-GBM-00432_11</t>
  </si>
  <si>
    <t>BraTS-GLI-00227-000</t>
  </si>
  <si>
    <t>BraTS2021_00227</t>
  </si>
  <si>
    <t>UPENN-GBM-00140_11</t>
  </si>
  <si>
    <t>BraTS-GLI-00228-000</t>
  </si>
  <si>
    <t>BraTS2021_00228</t>
  </si>
  <si>
    <t>UPENN-GBM-00562_11</t>
  </si>
  <si>
    <t>BraTS-GLI-00230-000</t>
  </si>
  <si>
    <t>BraTS2021_00230</t>
  </si>
  <si>
    <t>UPENN-GBM-00124_11</t>
  </si>
  <si>
    <t>BraTS-GLI-00231-000</t>
  </si>
  <si>
    <t>BraTS2021_00231</t>
  </si>
  <si>
    <t>UPENN-GBM-00246_11</t>
  </si>
  <si>
    <t>BraTS-GLI-00233-000</t>
  </si>
  <si>
    <t>BraTS2021_00233</t>
  </si>
  <si>
    <t>UPENN-GBM-00409_11</t>
  </si>
  <si>
    <t>BraTS-GLI-00234-000</t>
  </si>
  <si>
    <t>BraTS2021_00234</t>
  </si>
  <si>
    <t>UPENN-GBM-00403_11</t>
  </si>
  <si>
    <t>BraTS-GLI-00235-000</t>
  </si>
  <si>
    <t>BraTS2021_00235</t>
  </si>
  <si>
    <t>UPENN-GBM-00469_11</t>
  </si>
  <si>
    <t>BraTS-GLI-00236-000</t>
  </si>
  <si>
    <t>BraTS2021_00236</t>
  </si>
  <si>
    <t>UPENN-GBM-00471_11</t>
  </si>
  <si>
    <t>BraTS-GLI-00237-000</t>
  </si>
  <si>
    <t>BraTS2021_00237</t>
  </si>
  <si>
    <t>UPENN-GBM-00426_11</t>
  </si>
  <si>
    <t>BraTS-GLI-00238-000</t>
  </si>
  <si>
    <t>BraTS2021_00238</t>
  </si>
  <si>
    <t>UPENN-GBM-00502_11</t>
  </si>
  <si>
    <t>BraTS-GLI-00239-000</t>
  </si>
  <si>
    <t>BraTS2021_00239</t>
  </si>
  <si>
    <t>UPENN-GBM-00552_11</t>
  </si>
  <si>
    <t>BraTS-GLI-00240-000</t>
  </si>
  <si>
    <t>BraTS2021_00240</t>
  </si>
  <si>
    <t>UPENN-GBM-00197_11</t>
  </si>
  <si>
    <t>BraTS-GLI-00241-000</t>
  </si>
  <si>
    <t>BraTS2021_00241</t>
  </si>
  <si>
    <t>UPENN-GBM-00428_11</t>
  </si>
  <si>
    <t>BraTS-GLI-00242-000</t>
  </si>
  <si>
    <t>BraTS2021_00242</t>
  </si>
  <si>
    <t>UPENN-GBM-00574_11</t>
  </si>
  <si>
    <t>BraTS-GLI-00243-000</t>
  </si>
  <si>
    <t>BraTS2021_00243</t>
  </si>
  <si>
    <t>UPENN-GBM-00609_11</t>
  </si>
  <si>
    <t>BraTS-GLI-00246-000</t>
  </si>
  <si>
    <t>BraTS2021_00246</t>
  </si>
  <si>
    <t>UPENN-GBM-00588_11</t>
  </si>
  <si>
    <t>BraTS-GLI-00247-000</t>
  </si>
  <si>
    <t>BraTS2021_00247</t>
  </si>
  <si>
    <t>UPENN-GBM-00434_11</t>
  </si>
  <si>
    <t>BraTS-GLI-00249-000</t>
  </si>
  <si>
    <t>BraTS2021_00249</t>
  </si>
  <si>
    <t>UPENN-GBM-00316_11</t>
  </si>
  <si>
    <t>BraTS-GLI-00250-000</t>
  </si>
  <si>
    <t>BraTS2021_00250</t>
  </si>
  <si>
    <t>UPENN-GBM-00310_11</t>
  </si>
  <si>
    <t>BraTS-GLI-00251-000</t>
  </si>
  <si>
    <t>BraTS2021_00251</t>
  </si>
  <si>
    <t>UPENN-GBM-00411_11</t>
  </si>
  <si>
    <t>BraTS-GLI-00254-000</t>
  </si>
  <si>
    <t>BraTS2021_00254</t>
  </si>
  <si>
    <t>UPENN-GBM-00138_11</t>
  </si>
  <si>
    <t>BraTS-GLI-00261-000</t>
  </si>
  <si>
    <t>BraTS2021_00261</t>
  </si>
  <si>
    <t>UPENN-GBM-00527_11</t>
  </si>
  <si>
    <t>BraTS-GLI-00262-000</t>
  </si>
  <si>
    <t>BraTS2021_00262</t>
  </si>
  <si>
    <t>UPENN-GBM-00482_11</t>
  </si>
  <si>
    <t>BraTS-GLI-00266-000</t>
  </si>
  <si>
    <t>BraTS2021_00266</t>
  </si>
  <si>
    <t>UPENN-GBM-00402_11</t>
  </si>
  <si>
    <t>BraTS-GLI-00267-000</t>
  </si>
  <si>
    <t>BraTS2021_00267</t>
  </si>
  <si>
    <t>UPENN-GBM-00572_11</t>
  </si>
  <si>
    <t>BraTS-GLI-00269-000</t>
  </si>
  <si>
    <t>BraTS2021_00269</t>
  </si>
  <si>
    <t>UPENN-GBM-00576_11</t>
  </si>
  <si>
    <t>BraTS-GLI-00270-000</t>
  </si>
  <si>
    <t>BraTS2021_00270</t>
  </si>
  <si>
    <t>UPENN-GBM-00532_11</t>
  </si>
  <si>
    <t>BraTS-GLI-00271-000</t>
  </si>
  <si>
    <t>BraTS2021_00271</t>
  </si>
  <si>
    <t>UPENN-GBM-00404_11</t>
  </si>
  <si>
    <t>BraTS-GLI-00274-000</t>
  </si>
  <si>
    <t>BraTS2021_00274</t>
  </si>
  <si>
    <t>UPENN-GBM-00147_11</t>
  </si>
  <si>
    <t>BraTS-GLI-00275-000</t>
  </si>
  <si>
    <t>BraTS2021_00275</t>
  </si>
  <si>
    <t>UPENN-GBM-00522_11</t>
  </si>
  <si>
    <t>BraTS-GLI-00280-000</t>
  </si>
  <si>
    <t>BraTS2021_00280</t>
  </si>
  <si>
    <t>UPENN-GBM-00390_11</t>
  </si>
  <si>
    <t>BraTS-GLI-00281-000</t>
  </si>
  <si>
    <t>BraTS2021_00281</t>
  </si>
  <si>
    <t>UPENN-GBM-00401_11</t>
  </si>
  <si>
    <t>BraTS-GLI-00282-000</t>
  </si>
  <si>
    <t>BraTS2021_00282</t>
  </si>
  <si>
    <t>UPENN-GBM-00371_11</t>
  </si>
  <si>
    <t>BraTS-GLI-00283-000</t>
  </si>
  <si>
    <t>BraTS2021_00283</t>
  </si>
  <si>
    <t>UPENN-GBM-00475_11</t>
  </si>
  <si>
    <t>BraTS-GLI-00284-000</t>
  </si>
  <si>
    <t>BraTS2021_00284</t>
  </si>
  <si>
    <t>UPENN-GBM-00135_11</t>
  </si>
  <si>
    <t>BraTS-GLI-00286-000</t>
  </si>
  <si>
    <t>BraTS2021_00286</t>
  </si>
  <si>
    <t>UPENN-GBM-00410_11</t>
  </si>
  <si>
    <t>BraTS-GLI-00288-000</t>
  </si>
  <si>
    <t>BraTS2021_00288</t>
  </si>
  <si>
    <t>UPENN-GBM-00244_11</t>
  </si>
  <si>
    <t>BraTS-GLI-00290-000</t>
  </si>
  <si>
    <t>BraTS2021_00290</t>
  </si>
  <si>
    <t>UPENN-GBM-00151_11</t>
  </si>
  <si>
    <t>BraTS-GLI-00291-000</t>
  </si>
  <si>
    <t>BraTS2021_00291</t>
  </si>
  <si>
    <t>UPENN-GBM-00494_11</t>
  </si>
  <si>
    <t>BraTS-GLI-00293-000</t>
  </si>
  <si>
    <t>BraTS2021_00293</t>
  </si>
  <si>
    <t>UPENN-GBM-00438_11</t>
  </si>
  <si>
    <t>BraTS-GLI-00296-000</t>
  </si>
  <si>
    <t>BraTS2021_00296</t>
  </si>
  <si>
    <t>UPENN-GBM-00412_11</t>
  </si>
  <si>
    <t>BraTS-GLI-00297-000</t>
  </si>
  <si>
    <t>BraTS2021_00297</t>
  </si>
  <si>
    <t>UPENN-GBM-00145_11</t>
  </si>
  <si>
    <t>BraTS-GLI-00298-000</t>
  </si>
  <si>
    <t>BraTS2021_00298</t>
  </si>
  <si>
    <t>UPENN-GBM-00590_11</t>
  </si>
  <si>
    <t>BraTS-GLI-00299-000</t>
  </si>
  <si>
    <t>BraTS2021_00299</t>
  </si>
  <si>
    <t>UPENN-GBM-00474_11</t>
  </si>
  <si>
    <t>BraTS-GLI-00300-000</t>
  </si>
  <si>
    <t>BraTS2021_00300</t>
  </si>
  <si>
    <t>UPENN-GBM-00262_11</t>
  </si>
  <si>
    <t>BraTS-GLI-00301-000</t>
  </si>
  <si>
    <t>BraTS2021_00301</t>
  </si>
  <si>
    <t>UPENN-GBM-00385_11</t>
  </si>
  <si>
    <t>BraTS-GLI-00303-000</t>
  </si>
  <si>
    <t>BraTS2021_00303</t>
  </si>
  <si>
    <t>UPENN-GBM-00540_11</t>
  </si>
  <si>
    <t>BraTS-GLI-00305-000</t>
  </si>
  <si>
    <t>BraTS2021_00305</t>
  </si>
  <si>
    <t>UPENN-GBM-00423_11</t>
  </si>
  <si>
    <t>BraTS-GLI-00310-000</t>
  </si>
  <si>
    <t>BraTS2021_00310</t>
  </si>
  <si>
    <t>UPENN-GBM-00136_11</t>
  </si>
  <si>
    <t>BraTS-GLI-00311-000</t>
  </si>
  <si>
    <t>BraTS2021_00311</t>
  </si>
  <si>
    <t>UPENN-GBM-00556_11</t>
  </si>
  <si>
    <t>BraTS-GLI-00313-000</t>
  </si>
  <si>
    <t>BraTS2021_00313</t>
  </si>
  <si>
    <t>UPENN-GBM-00356_11</t>
  </si>
  <si>
    <t>BraTS-GLI-00314-000</t>
  </si>
  <si>
    <t>BraTS2021_00314</t>
  </si>
  <si>
    <t>UPENN-GBM-00525_11</t>
  </si>
  <si>
    <t>BraTS-GLI-00316-000</t>
  </si>
  <si>
    <t>BraTS2021_00316</t>
  </si>
  <si>
    <t>UPENN-GBM-00587_11</t>
  </si>
  <si>
    <t>BraTS-GLI-00317-000</t>
  </si>
  <si>
    <t>BraTS2021_00317</t>
  </si>
  <si>
    <t>UPENN-GBM-00481_11</t>
  </si>
  <si>
    <t>BraTS-GLI-00318-000</t>
  </si>
  <si>
    <t>BraTS2021_00318</t>
  </si>
  <si>
    <t>UPENN-GBM-00121_11</t>
  </si>
  <si>
    <t>BraTS-GLI-00320-000</t>
  </si>
  <si>
    <t>BraTS2021_00320</t>
  </si>
  <si>
    <t>UPENN-GBM-00261_11</t>
  </si>
  <si>
    <t>BraTS-GLI-00321-000</t>
  </si>
  <si>
    <t>BraTS2021_00321</t>
  </si>
  <si>
    <t>UPENN-GBM-00380_11</t>
  </si>
  <si>
    <t>BraTS-GLI-00324-000</t>
  </si>
  <si>
    <t>BraTS2021_00324</t>
  </si>
  <si>
    <t>UPENN-GBM-00141_11</t>
  </si>
  <si>
    <t>BraTS-GLI-00325-000</t>
  </si>
  <si>
    <t>BraTS2021_00325</t>
  </si>
  <si>
    <t>UPENN-GBM-00483_11</t>
  </si>
  <si>
    <t>BraTS-GLI-00329-000</t>
  </si>
  <si>
    <t>BraTS2021_00329</t>
  </si>
  <si>
    <t>UPENN-GBM-00264_11</t>
  </si>
  <si>
    <t>BraTS-GLI-00331-000</t>
  </si>
  <si>
    <t>BraTS2021_00331</t>
  </si>
  <si>
    <t>UPENN-GBM-00388_11</t>
  </si>
  <si>
    <t>BraTS-GLI-00334-000</t>
  </si>
  <si>
    <t>BraTS2021_00334</t>
  </si>
  <si>
    <t>UPENN-GBM-00352_11</t>
  </si>
  <si>
    <t>BraTS-GLI-00336-000</t>
  </si>
  <si>
    <t>BraTS2021_00336</t>
  </si>
  <si>
    <t>UPENN-GBM-00376_11</t>
  </si>
  <si>
    <t>BraTS-GLI-00338-000</t>
  </si>
  <si>
    <t>BraTS2021_00338</t>
  </si>
  <si>
    <t>UPENN-GBM-00488_11</t>
  </si>
  <si>
    <t>BraTS-GLI-00340-000</t>
  </si>
  <si>
    <t>BraTS2021_00340</t>
  </si>
  <si>
    <t>UPENN-GBM-00551_11</t>
  </si>
  <si>
    <t>BraTS-GLI-00341-000</t>
  </si>
  <si>
    <t>BraTS2021_00341</t>
  </si>
  <si>
    <t>UPENN-GBM-00408_11</t>
  </si>
  <si>
    <t>BraTS-GLI-00343-000</t>
  </si>
  <si>
    <t>BraTS2021_00343</t>
  </si>
  <si>
    <t>UPENN-GBM-00476_11</t>
  </si>
  <si>
    <t>BraTS-GLI-00346-000</t>
  </si>
  <si>
    <t>BraTS2021_00346</t>
  </si>
  <si>
    <t>UPENN-GBM-00379_11</t>
  </si>
  <si>
    <t>BraTS-GLI-00347-000</t>
  </si>
  <si>
    <t>BraTS2021_00347</t>
  </si>
  <si>
    <t>UPENN-GBM-00367_11</t>
  </si>
  <si>
    <t>BraTS-GLI-00348-000</t>
  </si>
  <si>
    <t>BraTS2021_00348</t>
  </si>
  <si>
    <t>UPENN-GBM-00146_11</t>
  </si>
  <si>
    <t>BraTS-GLI-00349-000</t>
  </si>
  <si>
    <t>BraTS2021_00349</t>
  </si>
  <si>
    <t>UPENN-GBM-00486_11</t>
  </si>
  <si>
    <t>BraTS-GLI-00351-000</t>
  </si>
  <si>
    <t>BraTS2021_00351</t>
  </si>
  <si>
    <t>UPENN-GBM-00537_11</t>
  </si>
  <si>
    <t>BraTS-GLI-00352-000</t>
  </si>
  <si>
    <t>BraTS2021_00352</t>
  </si>
  <si>
    <t>UPENN-GBM-00260_11</t>
  </si>
  <si>
    <t>BraTS-GLI-00353-000</t>
  </si>
  <si>
    <t>BraTS2021_00353</t>
  </si>
  <si>
    <t>UPENN-GBM-00529_11</t>
  </si>
  <si>
    <t>BraTS-GLI-00356-000</t>
  </si>
  <si>
    <t>BraTS2021_00356</t>
  </si>
  <si>
    <t>UPENN-GBM-00034_11</t>
  </si>
  <si>
    <t>BraTS-GLI-00360-000</t>
  </si>
  <si>
    <t>BraTS2021_00360</t>
  </si>
  <si>
    <t>UPENN-GBM-00514_11</t>
  </si>
  <si>
    <t>BraTS-GLI-00364-000</t>
  </si>
  <si>
    <t>BraTS2021_00364</t>
  </si>
  <si>
    <t>UPENN-GBM-00559_11</t>
  </si>
  <si>
    <t>BraTS-GLI-00366-000</t>
  </si>
  <si>
    <t>BraTS2021_00366</t>
  </si>
  <si>
    <t>UPENN-GBM-00557_11</t>
  </si>
  <si>
    <t>BraTS-GLI-00367-000</t>
  </si>
  <si>
    <t>BraTS2021_00367</t>
  </si>
  <si>
    <t>UPENN-GBM-00095_11</t>
  </si>
  <si>
    <t>BraTS-GLI-00369-000</t>
  </si>
  <si>
    <t>BraTS2021_00369</t>
  </si>
  <si>
    <t>UPENN-GBM-00555_11</t>
  </si>
  <si>
    <t>BraTS-GLI-00370-000</t>
  </si>
  <si>
    <t>BraTS2021_00370</t>
  </si>
  <si>
    <t>UPENN-GBM-00128_11</t>
  </si>
  <si>
    <t>BraTS-GLI-00373-000</t>
  </si>
  <si>
    <t>BraTS2021_00373</t>
  </si>
  <si>
    <t>UPENN-GBM-00290_11</t>
  </si>
  <si>
    <t>BraTS-GLI-00376-000</t>
  </si>
  <si>
    <t>BraTS2021_00376</t>
  </si>
  <si>
    <t>UPENN-GBM-00499_11</t>
  </si>
  <si>
    <t>BraTS-GLI-00377-000</t>
  </si>
  <si>
    <t>BraTS2021_00377</t>
  </si>
  <si>
    <t>UPENN-GBM-00517_11</t>
  </si>
  <si>
    <t>BraTS-GLI-00378-000</t>
  </si>
  <si>
    <t>BraTS2021_00378</t>
  </si>
  <si>
    <t>UPENN-GBM-00449_11</t>
  </si>
  <si>
    <t>BraTS-GLI-00379-000</t>
  </si>
  <si>
    <t>BraTS2021_00379</t>
  </si>
  <si>
    <t>UPENN-GBM-00436_11</t>
  </si>
  <si>
    <t>BraTS-GLI-00382-000</t>
  </si>
  <si>
    <t>BraTS2021_00382</t>
  </si>
  <si>
    <t>UPENN-GBM-00132_11</t>
  </si>
  <si>
    <t>BraTS-GLI-00383-000</t>
  </si>
  <si>
    <t>BraTS2021_00383</t>
  </si>
  <si>
    <t>UPENN-GBM-00512_11</t>
  </si>
  <si>
    <t>BraTS-GLI-00386-000</t>
  </si>
  <si>
    <t>BraTS2021_00386</t>
  </si>
  <si>
    <t>UPENN-GBM-00302_11</t>
  </si>
  <si>
    <t>BraTS-GLI-00387-000</t>
  </si>
  <si>
    <t>BraTS2021_00387</t>
  </si>
  <si>
    <t>UPENN-GBM-00473_11</t>
  </si>
  <si>
    <t>BraTS-GLI-00388-000</t>
  </si>
  <si>
    <t>BraTS2021_00388</t>
  </si>
  <si>
    <t>UPENN-GBM-00487_11</t>
  </si>
  <si>
    <t>BraTS-GLI-00389-000</t>
  </si>
  <si>
    <t>BraTS2021_00389</t>
  </si>
  <si>
    <t>UPENN-GBM-00393_11</t>
  </si>
  <si>
    <t>BraTS-GLI-00390-000</t>
  </si>
  <si>
    <t>BraTS2021_00390</t>
  </si>
  <si>
    <t>UPENN-GBM-00133_11</t>
  </si>
  <si>
    <t>BraTS-GLI-00391-000</t>
  </si>
  <si>
    <t>BraTS2021_00391</t>
  </si>
  <si>
    <t>UPENN-GBM-00143_11</t>
  </si>
  <si>
    <t>BraTS-GLI-00395-000</t>
  </si>
  <si>
    <t>BraTS2021_00395</t>
  </si>
  <si>
    <t>UPENN-GBM-00370_11</t>
  </si>
  <si>
    <t>BraTS-GLI-00397-000</t>
  </si>
  <si>
    <t>BraTS2021_00397</t>
  </si>
  <si>
    <t>UPENN-GBM-00593_11</t>
  </si>
  <si>
    <t>BraTS-GLI-00399-000</t>
  </si>
  <si>
    <t>BraTS2021_00399</t>
  </si>
  <si>
    <t>UPENN-GBM-00454_11</t>
  </si>
  <si>
    <t>BraTS-GLI-00401-000</t>
  </si>
  <si>
    <t>BraTS2021_00401</t>
  </si>
  <si>
    <t>UPENN-GBM-00129_11</t>
  </si>
  <si>
    <t>BraTS-GLI-00402-000</t>
  </si>
  <si>
    <t>BraTS2021_00402</t>
  </si>
  <si>
    <t>UPENN-GBM-00597_11</t>
  </si>
  <si>
    <t>BraTS-GLI-00404-000</t>
  </si>
  <si>
    <t>BraTS2021_00404</t>
  </si>
  <si>
    <t>UPENN-GBM-00287_11</t>
  </si>
  <si>
    <t>BraTS-GLI-00405-000</t>
  </si>
  <si>
    <t>BraTS2021_00405</t>
  </si>
  <si>
    <t>UPENN-GBM-00515_11</t>
  </si>
  <si>
    <t>BraTS-GLI-00407-000</t>
  </si>
  <si>
    <t>BraTS2021_00407</t>
  </si>
  <si>
    <t>UPENN-GBM-00144_11</t>
  </si>
  <si>
    <t>BraTS-GLI-00410-000</t>
  </si>
  <si>
    <t>BraTS2021_00410</t>
  </si>
  <si>
    <t>UPENN-GBM-00282_11</t>
  </si>
  <si>
    <t>BraTS-GLI-00412-000</t>
  </si>
  <si>
    <t>BraTS2021_00412</t>
  </si>
  <si>
    <t>UPENN-GBM-00369_11</t>
  </si>
  <si>
    <t>BraTS-GLI-00413-000</t>
  </si>
  <si>
    <t>BraTS2021_00413</t>
  </si>
  <si>
    <t>UPENN-GBM-00359_11</t>
  </si>
  <si>
    <t>BraTS-GLI-00414-000</t>
  </si>
  <si>
    <t>BraTS2021_00414</t>
  </si>
  <si>
    <t>UPENN-GBM-00583_11</t>
  </si>
  <si>
    <t>BraTS-GLI-00416-000</t>
  </si>
  <si>
    <t>BraTS2021_00416</t>
  </si>
  <si>
    <t>UPENN-GBM-00378_11</t>
  </si>
  <si>
    <t>BraTS-GLI-00417-000</t>
  </si>
  <si>
    <t>BraTS2021_00417</t>
  </si>
  <si>
    <t>UPENN-GBM-00117_11</t>
  </si>
  <si>
    <t>BraTS-GLI-00419-000</t>
  </si>
  <si>
    <t>BraTS2021_00419</t>
  </si>
  <si>
    <t>UPENN-GBM-00373_11</t>
  </si>
  <si>
    <t>BraTS-GLI-00421-000</t>
  </si>
  <si>
    <t>BraTS2021_00421</t>
  </si>
  <si>
    <t>UPENN-GBM-00463_11</t>
  </si>
  <si>
    <t>BraTS-GLI-00423-000</t>
  </si>
  <si>
    <t>BraTS2021_00423</t>
  </si>
  <si>
    <t>UPENN-GBM-00091_11</t>
  </si>
  <si>
    <t>BraTS-GLI-00429-000</t>
  </si>
  <si>
    <t>BraTS2021_00429</t>
  </si>
  <si>
    <t>UPENN-GBM-00544_11</t>
  </si>
  <si>
    <t>BraTS-GLI-00430-000</t>
  </si>
  <si>
    <t>BraTS2021_00430</t>
  </si>
  <si>
    <t>UPENN-GBM-00448_11</t>
  </si>
  <si>
    <t>BraTS-GLI-00431-000</t>
  </si>
  <si>
    <t>BraTS2021_00431</t>
  </si>
  <si>
    <t>UPENN-GBM-00381_11</t>
  </si>
  <si>
    <t>BraTS-GLI-00432-000</t>
  </si>
  <si>
    <t>BraTS2021_00432</t>
  </si>
  <si>
    <t>UPENN-GBM-00585_11</t>
  </si>
  <si>
    <t>BraTS-GLI-00433-000</t>
  </si>
  <si>
    <t>BraTS2021_00433</t>
  </si>
  <si>
    <t>UPENN-GBM-00413_11</t>
  </si>
  <si>
    <t>BraTS-GLI-00440-000</t>
  </si>
  <si>
    <t>BraTS2021_00440</t>
  </si>
  <si>
    <t>UPENN-GBM-00304_11</t>
  </si>
  <si>
    <t>BraTS-GLI-00442-000</t>
  </si>
  <si>
    <t>BraTS2021_00442</t>
  </si>
  <si>
    <t>C3L-02465</t>
  </si>
  <si>
    <t>CPTAC-GBM-Training</t>
  </si>
  <si>
    <t>BraTS-GLI-00443-000</t>
  </si>
  <si>
    <t>BraTS2021_00443</t>
  </si>
  <si>
    <t>C3L-02708</t>
  </si>
  <si>
    <t>BraTS-GLI-00444-000</t>
  </si>
  <si>
    <t>BraTS2021_00444</t>
  </si>
  <si>
    <t>C3N-01851</t>
  </si>
  <si>
    <t>BraTS-GLI-00445-000</t>
  </si>
  <si>
    <t>BraTS2021_00445</t>
  </si>
  <si>
    <t>C3L-01043</t>
  </si>
  <si>
    <t>BraTS-GLI-00446-000</t>
  </si>
  <si>
    <t>BraTS2021_00446</t>
  </si>
  <si>
    <t>C3L-01156</t>
  </si>
  <si>
    <t>BraTS-GLI-00448-000</t>
  </si>
  <si>
    <t>BraTS2021_00448</t>
  </si>
  <si>
    <t>C3L-02504</t>
  </si>
  <si>
    <t>BraTS-GLI-00449-000</t>
  </si>
  <si>
    <t>BraTS2021_00449</t>
  </si>
  <si>
    <t>C3N-00663</t>
  </si>
  <si>
    <t>BraTS-GLI-00451-000</t>
  </si>
  <si>
    <t>BraTS2021_00451</t>
  </si>
  <si>
    <t>C3L-00677</t>
  </si>
  <si>
    <t>BraTS-GLI-00453-000</t>
  </si>
  <si>
    <t>BraTS2021_00453</t>
  </si>
  <si>
    <t>C3L-03727</t>
  </si>
  <si>
    <t>BraTS-GLI-00454-000</t>
  </si>
  <si>
    <t>BraTS2021_00454</t>
  </si>
  <si>
    <t>C3L-01045</t>
  </si>
  <si>
    <t>BraTS-GLI-00457-000</t>
  </si>
  <si>
    <t>BraTS2021_00457</t>
  </si>
  <si>
    <t>C3L-01327</t>
  </si>
  <si>
    <t>BraTS-GLI-00464-000</t>
  </si>
  <si>
    <t>BraTS2021_00464</t>
  </si>
  <si>
    <t>00000149</t>
  </si>
  <si>
    <t>BraTS-GLI-00466-000</t>
  </si>
  <si>
    <t>BraTS2021_00466</t>
  </si>
  <si>
    <t>00000139</t>
  </si>
  <si>
    <t>BraTS-GLI-00468-000</t>
  </si>
  <si>
    <t>BraTS2021_00468</t>
  </si>
  <si>
    <t>00000227</t>
  </si>
  <si>
    <t>BraTS-GLI-00469-000</t>
  </si>
  <si>
    <t>BraTS2021_00469</t>
  </si>
  <si>
    <t>00000163</t>
  </si>
  <si>
    <t>BraTS-GLI-00470-000</t>
  </si>
  <si>
    <t>BraTS2021_00470</t>
  </si>
  <si>
    <t>00000167</t>
  </si>
  <si>
    <t>BraTS-GLI-00472-000</t>
  </si>
  <si>
    <t>BraTS2021_00472</t>
  </si>
  <si>
    <t>00000179</t>
  </si>
  <si>
    <t>BraTS-GLI-00477-000</t>
  </si>
  <si>
    <t>BraTS2021_00477</t>
  </si>
  <si>
    <t>00000225</t>
  </si>
  <si>
    <t>BraTS-GLI-00478-000</t>
  </si>
  <si>
    <t>BraTS2021_00478</t>
  </si>
  <si>
    <t>00000191</t>
  </si>
  <si>
    <t>BraTS-GLI-00479-000</t>
  </si>
  <si>
    <t>BraTS2021_00479</t>
  </si>
  <si>
    <t>00000200</t>
  </si>
  <si>
    <t>BraTS-GLI-00480-000</t>
  </si>
  <si>
    <t>BraTS2021_00480</t>
  </si>
  <si>
    <t>00000275</t>
  </si>
  <si>
    <t>BraTS-GLI-00481-000</t>
  </si>
  <si>
    <t>BraTS2021_00481</t>
  </si>
  <si>
    <t>00000133</t>
  </si>
  <si>
    <t>BraTS-GLI-00483-000</t>
  </si>
  <si>
    <t>BraTS2021_00483</t>
  </si>
  <si>
    <t>00000159</t>
  </si>
  <si>
    <t>BraTS-GLI-00485-000</t>
  </si>
  <si>
    <t>BraTS2021_00485</t>
  </si>
  <si>
    <t>00000194</t>
  </si>
  <si>
    <t>BraTS-GLI-00488-000</t>
  </si>
  <si>
    <t>BraTS2021_00488</t>
  </si>
  <si>
    <t>00000223</t>
  </si>
  <si>
    <t>BraTS-GLI-00491-000</t>
  </si>
  <si>
    <t>BraTS2021_00491</t>
  </si>
  <si>
    <t>00000137</t>
  </si>
  <si>
    <t>BraTS-GLI-00493-000</t>
  </si>
  <si>
    <t>BraTS2021_00493</t>
  </si>
  <si>
    <t>00000148</t>
  </si>
  <si>
    <t>BraTS-GLI-00494-000</t>
  </si>
  <si>
    <t>BraTS2021_00494</t>
  </si>
  <si>
    <t>00000213</t>
  </si>
  <si>
    <t>BraTS-GLI-00495-000</t>
  </si>
  <si>
    <t>BraTS2021_00495</t>
  </si>
  <si>
    <t>00000209</t>
  </si>
  <si>
    <t>BraTS-GLI-00496-000</t>
  </si>
  <si>
    <t>BraTS2021_00496</t>
  </si>
  <si>
    <t>00000196</t>
  </si>
  <si>
    <t>BraTS-GLI-00498-000</t>
  </si>
  <si>
    <t>BraTS2021_00498</t>
  </si>
  <si>
    <t>00000146</t>
  </si>
  <si>
    <t>BraTS-GLI-00499-000</t>
  </si>
  <si>
    <t>BraTS2021_00499</t>
  </si>
  <si>
    <t>00000278</t>
  </si>
  <si>
    <t>BraTS-GLI-00500-000</t>
  </si>
  <si>
    <t>BraTS2021_00500</t>
  </si>
  <si>
    <t>00000193</t>
  </si>
  <si>
    <t>BraTS-GLI-00501-000</t>
  </si>
  <si>
    <t>BraTS2021_00501</t>
  </si>
  <si>
    <t>00000187</t>
  </si>
  <si>
    <t>BraTS-GLI-00502-000</t>
  </si>
  <si>
    <t>BraTS2021_00502</t>
  </si>
  <si>
    <t>00000134</t>
  </si>
  <si>
    <t>BraTS-GLI-00504-000</t>
  </si>
  <si>
    <t>BraTS2021_00504</t>
  </si>
  <si>
    <t>00000156</t>
  </si>
  <si>
    <t>BraTS-GLI-00505-000</t>
  </si>
  <si>
    <t>BraTS2021_00505</t>
  </si>
  <si>
    <t>00000157</t>
  </si>
  <si>
    <t>BraTS-GLI-00506-000</t>
  </si>
  <si>
    <t>BraTS2021_00506</t>
  </si>
  <si>
    <t>00000150</t>
  </si>
  <si>
    <t>BraTS-GLI-00507-000</t>
  </si>
  <si>
    <t>BraTS2021_00507</t>
  </si>
  <si>
    <t>00000151</t>
  </si>
  <si>
    <t>BraTS-GLI-00510-000</t>
  </si>
  <si>
    <t>BraTS2021_00510</t>
  </si>
  <si>
    <t>00000195</t>
  </si>
  <si>
    <t>BraTS-GLI-00511-000</t>
  </si>
  <si>
    <t>BraTS2021_00511</t>
  </si>
  <si>
    <t>00000128</t>
  </si>
  <si>
    <t>BraTS-GLI-00512-000</t>
  </si>
  <si>
    <t>BraTS2021_00512</t>
  </si>
  <si>
    <t>00000178</t>
  </si>
  <si>
    <t>BraTS-GLI-00513-000</t>
  </si>
  <si>
    <t>BraTS2021_00513</t>
  </si>
  <si>
    <t>00000188</t>
  </si>
  <si>
    <t>BraTS-GLI-00514-000</t>
  </si>
  <si>
    <t>BraTS2021_00514</t>
  </si>
  <si>
    <t>00000212</t>
  </si>
  <si>
    <t>BraTS-GLI-00516-000</t>
  </si>
  <si>
    <t>BraTS2021_00516</t>
  </si>
  <si>
    <t>00000158</t>
  </si>
  <si>
    <t>BraTS-GLI-00517-000</t>
  </si>
  <si>
    <t>BraTS2021_00517</t>
  </si>
  <si>
    <t>00000126</t>
  </si>
  <si>
    <t>BraTS-GLI-00518-000</t>
  </si>
  <si>
    <t>BraTS2021_00518</t>
  </si>
  <si>
    <t>00000164</t>
  </si>
  <si>
    <t>BraTS-GLI-00519-000</t>
  </si>
  <si>
    <t>BraTS2021_00519</t>
  </si>
  <si>
    <t>00000202</t>
  </si>
  <si>
    <t>BraTS-GLI-00520-000</t>
  </si>
  <si>
    <t>BraTS2021_00520</t>
  </si>
  <si>
    <t>00000184</t>
  </si>
  <si>
    <t>BraTS-GLI-00523-000</t>
  </si>
  <si>
    <t>BraTS2021_00523</t>
  </si>
  <si>
    <t>00000190</t>
  </si>
  <si>
    <t>BraTS-GLI-00524-000</t>
  </si>
  <si>
    <t>BraTS2021_00524</t>
  </si>
  <si>
    <t>00000183</t>
  </si>
  <si>
    <t>BraTS-GLI-00525-000</t>
  </si>
  <si>
    <t>BraTS2021_00525</t>
  </si>
  <si>
    <t>00000132</t>
  </si>
  <si>
    <t>BraTS-GLI-00526-000</t>
  </si>
  <si>
    <t>BraTS2021_00526</t>
  </si>
  <si>
    <t>00000185</t>
  </si>
  <si>
    <t>BraTS-GLI-00528-000</t>
  </si>
  <si>
    <t>BraTS2021_00528</t>
  </si>
  <si>
    <t>00000174</t>
  </si>
  <si>
    <t>BraTS-GLI-00529-000</t>
  </si>
  <si>
    <t>BraTS2021_00529</t>
  </si>
  <si>
    <t>00000130</t>
  </si>
  <si>
    <t>BraTS-GLI-00530-000</t>
  </si>
  <si>
    <t>BraTS2021_00530</t>
  </si>
  <si>
    <t>00000124</t>
  </si>
  <si>
    <t>BraTS-GLI-00532-000</t>
  </si>
  <si>
    <t>BraTS2021_00532</t>
  </si>
  <si>
    <t>00000147</t>
  </si>
  <si>
    <t>BraTS-GLI-00533-000</t>
  </si>
  <si>
    <t>BraTS2021_00533</t>
  </si>
  <si>
    <t>00000168</t>
  </si>
  <si>
    <t>BraTS-GLI-00537-000</t>
  </si>
  <si>
    <t>BraTS2021_00537</t>
  </si>
  <si>
    <t>00000170</t>
  </si>
  <si>
    <t>BraTS-GLI-00538-000</t>
  </si>
  <si>
    <t>BraTS2021_00538</t>
  </si>
  <si>
    <t>00000175</t>
  </si>
  <si>
    <t>BraTS-GLI-00539-000</t>
  </si>
  <si>
    <t>BraTS2021_00539</t>
  </si>
  <si>
    <t>00000181</t>
  </si>
  <si>
    <t>BraTS-GLI-00540-000</t>
  </si>
  <si>
    <t>BraTS2021_00540</t>
  </si>
  <si>
    <t>00000203</t>
  </si>
  <si>
    <t>BraTS-GLI-00542-000</t>
  </si>
  <si>
    <t>BraTS2021_00542</t>
  </si>
  <si>
    <t>00000198</t>
  </si>
  <si>
    <t>BraTS-GLI-00543-000</t>
  </si>
  <si>
    <t>BraTS2021_00543</t>
  </si>
  <si>
    <t>00000162</t>
  </si>
  <si>
    <t>BraTS-GLI-00544-000</t>
  </si>
  <si>
    <t>BraTS2021_00544</t>
  </si>
  <si>
    <t>00000273</t>
  </si>
  <si>
    <t>BraTS-GLI-00545-000</t>
  </si>
  <si>
    <t>BraTS2021_00545</t>
  </si>
  <si>
    <t>00000180</t>
  </si>
  <si>
    <t>BraTS-GLI-00547-000</t>
  </si>
  <si>
    <t>BraTS2021_00547</t>
  </si>
  <si>
    <t>00000131</t>
  </si>
  <si>
    <t>BraTS-GLI-00548-000</t>
  </si>
  <si>
    <t>BraTS2021_00548</t>
  </si>
  <si>
    <t>00000127</t>
  </si>
  <si>
    <t>BraTS-GLI-00549-000</t>
  </si>
  <si>
    <t>BraTS2021_00549</t>
  </si>
  <si>
    <t>00000135</t>
  </si>
  <si>
    <t>BraTS-GLI-00550-000</t>
  </si>
  <si>
    <t>BraTS2021_00550</t>
  </si>
  <si>
    <t>00000189</t>
  </si>
  <si>
    <t>BraTS-GLI-00551-000</t>
  </si>
  <si>
    <t>BraTS2021_00551</t>
  </si>
  <si>
    <t>00000173</t>
  </si>
  <si>
    <t>BraTS-GLI-00552-000</t>
  </si>
  <si>
    <t>BraTS2021_00552</t>
  </si>
  <si>
    <t>00000143</t>
  </si>
  <si>
    <t>BraTS-GLI-00554-000</t>
  </si>
  <si>
    <t>BraTS2021_00554</t>
  </si>
  <si>
    <t>00000140</t>
  </si>
  <si>
    <t>BraTS-GLI-00555-000</t>
  </si>
  <si>
    <t>BraTS2021_00555</t>
  </si>
  <si>
    <t>00000228</t>
  </si>
  <si>
    <t>BraTS-GLI-00557-000</t>
  </si>
  <si>
    <t>BraTS2021_00557</t>
  </si>
  <si>
    <t>00000138</t>
  </si>
  <si>
    <t>BraTS-GLI-00558-000</t>
  </si>
  <si>
    <t>BraTS2021_00558</t>
  </si>
  <si>
    <t>00000186</t>
  </si>
  <si>
    <t>BraTS-GLI-00559-000</t>
  </si>
  <si>
    <t>BraTS2021_00559</t>
  </si>
  <si>
    <t>00000144</t>
  </si>
  <si>
    <t>BraTS-GLI-00601-000</t>
  </si>
  <si>
    <t>BraTS2021_00601</t>
  </si>
  <si>
    <t>00000526</t>
  </si>
  <si>
    <t>BraTS-GLI-00602-000</t>
  </si>
  <si>
    <t>BraTS2021_00602</t>
  </si>
  <si>
    <t>00000464</t>
  </si>
  <si>
    <t>BraTS-GLI-00604-000</t>
  </si>
  <si>
    <t>BraTS2021_00604</t>
  </si>
  <si>
    <t>00000529</t>
  </si>
  <si>
    <t>BraTS-GLI-00605-000</t>
  </si>
  <si>
    <t>BraTS2021_00605</t>
  </si>
  <si>
    <t>00000492</t>
  </si>
  <si>
    <t>BraTS-GLI-00606-000</t>
  </si>
  <si>
    <t>BraTS2021_00606</t>
  </si>
  <si>
    <t>00000453</t>
  </si>
  <si>
    <t>BraTS-GLI-00607-000</t>
  </si>
  <si>
    <t>BraTS2021_00607</t>
  </si>
  <si>
    <t>00000467</t>
  </si>
  <si>
    <t>BraTS-GLI-00608-000</t>
  </si>
  <si>
    <t>BraTS2021_00608</t>
  </si>
  <si>
    <t>00000426</t>
  </si>
  <si>
    <t>BraTS-GLI-00610-000</t>
  </si>
  <si>
    <t>BraTS2021_00610</t>
  </si>
  <si>
    <t>00000418</t>
  </si>
  <si>
    <t>BraTS-GLI-00611-000</t>
  </si>
  <si>
    <t>BraTS2021_00611</t>
  </si>
  <si>
    <t>00000496</t>
  </si>
  <si>
    <t>BraTS-GLI-00612-000</t>
  </si>
  <si>
    <t>BraTS2021_00612</t>
  </si>
  <si>
    <t>00000531</t>
  </si>
  <si>
    <t>BraTS-GLI-00613-000</t>
  </si>
  <si>
    <t>BraTS2021_00613</t>
  </si>
  <si>
    <t>00000472</t>
  </si>
  <si>
    <t>BraTS-GLI-00615-000</t>
  </si>
  <si>
    <t>BraTS2021_00615</t>
  </si>
  <si>
    <t>00000421</t>
  </si>
  <si>
    <t>BraTS-GLI-00616-000</t>
  </si>
  <si>
    <t>BraTS2021_00616</t>
  </si>
  <si>
    <t>00000481</t>
  </si>
  <si>
    <t>BraTS-GLI-00618-000</t>
  </si>
  <si>
    <t>BraTS2021_00618</t>
  </si>
  <si>
    <t>00000462</t>
  </si>
  <si>
    <t>BraTS-GLI-00619-000</t>
  </si>
  <si>
    <t>BraTS2021_00619</t>
  </si>
  <si>
    <t>00000479</t>
  </si>
  <si>
    <t>BraTS-GLI-00620-000</t>
  </si>
  <si>
    <t>BraTS2021_00620</t>
  </si>
  <si>
    <t>00000503</t>
  </si>
  <si>
    <t>BraTS-GLI-00621-000</t>
  </si>
  <si>
    <t>BraTS2021_00621</t>
  </si>
  <si>
    <t>00000534</t>
  </si>
  <si>
    <t>BraTS-GLI-00622-000</t>
  </si>
  <si>
    <t>BraTS2021_00622</t>
  </si>
  <si>
    <t>00000516</t>
  </si>
  <si>
    <t>BraTS-GLI-00623-000</t>
  </si>
  <si>
    <t>BraTS2021_00623</t>
  </si>
  <si>
    <t>00000514</t>
  </si>
  <si>
    <t>BraTS-GLI-00624-000</t>
  </si>
  <si>
    <t>BraTS2021_00624</t>
  </si>
  <si>
    <t>00000434</t>
  </si>
  <si>
    <t>BraTS-GLI-00625-000</t>
  </si>
  <si>
    <t>BraTS2021_00625</t>
  </si>
  <si>
    <t>00000417</t>
  </si>
  <si>
    <t>BraTS-GLI-00626-000</t>
  </si>
  <si>
    <t>BraTS2021_00626</t>
  </si>
  <si>
    <t>00000433</t>
  </si>
  <si>
    <t>BraTS-GLI-00628-000</t>
  </si>
  <si>
    <t>BraTS2021_00628</t>
  </si>
  <si>
    <t>00000524</t>
  </si>
  <si>
    <t>BraTS-GLI-00630-000</t>
  </si>
  <si>
    <t>BraTS2021_00630</t>
  </si>
  <si>
    <t>00000525</t>
  </si>
  <si>
    <t>BraTS-GLI-00631-000</t>
  </si>
  <si>
    <t>BraTS2021_00631</t>
  </si>
  <si>
    <t>00000522</t>
  </si>
  <si>
    <t>BraTS-GLI-00636-000</t>
  </si>
  <si>
    <t>BraTS2021_00636</t>
  </si>
  <si>
    <t>00000428</t>
  </si>
  <si>
    <t>BraTS-GLI-00638-000</t>
  </si>
  <si>
    <t>BraTS2021_00638</t>
  </si>
  <si>
    <t>00000447</t>
  </si>
  <si>
    <t>BraTS-GLI-00639-000</t>
  </si>
  <si>
    <t>BraTS2021_00639</t>
  </si>
  <si>
    <t>00000429</t>
  </si>
  <si>
    <t>BraTS-GLI-00640-000</t>
  </si>
  <si>
    <t>BraTS2021_00640</t>
  </si>
  <si>
    <t>00000527</t>
  </si>
  <si>
    <t>BraTS-GLI-00641-000</t>
  </si>
  <si>
    <t>BraTS2021_00641</t>
  </si>
  <si>
    <t>00000459</t>
  </si>
  <si>
    <t>BraTS-GLI-00642-000</t>
  </si>
  <si>
    <t>BraTS2021_00642</t>
  </si>
  <si>
    <t>00000430</t>
  </si>
  <si>
    <t>BraTS-GLI-00645-000</t>
  </si>
  <si>
    <t>BraTS2021_00645</t>
  </si>
  <si>
    <t>00000507</t>
  </si>
  <si>
    <t>BraTS-GLI-00646-000</t>
  </si>
  <si>
    <t>BraTS2021_00646</t>
  </si>
  <si>
    <t>00000488</t>
  </si>
  <si>
    <t>BraTS-GLI-00649-000</t>
  </si>
  <si>
    <t>BraTS2021_00649</t>
  </si>
  <si>
    <t>00000512</t>
  </si>
  <si>
    <t>BraTS-GLI-00650-000</t>
  </si>
  <si>
    <t>BraTS2021_00650</t>
  </si>
  <si>
    <t>00000470</t>
  </si>
  <si>
    <t>BraTS-GLI-00651-000</t>
  </si>
  <si>
    <t>BraTS2021_00651</t>
  </si>
  <si>
    <t>00000424</t>
  </si>
  <si>
    <t>BraTS-GLI-00652-000</t>
  </si>
  <si>
    <t>BraTS2021_00652</t>
  </si>
  <si>
    <t>00000533</t>
  </si>
  <si>
    <t>BraTS-GLI-00654-000</t>
  </si>
  <si>
    <t>BraTS2021_00654</t>
  </si>
  <si>
    <t>00000515</t>
  </si>
  <si>
    <t>BraTS-GLI-00655-000</t>
  </si>
  <si>
    <t>BraTS2021_00655</t>
  </si>
  <si>
    <t>00000520</t>
  </si>
  <si>
    <t>BraTS-GLI-00656-000</t>
  </si>
  <si>
    <t>BraTS2021_00656</t>
  </si>
  <si>
    <t>00000427</t>
  </si>
  <si>
    <t>BraTS-GLI-00657-000</t>
  </si>
  <si>
    <t>BraTS2021_00657</t>
  </si>
  <si>
    <t>00000518</t>
  </si>
  <si>
    <t>BraTS-GLI-00658-000</t>
  </si>
  <si>
    <t>BraTS2021_00658</t>
  </si>
  <si>
    <t>00000425</t>
  </si>
  <si>
    <t>BraTS-GLI-00659-000</t>
  </si>
  <si>
    <t>BraTS2021_00659</t>
  </si>
  <si>
    <t>00000509</t>
  </si>
  <si>
    <t>BraTS-GLI-00661-000</t>
  </si>
  <si>
    <t>BraTS2021_00661</t>
  </si>
  <si>
    <t>00000523</t>
  </si>
  <si>
    <t>BraTS-GLI-00663-000</t>
  </si>
  <si>
    <t>BraTS2021_00663</t>
  </si>
  <si>
    <t>00000493</t>
  </si>
  <si>
    <t>BraTS-GLI-00667-000</t>
  </si>
  <si>
    <t>BraTS2021_00667</t>
  </si>
  <si>
    <t>00000451</t>
  </si>
  <si>
    <t>BraTS-GLI-00668-000</t>
  </si>
  <si>
    <t>BraTS2021_00668</t>
  </si>
  <si>
    <t>00000466</t>
  </si>
  <si>
    <t>BraTS-GLI-00674-000</t>
  </si>
  <si>
    <t>BraTS2021_00674</t>
  </si>
  <si>
    <t>00000454</t>
  </si>
  <si>
    <t>BraTS-GLI-00675-000</t>
  </si>
  <si>
    <t>BraTS2021_00675</t>
  </si>
  <si>
    <t>00000419</t>
  </si>
  <si>
    <t>BraTS-GLI-00676-000</t>
  </si>
  <si>
    <t>BraTS2021_00676</t>
  </si>
  <si>
    <t>00000423</t>
  </si>
  <si>
    <t>BraTS-GLI-00677-000</t>
  </si>
  <si>
    <t>BraTS2021_00677</t>
  </si>
  <si>
    <t>00000510</t>
  </si>
  <si>
    <t>BraTS-GLI-00679-000</t>
  </si>
  <si>
    <t>BraTS2021_00679</t>
  </si>
  <si>
    <t>00000480</t>
  </si>
  <si>
    <t>BraTS-GLI-00680-000</t>
  </si>
  <si>
    <t>BraTS2021_00680</t>
  </si>
  <si>
    <t>00000324</t>
  </si>
  <si>
    <t>BraTS-GLI-00682-000</t>
  </si>
  <si>
    <t>BraTS2021_00682</t>
  </si>
  <si>
    <t>00000316</t>
  </si>
  <si>
    <t>BraTS-GLI-00683-000</t>
  </si>
  <si>
    <t>BraTS2021_00683</t>
  </si>
  <si>
    <t>00000404</t>
  </si>
  <si>
    <t>BraTS-GLI-00684-000</t>
  </si>
  <si>
    <t>BraTS2021_00684</t>
  </si>
  <si>
    <t>00000374</t>
  </si>
  <si>
    <t>BraTS-GLI-00685-000</t>
  </si>
  <si>
    <t>BraTS2021_00685</t>
  </si>
  <si>
    <t>00000393</t>
  </si>
  <si>
    <t>BraTS-GLI-00686-000</t>
  </si>
  <si>
    <t>BraTS2021_00686</t>
  </si>
  <si>
    <t>00000338</t>
  </si>
  <si>
    <t>BraTS-GLI-00687-000</t>
  </si>
  <si>
    <t>BraTS2021_00687</t>
  </si>
  <si>
    <t>00000362</t>
  </si>
  <si>
    <t>BraTS-GLI-00688-000</t>
  </si>
  <si>
    <t>BraTS2021_00688</t>
  </si>
  <si>
    <t>00000361</t>
  </si>
  <si>
    <t>BraTS-GLI-00689-000</t>
  </si>
  <si>
    <t>BraTS2021_00689</t>
  </si>
  <si>
    <t>00000360</t>
  </si>
  <si>
    <t>BraTS-GLI-00690-000</t>
  </si>
  <si>
    <t>BraTS2021_00690</t>
  </si>
  <si>
    <t>00000397</t>
  </si>
  <si>
    <t>BraTS-GLI-00691-000</t>
  </si>
  <si>
    <t>BraTS2021_00691</t>
  </si>
  <si>
    <t>00000321</t>
  </si>
  <si>
    <t>BraTS-GLI-00692-000</t>
  </si>
  <si>
    <t>BraTS2021_00692</t>
  </si>
  <si>
    <t>00000296</t>
  </si>
  <si>
    <t>BraTS-GLI-00693-000</t>
  </si>
  <si>
    <t>BraTS2021_00693</t>
  </si>
  <si>
    <t>00000347</t>
  </si>
  <si>
    <t>BraTS-GLI-00694-000</t>
  </si>
  <si>
    <t>BraTS2021_00694</t>
  </si>
  <si>
    <t>00000287</t>
  </si>
  <si>
    <t>BraTS-GLI-00697-000</t>
  </si>
  <si>
    <t>BraTS2021_00697</t>
  </si>
  <si>
    <t>00000319</t>
  </si>
  <si>
    <t>BraTS-GLI-00698-000</t>
  </si>
  <si>
    <t>BraTS2021_00698</t>
  </si>
  <si>
    <t>00000323</t>
  </si>
  <si>
    <t>BraTS-GLI-00703-000</t>
  </si>
  <si>
    <t>BraTS2021_00703</t>
  </si>
  <si>
    <t>00000309</t>
  </si>
  <si>
    <t>BraTS-GLI-00704-000</t>
  </si>
  <si>
    <t>BraTS2021_00704</t>
  </si>
  <si>
    <t>00000343</t>
  </si>
  <si>
    <t>BraTS-GLI-00705-000</t>
  </si>
  <si>
    <t>BraTS2021_00705</t>
  </si>
  <si>
    <t>00000415</t>
  </si>
  <si>
    <t>BraTS-GLI-00706-000</t>
  </si>
  <si>
    <t>BraTS2021_00706</t>
  </si>
  <si>
    <t>00000311</t>
  </si>
  <si>
    <t>BraTS-GLI-00707-000</t>
  </si>
  <si>
    <t>BraTS2021_00707</t>
  </si>
  <si>
    <t>00000413</t>
  </si>
  <si>
    <t>BraTS-GLI-00708-000</t>
  </si>
  <si>
    <t>BraTS2021_00708</t>
  </si>
  <si>
    <t>00000340</t>
  </si>
  <si>
    <t>BraTS-GLI-00709-000</t>
  </si>
  <si>
    <t>BraTS2021_00709</t>
  </si>
  <si>
    <t>00000359</t>
  </si>
  <si>
    <t>BraTS-GLI-00714-000</t>
  </si>
  <si>
    <t>BraTS2021_00714</t>
  </si>
  <si>
    <t>00000377</t>
  </si>
  <si>
    <t>BraTS-GLI-00715-000</t>
  </si>
  <si>
    <t>BraTS2021_00715</t>
  </si>
  <si>
    <t>00000350</t>
  </si>
  <si>
    <t>BraTS-GLI-00716-000</t>
  </si>
  <si>
    <t>BraTS2021_00716</t>
  </si>
  <si>
    <t>00000391</t>
  </si>
  <si>
    <t>BraTS-GLI-00718-000</t>
  </si>
  <si>
    <t>BraTS2021_00718</t>
  </si>
  <si>
    <t>00000405</t>
  </si>
  <si>
    <t>BraTS-GLI-00723-000</t>
  </si>
  <si>
    <t>BraTS2021_00723</t>
  </si>
  <si>
    <t>00000328</t>
  </si>
  <si>
    <t>BraTS-GLI-00724-000</t>
  </si>
  <si>
    <t>BraTS2021_00724</t>
  </si>
  <si>
    <t>00000363</t>
  </si>
  <si>
    <t>BraTS-GLI-00725-000</t>
  </si>
  <si>
    <t>BraTS2021_00725</t>
  </si>
  <si>
    <t>00000291</t>
  </si>
  <si>
    <t>BraTS-GLI-00727-000</t>
  </si>
  <si>
    <t>BraTS2021_00727</t>
  </si>
  <si>
    <t>00000390</t>
  </si>
  <si>
    <t>BraTS-GLI-00728-000</t>
  </si>
  <si>
    <t>BraTS2021_00728</t>
  </si>
  <si>
    <t>00000317</t>
  </si>
  <si>
    <t>BraTS-GLI-00729-000</t>
  </si>
  <si>
    <t>BraTS2021_00729</t>
  </si>
  <si>
    <t>00000368</t>
  </si>
  <si>
    <t>BraTS-GLI-00730-000</t>
  </si>
  <si>
    <t>BraTS2021_00730</t>
  </si>
  <si>
    <t>00000382</t>
  </si>
  <si>
    <t>BraTS-GLI-00731-000</t>
  </si>
  <si>
    <t>BraTS2021_00731</t>
  </si>
  <si>
    <t>00000345</t>
  </si>
  <si>
    <t>BraTS-GLI-00732-000</t>
  </si>
  <si>
    <t>BraTS2021_00732</t>
  </si>
  <si>
    <t>00000342</t>
  </si>
  <si>
    <t>BraTS-GLI-00733-000</t>
  </si>
  <si>
    <t>BraTS2021_00733</t>
  </si>
  <si>
    <t>00000364</t>
  </si>
  <si>
    <t>BraTS-GLI-00734-000</t>
  </si>
  <si>
    <t>BraTS2021_00734</t>
  </si>
  <si>
    <t>00000280</t>
  </si>
  <si>
    <t>BraTS-GLI-00735-000</t>
  </si>
  <si>
    <t>BraTS2021_00735</t>
  </si>
  <si>
    <t>00000371</t>
  </si>
  <si>
    <t>BraTS-GLI-00736-000</t>
  </si>
  <si>
    <t>BraTS2021_00736</t>
  </si>
  <si>
    <t>00000370</t>
  </si>
  <si>
    <t>BraTS-GLI-00737-000</t>
  </si>
  <si>
    <t>BraTS2021_00737</t>
  </si>
  <si>
    <t>00000387</t>
  </si>
  <si>
    <t>BraTS-GLI-00739-000</t>
  </si>
  <si>
    <t>BraTS2021_00739</t>
  </si>
  <si>
    <t>00000411</t>
  </si>
  <si>
    <t>BraTS-GLI-00740-000</t>
  </si>
  <si>
    <t>BraTS2021_00740</t>
  </si>
  <si>
    <t>00000394</t>
  </si>
  <si>
    <t>BraTS-GLI-00742-000</t>
  </si>
  <si>
    <t>BraTS2021_00742</t>
  </si>
  <si>
    <t>00000376</t>
  </si>
  <si>
    <t>BraTS-GLI-00744-000</t>
  </si>
  <si>
    <t>BraTS2021_00744</t>
  </si>
  <si>
    <t>00000380</t>
  </si>
  <si>
    <t>BraTS-GLI-00746-000</t>
  </si>
  <si>
    <t>BraTS2021_00746</t>
  </si>
  <si>
    <t>00000353</t>
  </si>
  <si>
    <t>BraTS-GLI-00747-000</t>
  </si>
  <si>
    <t>BraTS2021_00747</t>
  </si>
  <si>
    <t>00000400</t>
  </si>
  <si>
    <t>BraTS-GLI-00750-000</t>
  </si>
  <si>
    <t>BraTS2021_00750</t>
  </si>
  <si>
    <t>00000384</t>
  </si>
  <si>
    <t>BraTS-GLI-00751-000</t>
  </si>
  <si>
    <t>BraTS2021_00751</t>
  </si>
  <si>
    <t>00000379</t>
  </si>
  <si>
    <t>BraTS-GLI-00753-000</t>
  </si>
  <si>
    <t>BraTS2021_00753</t>
  </si>
  <si>
    <t>00000378</t>
  </si>
  <si>
    <t>BraTS-GLI-00756-000</t>
  </si>
  <si>
    <t>BraTS2021_00756</t>
  </si>
  <si>
    <t>00000355</t>
  </si>
  <si>
    <t>BraTS-GLI-00757-000</t>
  </si>
  <si>
    <t>BraTS2021_00757</t>
  </si>
  <si>
    <t>00000313</t>
  </si>
  <si>
    <t>BraTS-GLI-00758-000</t>
  </si>
  <si>
    <t>BraTS2021_00758</t>
  </si>
  <si>
    <t>00000315</t>
  </si>
  <si>
    <t>BraTS-GLI-00759-000</t>
  </si>
  <si>
    <t>BraTS2021_00759</t>
  </si>
  <si>
    <t>00000369</t>
  </si>
  <si>
    <t>BraTS-GLI-00760-000</t>
  </si>
  <si>
    <t>BraTS2021_00760</t>
  </si>
  <si>
    <t>00000406</t>
  </si>
  <si>
    <t>BraTS-GLI-00764-000</t>
  </si>
  <si>
    <t>BraTS2021_00764</t>
  </si>
  <si>
    <t>00000412</t>
  </si>
  <si>
    <t>BraTS-GLI-00765-000</t>
  </si>
  <si>
    <t>BraTS2021_00765</t>
  </si>
  <si>
    <t>00000310</t>
  </si>
  <si>
    <t>BraTS-GLI-00767-000</t>
  </si>
  <si>
    <t>BraTS2021_00767</t>
  </si>
  <si>
    <t>00000414</t>
  </si>
  <si>
    <t>BraTS-GLI-00768-000</t>
  </si>
  <si>
    <t>BraTS2021_00768</t>
  </si>
  <si>
    <t>00000290</t>
  </si>
  <si>
    <t>BraTS-GLI-00772-000</t>
  </si>
  <si>
    <t>BraTS2021_00772</t>
  </si>
  <si>
    <t>00000320</t>
  </si>
  <si>
    <t>BraTS-GLI-00773-000</t>
  </si>
  <si>
    <t>BraTS2021_00773</t>
  </si>
  <si>
    <t>00000354</t>
  </si>
  <si>
    <t>BraTS-GLI-00774-000</t>
  </si>
  <si>
    <t>BraTS2021_00774</t>
  </si>
  <si>
    <t>00000372</t>
  </si>
  <si>
    <t>BraTS-GLI-00775-000</t>
  </si>
  <si>
    <t>BraTS2021_00775</t>
  </si>
  <si>
    <t>00000375</t>
  </si>
  <si>
    <t>BraTS-GLI-00777-000</t>
  </si>
  <si>
    <t>BraTS2021_00777</t>
  </si>
  <si>
    <t>00000366</t>
  </si>
  <si>
    <t>BraTS-GLI-00778-000</t>
  </si>
  <si>
    <t>BraTS2021_00778</t>
  </si>
  <si>
    <t>00000334</t>
  </si>
  <si>
    <t>BraTS-GLI-00834-000</t>
  </si>
  <si>
    <t>BraTS2021_00834</t>
  </si>
  <si>
    <t>UPENN-GBM-00492_11</t>
  </si>
  <si>
    <t>BraTS-GLI-00836-000</t>
  </si>
  <si>
    <t>BraTS2021_00836</t>
  </si>
  <si>
    <t>UPENN-GBM-00495_11</t>
  </si>
  <si>
    <t>BraTS-GLI-00837-000</t>
  </si>
  <si>
    <t>BraTS2021_00837</t>
  </si>
  <si>
    <t>UPENN-GBM-00150_11</t>
  </si>
  <si>
    <t>BraTS-GLI-00839-000</t>
  </si>
  <si>
    <t>BraTS2021_00839</t>
  </si>
  <si>
    <t>UPENN-GBM-00464_11</t>
  </si>
  <si>
    <t>BraTS-GLI-01002-000</t>
  </si>
  <si>
    <t>BraTS2021_01002</t>
  </si>
  <si>
    <t>TCGA-02-0116</t>
  </si>
  <si>
    <t>BraTS-GLI-01003-000</t>
  </si>
  <si>
    <t>BraTS2021_01003</t>
  </si>
  <si>
    <t>TCGA-02-0011</t>
  </si>
  <si>
    <t>BraTS-GLI-01004-000</t>
  </si>
  <si>
    <t>BraTS2021_01004</t>
  </si>
  <si>
    <t>UPENN-GBM-00336_11</t>
  </si>
  <si>
    <t>BraTS-GLI-01005-000</t>
  </si>
  <si>
    <t>BraTS2021_01005</t>
  </si>
  <si>
    <t>TCGA-02-0033</t>
  </si>
  <si>
    <t>BraTS-GLI-01007-000</t>
  </si>
  <si>
    <t>BraTS2021_01007</t>
  </si>
  <si>
    <t>TCGA-02-0064</t>
  </si>
  <si>
    <t>BraTS-GLI-01009-000</t>
  </si>
  <si>
    <t>BraTS2021_01009</t>
  </si>
  <si>
    <t>TCGA-02-0027</t>
  </si>
  <si>
    <t>BraTS-GLI-01010-000</t>
  </si>
  <si>
    <t>BraTS2021_01010</t>
  </si>
  <si>
    <t>UPENN-GBM-00263_11</t>
  </si>
  <si>
    <t>BraTS-GLI-01129-000</t>
  </si>
  <si>
    <t>BraTS2021_01129</t>
  </si>
  <si>
    <t>UPENN-GBM-00377_11</t>
  </si>
  <si>
    <t>BraTS-GLI-01139-000</t>
  </si>
  <si>
    <t>BraTS2021_01139</t>
  </si>
  <si>
    <t>TCGA-76-4934</t>
  </si>
  <si>
    <t>BraTS-GLI-01140-000</t>
  </si>
  <si>
    <t>BraTS2021_01140</t>
  </si>
  <si>
    <t>TCGA-76-4935</t>
  </si>
  <si>
    <t>BraTS-GLI-01141-000</t>
  </si>
  <si>
    <t>BraTS2021_01141</t>
  </si>
  <si>
    <t>TCGA-76-6656</t>
  </si>
  <si>
    <t>BraTS-GLI-01142-000</t>
  </si>
  <si>
    <t>BraTS2021_01142</t>
  </si>
  <si>
    <t>TCGA-76-6657</t>
  </si>
  <si>
    <t>BraTS-GLI-01143-000</t>
  </si>
  <si>
    <t>BraTS2021_01143</t>
  </si>
  <si>
    <t>TCGA-76-6661</t>
  </si>
  <si>
    <t>BraTS-GLI-01144-000</t>
  </si>
  <si>
    <t>BraTS2021_01144</t>
  </si>
  <si>
    <t>TCGA-76-6662</t>
  </si>
  <si>
    <t>BraTS-GLI-01145-000</t>
  </si>
  <si>
    <t>BraTS2021_01145</t>
  </si>
  <si>
    <t>TCGA-76-6663</t>
  </si>
  <si>
    <t>Classified on 3 classes</t>
  </si>
  <si>
    <t>Original Data</t>
  </si>
  <si>
    <t>Original Data with diffusibility</t>
  </si>
  <si>
    <t>Original Data with radiomics</t>
  </si>
  <si>
    <t>MLP</t>
  </si>
  <si>
    <t>Random Forest</t>
  </si>
  <si>
    <t>SVC</t>
  </si>
  <si>
    <t>Test</t>
  </si>
  <si>
    <t>Train</t>
  </si>
  <si>
    <t>Accuracy</t>
  </si>
  <si>
    <t>Sensitivity</t>
  </si>
  <si>
    <t>Specificity</t>
  </si>
  <si>
    <t>Precision</t>
  </si>
  <si>
    <t>F1 Score</t>
  </si>
  <si>
    <t>Top 10 features</t>
  </si>
  <si>
    <t>tumor_diffusibility</t>
  </si>
  <si>
    <t>convex_hull_volume</t>
  </si>
  <si>
    <t>original_shape_Sphericity</t>
  </si>
  <si>
    <t>original_shape_Flatness</t>
  </si>
  <si>
    <t>original_glcm_Correlation</t>
  </si>
  <si>
    <t>original_firstorder_10Percentile</t>
  </si>
  <si>
    <t>original_glcm_Id</t>
  </si>
  <si>
    <t>original_shape_Elongation</t>
  </si>
  <si>
    <t>original_glcm_Imc2</t>
  </si>
  <si>
    <t>original_ngtdm_Contrast</t>
  </si>
  <si>
    <t>original_shape_MinorAxisLength</t>
  </si>
  <si>
    <t>Classified on 2 classes</t>
  </si>
  <si>
    <t>original_shape_SurfaceArea</t>
  </si>
  <si>
    <t>original_gldm_LargeDependenceLowGrayLevelEmphasis</t>
  </si>
  <si>
    <t>original_glcm_Idmn</t>
  </si>
  <si>
    <t>original_glcm_Autocorrelation</t>
  </si>
  <si>
    <t>original_glcm_ClusterShade</t>
  </si>
  <si>
    <t>original_gldm_HighGrayLevelEmphasis</t>
  </si>
  <si>
    <t>age</t>
  </si>
  <si>
    <t>original_ngtdm_Complexity</t>
  </si>
  <si>
    <t>mgmt_status</t>
  </si>
  <si>
    <t>original_shape_LeastAxisLength</t>
  </si>
  <si>
    <t>original_ngtdm_Strength</t>
  </si>
  <si>
    <t>original_gldm_LargeDependenceEmphasis</t>
  </si>
  <si>
    <t>resection_status</t>
  </si>
  <si>
    <t>original_gldm_DependenceNonUniformity</t>
  </si>
  <si>
    <t>original_ngtdm_Coarseness</t>
  </si>
  <si>
    <t>sex</t>
  </si>
  <si>
    <t>idh_status</t>
  </si>
  <si>
    <t>original_gldm_DependenceNonUniformityNormalized</t>
  </si>
  <si>
    <t>original_glcm_ClusterProminence</t>
  </si>
  <si>
    <t>original_shape_Maximum2DDiameterSlice</t>
  </si>
  <si>
    <t>original_gldm_LowGrayLevelEmphasis</t>
  </si>
  <si>
    <t>survival_status</t>
  </si>
  <si>
    <t>original_glcm_JointEnergy</t>
  </si>
  <si>
    <r>
      <rPr>
        <sz val="10"/>
        <color theme="1"/>
        <rFont val="Arial"/>
        <family val="2"/>
      </rPr>
      <t xml:space="preserve">Notes from Alejandro &amp; Gizem: Radiomics to predict molecular mutations in tumors? Predicting survival is challenging because of complexity. Midline shift: take the volume of one hemisphere vs volume of other hemisphere. cause mass effect to contralateral hemisphere. this would be a different way to quantify midline shift and represent mass effect. Let's get anatomical... What structures in the brain are good indicators of survival? Tumor resection status: GTR means enhancing tumor is removed. STR means not all of it is removed. Train and test with survival status, but </t>
    </r>
    <r>
      <rPr>
        <b/>
        <u/>
        <sz val="10"/>
        <color theme="1"/>
        <rFont val="Arial"/>
        <family val="2"/>
      </rPr>
      <t>only on deceased patients</t>
    </r>
    <r>
      <rPr>
        <sz val="10"/>
        <color theme="1"/>
        <rFont val="Arial"/>
        <family val="2"/>
      </rPr>
      <t xml:space="preserve">. Model survival rate as a curve (Tianyi will think about it). Split to two different groups: a deceased model vs a model that predicts survival for patients that were alive when dataset points were acquired. For resection status, differentiate between gross total resection vs subtotal resection. For the Upenn dataset, if GTR_over90percent is N, does that mean no surgery or STR? </t>
    </r>
  </si>
  <si>
    <t>Tumor Segmentations Features</t>
  </si>
  <si>
    <t>Tumor Segmentations Features + Diffusibility</t>
  </si>
  <si>
    <t>Tumor Segmentations Features + Radiomics</t>
  </si>
  <si>
    <t>original_shape_MajorAxisLength</t>
  </si>
  <si>
    <t>original_firstorder_90Percentile</t>
  </si>
  <si>
    <t>original_glcm_ClusterTendency</t>
  </si>
  <si>
    <t>original_glcm_Contrast</t>
  </si>
  <si>
    <t>original_glcm_DifferenceAverage</t>
  </si>
  <si>
    <t>original_glcm_DifferenceEntropy</t>
  </si>
  <si>
    <t>original_glcm_Idm</t>
  </si>
  <si>
    <t>original_glcm_Idn</t>
  </si>
  <si>
    <t>original_glcm_Imc1</t>
  </si>
  <si>
    <t>original_glcm_JointEntropy</t>
  </si>
  <si>
    <t>original_gldm_DependenceEntropy</t>
  </si>
  <si>
    <t>original_gldm_GrayLevelNonUniformity</t>
  </si>
  <si>
    <t>original_gldm_GrayLevelVariance</t>
  </si>
  <si>
    <t>original_gldm_LargeDependenceHighGrayLevelEmphasis</t>
  </si>
  <si>
    <t>original_ngtdm_Busyness</t>
  </si>
  <si>
    <t>Survival_days</t>
  </si>
  <si>
    <t>nan</t>
  </si>
  <si>
    <t>survival_days</t>
  </si>
  <si>
    <t>resection_site</t>
  </si>
  <si>
    <t>age_at_diagnosis</t>
  </si>
  <si>
    <t>days_to_birth</t>
  </si>
  <si>
    <t>birth_year</t>
  </si>
  <si>
    <t>death_year</t>
  </si>
  <si>
    <t>last_fu_days</t>
  </si>
  <si>
    <t>last_disease_days</t>
  </si>
  <si>
    <t>days_to_recurrence</t>
  </si>
  <si>
    <t>progression_y_n</t>
  </si>
  <si>
    <t>g</t>
  </si>
  <si>
    <t>Frontal</t>
  </si>
  <si>
    <t>NOT REPORTED</t>
  </si>
  <si>
    <t>NO</t>
  </si>
  <si>
    <t>Parietal</t>
  </si>
  <si>
    <t>YES</t>
  </si>
  <si>
    <t>Temporal</t>
  </si>
  <si>
    <t>Occipital</t>
  </si>
  <si>
    <t>BraTS-GLI-00133-000</t>
  </si>
  <si>
    <t>BraTS-GLI-00134-000</t>
  </si>
  <si>
    <t>BraTS-GLI-00136-000</t>
  </si>
  <si>
    <t>BraTS-GLI-00144-000</t>
  </si>
  <si>
    <t>BraTS-GLI-00146-000</t>
  </si>
  <si>
    <t>BraTS-GLI-00150-000</t>
  </si>
  <si>
    <t>BraTS-GLI-00999-000</t>
  </si>
  <si>
    <t>BraTS-GLI-01146-000</t>
  </si>
  <si>
    <t>BraTS-GLI-01008-000</t>
  </si>
  <si>
    <t>gbm_type (l/h)</t>
  </si>
  <si>
    <t>days_to_death</t>
  </si>
  <si>
    <t>idh1_status</t>
  </si>
  <si>
    <t>overall_survival_diag_fu</t>
  </si>
  <si>
    <t>dead1_or_alive0</t>
  </si>
  <si>
    <t>age_at_scan</t>
  </si>
  <si>
    <t>survival_from_surgery</t>
  </si>
  <si>
    <t>GTR_over_90%</t>
  </si>
  <si>
    <t>M</t>
  </si>
  <si>
    <t>STR</t>
  </si>
  <si>
    <t>wildtype</t>
  </si>
  <si>
    <t>F</t>
  </si>
  <si>
    <t>mutated (NOS)</t>
  </si>
  <si>
    <t>GTR</t>
  </si>
  <si>
    <t>biopsy</t>
  </si>
  <si>
    <t>Dead'</t>
  </si>
  <si>
    <t>NaN</t>
  </si>
  <si>
    <t>BraTS-GLI-00115-000</t>
  </si>
  <si>
    <t>BraTS2021_00115</t>
  </si>
  <si>
    <t>W26</t>
  </si>
  <si>
    <t>IvyGAP-Training</t>
  </si>
  <si>
    <t>BraTS2021_00133</t>
  </si>
  <si>
    <t>TCGA-06-5413</t>
  </si>
  <si>
    <t>Alive'</t>
  </si>
  <si>
    <t>BraTS2021_00134</t>
  </si>
  <si>
    <t>TCGA-14-1456</t>
  </si>
  <si>
    <t>BraTS2021_00136</t>
  </si>
  <si>
    <t>TCGA-06-6389</t>
  </si>
  <si>
    <t>BraTS2021_00144</t>
  </si>
  <si>
    <t>TCGA-06-2570</t>
  </si>
  <si>
    <t>BraTS2021_00146</t>
  </si>
  <si>
    <t>TCGA-06-5417</t>
  </si>
  <si>
    <t>BraTS2021_00150</t>
  </si>
  <si>
    <t>TCGA-14-3477</t>
  </si>
  <si>
    <t>Wildtype</t>
  </si>
  <si>
    <t>Y</t>
  </si>
  <si>
    <t>BraTS-GLI-00155-000</t>
  </si>
  <si>
    <t>BraTS2021_00155</t>
  </si>
  <si>
    <t>UPENN-GBM-00395_11</t>
  </si>
  <si>
    <t>Not Available</t>
  </si>
  <si>
    <t>N</t>
  </si>
  <si>
    <t>BraTS-GLI-00157-000</t>
  </si>
  <si>
    <t>BraTS2021_00157</t>
  </si>
  <si>
    <t>UPENN-GBM-00599_11</t>
  </si>
  <si>
    <t>BraTS-GLI-00162-000</t>
  </si>
  <si>
    <t>BraTS2021_00162</t>
  </si>
  <si>
    <t>UPENN-GBM-00458_11</t>
  </si>
  <si>
    <t>BraTS-GLI-00166-000</t>
  </si>
  <si>
    <t>BraTS2021_00166</t>
  </si>
  <si>
    <t>UPENN-GBM-00579_11</t>
  </si>
  <si>
    <t>BraTS-GLI-00177-000</t>
  </si>
  <si>
    <t>BraTS2021_00177</t>
  </si>
  <si>
    <t>UPENN-GBM-00538_11</t>
  </si>
  <si>
    <t>BraTS-GLI-00186-000</t>
  </si>
  <si>
    <t>BraTS2021_00186</t>
  </si>
  <si>
    <t>UPENN-GBM-00569_11</t>
  </si>
  <si>
    <t>Mutated</t>
  </si>
  <si>
    <t>BraTS-GLI-00191-000</t>
  </si>
  <si>
    <t>BraTS2021_00191</t>
  </si>
  <si>
    <t>UPENN-GBM-00523_11</t>
  </si>
  <si>
    <t>BraTS-GLI-00195-000</t>
  </si>
  <si>
    <t>BraTS2021_00195</t>
  </si>
  <si>
    <t>UPENN-GBM-00435_11</t>
  </si>
  <si>
    <t>BraTS-GLI-00201-000</t>
  </si>
  <si>
    <t>BraTS2021_00201</t>
  </si>
  <si>
    <t>UPENN-GBM-00460_11</t>
  </si>
  <si>
    <t>BraTS-GLI-00219-000</t>
  </si>
  <si>
    <t>BraTS2021_00219</t>
  </si>
  <si>
    <t>UPENN-GBM-00508_11</t>
  </si>
  <si>
    <t>BraTS-GLI-00222-000</t>
  </si>
  <si>
    <t>BraTS2021_00222</t>
  </si>
  <si>
    <t>UPENN-GBM-00425_11</t>
  </si>
  <si>
    <t>BraTS-GLI-00253-000</t>
  </si>
  <si>
    <t>BraTS2021_00253</t>
  </si>
  <si>
    <t>UPENN-GBM-00504_11</t>
  </si>
  <si>
    <t>BraTS-GLI-00258-000</t>
  </si>
  <si>
    <t>BraTS2021_00258</t>
  </si>
  <si>
    <t>UPENN-GBM-00547_11</t>
  </si>
  <si>
    <t>BraTS-GLI-00259-000</t>
  </si>
  <si>
    <t>BraTS2021_00259</t>
  </si>
  <si>
    <t>UPENN-GBM-00605_11</t>
  </si>
  <si>
    <t>BraTS-GLI-00260-000</t>
  </si>
  <si>
    <t>BraTS2021_00260</t>
  </si>
  <si>
    <t>UPENN-GBM-00578_11</t>
  </si>
  <si>
    <t>BraTS-GLI-00263-000</t>
  </si>
  <si>
    <t>BraTS2021_00263</t>
  </si>
  <si>
    <t>UPENN-GBM-00594_11</t>
  </si>
  <si>
    <t>BraTS-GLI-00273-000</t>
  </si>
  <si>
    <t>BraTS2021_00273</t>
  </si>
  <si>
    <t>UPENN-GBM-00608_11</t>
  </si>
  <si>
    <t>BraTS-GLI-00285-000</t>
  </si>
  <si>
    <t>BraTS2021_00285</t>
  </si>
  <si>
    <t>UPENN-GBM-00461_11</t>
  </si>
  <si>
    <t>BraTS-GLI-00289-000</t>
  </si>
  <si>
    <t>BraTS2021_00289</t>
  </si>
  <si>
    <t>UPENN-GBM-00584_11</t>
  </si>
  <si>
    <t>BraTS-GLI-00294-000</t>
  </si>
  <si>
    <t>BraTS2021_00294</t>
  </si>
  <si>
    <t>UPENN-GBM-00506_11</t>
  </si>
  <si>
    <t>BraTS-GLI-00304-000</t>
  </si>
  <si>
    <t>BraTS2021_00304</t>
  </si>
  <si>
    <t>UPENN-GBM-00568_11</t>
  </si>
  <si>
    <t>BraTS-GLI-00306-000</t>
  </si>
  <si>
    <t>BraTS2021_00306</t>
  </si>
  <si>
    <t>UPENN-GBM-00553_11</t>
  </si>
  <si>
    <t>BraTS-GLI-00309-000</t>
  </si>
  <si>
    <t>BraTS2021_00309</t>
  </si>
  <si>
    <t>UPENN-GBM-00490_11</t>
  </si>
  <si>
    <t>BraTS-GLI-00312-000</t>
  </si>
  <si>
    <t>BraTS2021_00312</t>
  </si>
  <si>
    <t>UPENN-GBM-00479_11</t>
  </si>
  <si>
    <t>BraTS-GLI-00322-000</t>
  </si>
  <si>
    <t>BraTS2021_00322</t>
  </si>
  <si>
    <t>UPENN-GBM-00606_11</t>
  </si>
  <si>
    <t>BraTS-GLI-00327-000</t>
  </si>
  <si>
    <t>BraTS2021_00327</t>
  </si>
  <si>
    <t>UPENN-GBM-00416_11</t>
  </si>
  <si>
    <t>BraTS-GLI-00328-000</t>
  </si>
  <si>
    <t>BraTS2021_00328</t>
  </si>
  <si>
    <t>UPENN-GBM-00351_11</t>
  </si>
  <si>
    <t>BraTS-GLI-00332-000</t>
  </si>
  <si>
    <t>BraTS2021_00332</t>
  </si>
  <si>
    <t>UPENN-GBM-00592_11</t>
  </si>
  <si>
    <t>BraTS-GLI-00339-000</t>
  </si>
  <si>
    <t>BraTS2021_00339</t>
  </si>
  <si>
    <t>UPENN-GBM-00457_11</t>
  </si>
  <si>
    <t>BraTS-GLI-00344-000</t>
  </si>
  <si>
    <t>BraTS2021_00344</t>
  </si>
  <si>
    <t>UPENN-GBM-00446_11</t>
  </si>
  <si>
    <t>BraTS-GLI-00350-000</t>
  </si>
  <si>
    <t>BraTS2021_00350</t>
  </si>
  <si>
    <t>UPENN-GBM-00598_11</t>
  </si>
  <si>
    <t>BraTS-GLI-00359-000</t>
  </si>
  <si>
    <t>BraTS2021_00359</t>
  </si>
  <si>
    <t>UPENN-GBM-00392_11</t>
  </si>
  <si>
    <t>BraTS-GLI-00371-000</t>
  </si>
  <si>
    <t>BraTS2021_00371</t>
  </si>
  <si>
    <t>UPENN-GBM-00521_11</t>
  </si>
  <si>
    <t>BraTS-GLI-00380-000</t>
  </si>
  <si>
    <t>BraTS2021_00380</t>
  </si>
  <si>
    <t>UPENN-GBM-00462_11</t>
  </si>
  <si>
    <t>BraTS-GLI-00392-000</t>
  </si>
  <si>
    <t>BraTS2021_00392</t>
  </si>
  <si>
    <t>UPENN-GBM-00596_11</t>
  </si>
  <si>
    <t>BraTS-GLI-00400-000</t>
  </si>
  <si>
    <t>BraTS2021_00400</t>
  </si>
  <si>
    <t>UPENN-GBM-00518_11</t>
  </si>
  <si>
    <t>BraTS-GLI-00403-000</t>
  </si>
  <si>
    <t>BraTS2021_00403</t>
  </si>
  <si>
    <t>UPENN-GBM-00586_11</t>
  </si>
  <si>
    <t>BraTS-GLI-00406-000</t>
  </si>
  <si>
    <t>BraTS2021_00406</t>
  </si>
  <si>
    <t>UPENN-GBM-00350_11</t>
  </si>
  <si>
    <t>BraTS-GLI-00409-000</t>
  </si>
  <si>
    <t>BraTS2021_00409</t>
  </si>
  <si>
    <t>UPENN-GBM-00453_11</t>
  </si>
  <si>
    <t>BraTS-GLI-00418-000</t>
  </si>
  <si>
    <t>BraTS2021_00418</t>
  </si>
  <si>
    <t>UPENN-GBM-00531_11</t>
  </si>
  <si>
    <t>BraTS-GLI-00425-000</t>
  </si>
  <si>
    <t>BraTS2021_00425</t>
  </si>
  <si>
    <t>UPENN-GBM-00595_11</t>
  </si>
  <si>
    <t>BraTS-GLI-00426-000</t>
  </si>
  <si>
    <t>BraTS2021_00426</t>
  </si>
  <si>
    <t>UPENN-GBM-00607_11</t>
  </si>
  <si>
    <t>BraTS-GLI-00436-000</t>
  </si>
  <si>
    <t>BraTS2021_00436</t>
  </si>
  <si>
    <t>UPENN-GBM-00580_11</t>
  </si>
  <si>
    <t>BraTS-GLI-00441-000</t>
  </si>
  <si>
    <t>BraTS2021_00441</t>
  </si>
  <si>
    <t>UPENN-GBM-00484_11</t>
  </si>
  <si>
    <t>Dead</t>
  </si>
  <si>
    <t>NR</t>
  </si>
  <si>
    <t>BraTS-GLI-00452-000</t>
  </si>
  <si>
    <t>BraTS2021_00452</t>
  </si>
  <si>
    <t>C3L-01155</t>
  </si>
  <si>
    <t>ALIVE</t>
  </si>
  <si>
    <t>Alive</t>
  </si>
  <si>
    <t>BraTS-GLI-00455-000</t>
  </si>
  <si>
    <t>BraTS2021_00455</t>
  </si>
  <si>
    <t>C3L-01142</t>
  </si>
  <si>
    <t>BraTS-GLI-00456-000</t>
  </si>
  <si>
    <t>BraTS2021_00456</t>
  </si>
  <si>
    <t>C3N-00665</t>
  </si>
  <si>
    <t>BraTS-GLI-00459-000</t>
  </si>
  <si>
    <t>BraTS2021_00459</t>
  </si>
  <si>
    <t>C3L-02041</t>
  </si>
  <si>
    <t>IDH1 p.R132C</t>
  </si>
  <si>
    <t>IDH1 p.R132H</t>
  </si>
  <si>
    <t>BraTS-GLI-00556-000</t>
  </si>
  <si>
    <t>BraTS2021_00556</t>
  </si>
  <si>
    <t>00000169</t>
  </si>
  <si>
    <t>BraTS-GLI-00567-000</t>
  </si>
  <si>
    <t>BraTS2021_00567</t>
  </si>
  <si>
    <t>W40</t>
  </si>
  <si>
    <t>BraTS-GLI-00568-000</t>
  </si>
  <si>
    <t>BraTS2021_00568</t>
  </si>
  <si>
    <t>W9</t>
  </si>
  <si>
    <t>BraTS-GLI-00569-000</t>
  </si>
  <si>
    <t>BraTS2021_00569</t>
  </si>
  <si>
    <t>W5</t>
  </si>
  <si>
    <t>BraTS-GLI-00570-000</t>
  </si>
  <si>
    <t>BraTS2021_00570</t>
  </si>
  <si>
    <t>W42</t>
  </si>
  <si>
    <t>BraTS-GLI-00571-000</t>
  </si>
  <si>
    <t>BraTS2021_00571</t>
  </si>
  <si>
    <t>W6</t>
  </si>
  <si>
    <t>BraTS-GLI-00572-000</t>
  </si>
  <si>
    <t>BraTS2021_00572</t>
  </si>
  <si>
    <t>W8</t>
  </si>
  <si>
    <t>BraTS-GLI-00574-000</t>
  </si>
  <si>
    <t>BraTS2021_00574</t>
  </si>
  <si>
    <t>W34</t>
  </si>
  <si>
    <t>BraTS-GLI-00575-000</t>
  </si>
  <si>
    <t>BraTS2021_00575</t>
  </si>
  <si>
    <t>W54</t>
  </si>
  <si>
    <t>BraTS-GLI-00576-000</t>
  </si>
  <si>
    <t>BraTS2021_00576</t>
  </si>
  <si>
    <t>W22</t>
  </si>
  <si>
    <t>BraTS-GLI-00577-000</t>
  </si>
  <si>
    <t>BraTS2021_00577</t>
  </si>
  <si>
    <t>W11</t>
  </si>
  <si>
    <t>BraTS-GLI-00578-000</t>
  </si>
  <si>
    <t>BraTS2021_00578</t>
  </si>
  <si>
    <t>W19</t>
  </si>
  <si>
    <t>BraTS-GLI-00579-000</t>
  </si>
  <si>
    <t>BraTS2021_00579</t>
  </si>
  <si>
    <t>W33</t>
  </si>
  <si>
    <t>BraTS-GLI-00580-000</t>
  </si>
  <si>
    <t>BraTS2021_00580</t>
  </si>
  <si>
    <t>W20</t>
  </si>
  <si>
    <t>BraTS-GLI-00581-000</t>
  </si>
  <si>
    <t>BraTS2021_00581</t>
  </si>
  <si>
    <t>W12</t>
  </si>
  <si>
    <t>BraTS-GLI-00582-000</t>
  </si>
  <si>
    <t>BraTS2021_00582</t>
  </si>
  <si>
    <t>W35</t>
  </si>
  <si>
    <t>BraTS-GLI-00583-000</t>
  </si>
  <si>
    <t>BraTS2021_00583</t>
  </si>
  <si>
    <t>W53</t>
  </si>
  <si>
    <t>BraTS-GLI-00584-000</t>
  </si>
  <si>
    <t>BraTS2021_00584</t>
  </si>
  <si>
    <t>W32</t>
  </si>
  <si>
    <t>BraTS-GLI-00586-000</t>
  </si>
  <si>
    <t>BraTS2021_00586</t>
  </si>
  <si>
    <t>W10</t>
  </si>
  <si>
    <t>BraTS-GLI-00587-000</t>
  </si>
  <si>
    <t>BraTS2021_00587</t>
  </si>
  <si>
    <t>W1</t>
  </si>
  <si>
    <t>BraTS-GLI-00588-000</t>
  </si>
  <si>
    <t>BraTS2021_00588</t>
  </si>
  <si>
    <t>W48</t>
  </si>
  <si>
    <t>BraTS-GLI-00589-000</t>
  </si>
  <si>
    <t>BraTS2021_00589</t>
  </si>
  <si>
    <t>W4</t>
  </si>
  <si>
    <t>BraTS-GLI-00590-000</t>
  </si>
  <si>
    <t>BraTS2021_00590</t>
  </si>
  <si>
    <t>W38</t>
  </si>
  <si>
    <t>BraTS-GLI-00591-000</t>
  </si>
  <si>
    <t>BraTS2021_00591</t>
  </si>
  <si>
    <t>W13</t>
  </si>
  <si>
    <t>BraTS-GLI-00593-000</t>
  </si>
  <si>
    <t>BraTS2021_00593</t>
  </si>
  <si>
    <t>W30</t>
  </si>
  <si>
    <t>BraTS-GLI-00594-000</t>
  </si>
  <si>
    <t>BraTS2021_00594</t>
  </si>
  <si>
    <t>W18</t>
  </si>
  <si>
    <t>BraTS-GLI-00596-000</t>
  </si>
  <si>
    <t>BraTS2021_00596</t>
  </si>
  <si>
    <t>W29</t>
  </si>
  <si>
    <t>BraTS-GLI-00597-000</t>
  </si>
  <si>
    <t>BraTS2021_00597</t>
  </si>
  <si>
    <t>W50</t>
  </si>
  <si>
    <t>BraTS-GLI-00598-000</t>
  </si>
  <si>
    <t>BraTS2021_00598</t>
  </si>
  <si>
    <t>W55</t>
  </si>
  <si>
    <t>BraTS-GLI-00599-000</t>
  </si>
  <si>
    <t>BraTS2021_00599</t>
  </si>
  <si>
    <t>W2</t>
  </si>
  <si>
    <t>IDH1 p.R132S</t>
  </si>
  <si>
    <t>IDH1 p.R132G</t>
  </si>
  <si>
    <t>BraTS-GLI-00838-000</t>
  </si>
  <si>
    <t>BraTS2021_00838</t>
  </si>
  <si>
    <t>UPENN-GBM-00539_11</t>
  </si>
  <si>
    <t>BraTS-GLI-00840-000</t>
  </si>
  <si>
    <t>BraTS2021_00840</t>
  </si>
  <si>
    <t>UPENN-GBM-00564_11</t>
  </si>
  <si>
    <t>BraTS2021_00999</t>
  </si>
  <si>
    <t>TCGA-02-0069</t>
  </si>
  <si>
    <t>BraTS-GLI-01000-000</t>
  </si>
  <si>
    <t>BraTS2021_01000</t>
  </si>
  <si>
    <t>UPENN-GBM-00566_11</t>
  </si>
  <si>
    <t>BraTS-GLI-01001-000</t>
  </si>
  <si>
    <t>BraTS2021_01001</t>
  </si>
  <si>
    <t>UPENN-GBM-00567_11</t>
  </si>
  <si>
    <t>BraTS2021_01008</t>
  </si>
  <si>
    <t>UPENN-GBM-00565_11</t>
  </si>
  <si>
    <t>BraTS2021_01146</t>
  </si>
  <si>
    <t>TCGA-76-6664</t>
  </si>
  <si>
    <t>BraTS2021_00027</t>
  </si>
  <si>
    <t>00000019</t>
  </si>
  <si>
    <t>UCSF-PDGM-Validation</t>
  </si>
  <si>
    <t>BraTS2021_00013</t>
  </si>
  <si>
    <t>00000022</t>
  </si>
  <si>
    <t>BraTS2021_00082</t>
  </si>
  <si>
    <t>00000038</t>
  </si>
  <si>
    <t>BraTS2021_00015</t>
  </si>
  <si>
    <t>00000041</t>
  </si>
  <si>
    <t>BraTS2021_00047</t>
  </si>
  <si>
    <t>00000068</t>
  </si>
  <si>
    <t>BraTS2021_00037</t>
  </si>
  <si>
    <t>00000069</t>
  </si>
  <si>
    <t>BraTS2021_00079</t>
  </si>
  <si>
    <t>00000073</t>
  </si>
  <si>
    <t>BraTS2021_00091</t>
  </si>
  <si>
    <t>00000094</t>
  </si>
  <si>
    <t>BraTS2021_00001</t>
  </si>
  <si>
    <t>00000096</t>
  </si>
  <si>
    <t>BraTS2021_00080</t>
  </si>
  <si>
    <t>00000115</t>
  </si>
  <si>
    <t>BraTS2021_00535</t>
  </si>
  <si>
    <t>00000122</t>
  </si>
  <si>
    <t>BraTS2021_00553</t>
  </si>
  <si>
    <t>00000142</t>
  </si>
  <si>
    <t>BraTS2021_00463</t>
  </si>
  <si>
    <t>00000145</t>
  </si>
  <si>
    <t>BraTS2021_00462</t>
  </si>
  <si>
    <t>00000160</t>
  </si>
  <si>
    <t>BraTS2021_00503</t>
  </si>
  <si>
    <t>00000176</t>
  </si>
  <si>
    <t>BraTS2021_00467</t>
  </si>
  <si>
    <t>00000204</t>
  </si>
  <si>
    <t>BraTS2021_00474</t>
  </si>
  <si>
    <t>00000205</t>
  </si>
  <si>
    <t>BraTS2021_00521</t>
  </si>
  <si>
    <t>00000206</t>
  </si>
  <si>
    <t>BraTS2021_00492</t>
  </si>
  <si>
    <t>00000207</t>
  </si>
  <si>
    <t>BraTS2021_00560</t>
  </si>
  <si>
    <t>00000210</t>
  </si>
  <si>
    <t>BraTS2021_00489</t>
  </si>
  <si>
    <t>00000276</t>
  </si>
  <si>
    <t>BraTS2021_00702</t>
  </si>
  <si>
    <t>00000325</t>
  </si>
  <si>
    <t>BraTS2021_00719</t>
  </si>
  <si>
    <t>00000333</t>
  </si>
  <si>
    <t>BraTS2021_00681</t>
  </si>
  <si>
    <t>00000341</t>
  </si>
  <si>
    <t>BraTS2021_00769</t>
  </si>
  <si>
    <t>00000348</t>
  </si>
  <si>
    <t>BraTS2021_00712</t>
  </si>
  <si>
    <t>00000358</t>
  </si>
  <si>
    <t>BraTS2021_00779</t>
  </si>
  <si>
    <t>00000381</t>
  </si>
  <si>
    <t>BraTS2021_00699</t>
  </si>
  <si>
    <t>00000385</t>
  </si>
  <si>
    <t>BraTS2021_00721</t>
  </si>
  <si>
    <t>00000386</t>
  </si>
  <si>
    <t>BraTS2021_00762</t>
  </si>
  <si>
    <t>00000392</t>
  </si>
  <si>
    <t>BraTS2021_00749</t>
  </si>
  <si>
    <t>00000410</t>
  </si>
  <si>
    <t>BraTS2021_00644</t>
  </si>
  <si>
    <t>00000494</t>
  </si>
  <si>
    <t>BraTS2021_00603</t>
  </si>
  <si>
    <t>00000497</t>
  </si>
  <si>
    <t>BraTS2021_00662</t>
  </si>
  <si>
    <t>00000508</t>
  </si>
  <si>
    <t>BraTS2021_00671</t>
  </si>
  <si>
    <t>00000517</t>
  </si>
  <si>
    <t>BraTS2021_00647</t>
  </si>
  <si>
    <t>00000532</t>
  </si>
  <si>
    <t>BraTS2021_00447</t>
  </si>
  <si>
    <t>C3L-01040</t>
  </si>
  <si>
    <t>CPTAC-GBM-Validation</t>
  </si>
  <si>
    <t>BraTS2021_00458</t>
  </si>
  <si>
    <t>C3L-03266</t>
  </si>
  <si>
    <t>BraTS2021_00450</t>
  </si>
  <si>
    <t>C3N-01192</t>
  </si>
  <si>
    <t>BraTS2021_00460</t>
  </si>
  <si>
    <t>C3N-01852</t>
  </si>
  <si>
    <t>BraTS2021_00145</t>
  </si>
  <si>
    <t>TCGA-02-0003</t>
  </si>
  <si>
    <t>TCGA-GBM-Validation</t>
  </si>
  <si>
    <t>BraTS2021_01006</t>
  </si>
  <si>
    <t>TCGA-02-0060</t>
  </si>
  <si>
    <t>BraTS2021_00997</t>
  </si>
  <si>
    <t>TCGA-06-0133</t>
  </si>
  <si>
    <t>BraTS2021_00135</t>
  </si>
  <si>
    <t>TCGA-06-5412</t>
  </si>
  <si>
    <t>BraTS2021_00129</t>
  </si>
  <si>
    <t>TCGA-12-1093</t>
  </si>
  <si>
    <t>BraTS2021_00125</t>
  </si>
  <si>
    <t>TCGA-12-1602</t>
  </si>
  <si>
    <t>BraTS2021_00119</t>
  </si>
  <si>
    <t>TCGA-14-1829</t>
  </si>
  <si>
    <t>BraTS2021_00114</t>
  </si>
  <si>
    <t>TCGA-19-1390</t>
  </si>
  <si>
    <t>BraTS2021_00141</t>
  </si>
  <si>
    <t>TCGA-27-1834</t>
  </si>
  <si>
    <t>BraTS2021_00422</t>
  </si>
  <si>
    <t>UPENN-GBM-00022_11</t>
  </si>
  <si>
    <t>UPENN-GBM-Validation</t>
  </si>
  <si>
    <t>BraTS2021_00833</t>
  </si>
  <si>
    <t>UPENN-GBM-00093_11</t>
  </si>
  <si>
    <t>BraTS2021_00182</t>
  </si>
  <si>
    <t>UPENN-GBM-00094_11</t>
  </si>
  <si>
    <t>BraTS2021_00438</t>
  </si>
  <si>
    <t>UPENN-GBM-00098_11</t>
  </si>
  <si>
    <t>BraTS2021_00384</t>
  </si>
  <si>
    <t>UPENN-GBM-00131_11</t>
  </si>
  <si>
    <t>BraTS2021_00252</t>
  </si>
  <si>
    <t>UPENN-GBM-00354_11</t>
  </si>
  <si>
    <t>BraTS2021_00208</t>
  </si>
  <si>
    <t>UPENN-GBM-00363_11</t>
  </si>
  <si>
    <t>BraTS2021_00434</t>
  </si>
  <si>
    <t>UPENN-GBM-00384_11</t>
  </si>
  <si>
    <t>BraTS2021_00333</t>
  </si>
  <si>
    <t>UPENN-GBM-00391_11</t>
  </si>
  <si>
    <t>BraTS2021_00200</t>
  </si>
  <si>
    <t>UPENN-GBM-00419_11</t>
  </si>
  <si>
    <t>BraTS2021_00355</t>
  </si>
  <si>
    <t>UPENN-GBM-00420_11</t>
  </si>
  <si>
    <t>BraTS2021_00381</t>
  </si>
  <si>
    <t>UPENN-GBM-00424_11</t>
  </si>
  <si>
    <t>BraTS2021_00337</t>
  </si>
  <si>
    <t>UPENN-GBM-00430_11</t>
  </si>
  <si>
    <t>BraTS2021_00181</t>
  </si>
  <si>
    <t>UPENN-GBM-00431_11</t>
  </si>
  <si>
    <t>BraTS2021_00229</t>
  </si>
  <si>
    <t>UPENN-GBM-00439_11</t>
  </si>
  <si>
    <t>BraTS2021_00163</t>
  </si>
  <si>
    <t>UPENN-GBM-00444_11</t>
  </si>
  <si>
    <t>BraTS2021_00323</t>
  </si>
  <si>
    <t>UPENN-GBM-00459_11</t>
  </si>
  <si>
    <t>BraTS2021_00428</t>
  </si>
  <si>
    <t>UPENN-GBM-00489_11</t>
  </si>
  <si>
    <t>BraTS2021_00213</t>
  </si>
  <si>
    <t>UPENN-GBM-00505_11</t>
  </si>
  <si>
    <t>BraTS2021_00190</t>
  </si>
  <si>
    <t>UPENN-GBM-00519_11</t>
  </si>
  <si>
    <t>BraTS2021_00161</t>
  </si>
  <si>
    <t>UPENN-GBM-00524_11</t>
  </si>
  <si>
    <t>BraTS2021_00372</t>
  </si>
  <si>
    <t>UPENN-GBM-00526_11</t>
  </si>
  <si>
    <t>BraTS2021_00287</t>
  </si>
  <si>
    <t>UPENN-GBM-00533_11</t>
  </si>
  <si>
    <t>BraTS2021_00307</t>
  </si>
  <si>
    <t>UPENN-GBM-00536_11</t>
  </si>
  <si>
    <t>BraTS2021_00264</t>
  </si>
  <si>
    <t>UPENN-GBM-00558_11</t>
  </si>
  <si>
    <t>BraTS2021_00174</t>
  </si>
  <si>
    <t>UPENN-GBM-00560_11</t>
  </si>
  <si>
    <t>BraTS2021_00335</t>
  </si>
  <si>
    <t>UPENN-GBM-00575_11</t>
  </si>
  <si>
    <t>BraTS2021_00256</t>
  </si>
  <si>
    <t>UPENN-GBM-00591_11</t>
  </si>
  <si>
    <t>BraTS2021_00153</t>
  </si>
  <si>
    <t>UPENN-GBM-00604_11</t>
  </si>
  <si>
    <t>BraTS2021_00573</t>
  </si>
  <si>
    <t>W36</t>
  </si>
  <si>
    <t>IvyGAP-Validation</t>
  </si>
  <si>
    <t>BraTS2021_00585</t>
  </si>
  <si>
    <t>W39</t>
  </si>
  <si>
    <t>BraTS2021_00592</t>
  </si>
  <si>
    <t>W43</t>
  </si>
  <si>
    <t>BraTS2021_00595</t>
  </si>
  <si>
    <t>W7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</si>
</sst>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Arial"/>
      <family val="2"/>
    </font>
    <font>
      <sz val="10"/>
      <color theme="1"/>
      <name val="Arial"/>
      <family val="2"/>
      <scheme val="minor"/>
    </font>
    <font>
      <sz val="11"/>
      <color rgb="FF000000"/>
      <name val="Calibri"/>
      <family val="2"/>
    </font>
    <font>
      <sz val="10"/>
      <color rgb="FF000000"/>
      <name val="Arial"/>
      <family val="2"/>
    </font>
    <font>
      <sz val="10"/>
      <color theme="1"/>
      <name val="Arial"/>
      <family val="2"/>
    </font>
    <font>
      <b/>
      <sz val="14"/>
      <color theme="1"/>
      <name val="Arial"/>
      <family val="2"/>
      <scheme val="minor"/>
    </font>
    <font>
      <b/>
      <sz val="11"/>
      <color theme="1"/>
      <name val="Arial"/>
      <family val="2"/>
      <scheme val="minor"/>
    </font>
    <font>
      <sz val="10"/>
      <name val="Arial"/>
      <family val="2"/>
    </font>
    <font>
      <b/>
      <sz val="11"/>
      <color theme="1"/>
      <name val="Arial"/>
      <family val="2"/>
    </font>
    <font>
      <b/>
      <sz val="10"/>
      <color theme="1"/>
      <name val="Arial"/>
      <family val="2"/>
      <scheme val="minor"/>
    </font>
    <font>
      <b/>
      <sz val="10"/>
      <color theme="1"/>
      <name val="Arial"/>
      <family val="2"/>
    </font>
    <font>
      <b/>
      <sz val="10"/>
      <color theme="1"/>
      <name val="Arial"/>
      <family val="2"/>
    </font>
    <font>
      <b/>
      <sz val="10"/>
      <color rgb="FF000000"/>
      <name val="Arial"/>
      <family val="2"/>
    </font>
    <font>
      <b/>
      <u/>
      <sz val="10"/>
      <color theme="1"/>
      <name val="Arial"/>
      <family val="2"/>
    </font>
  </fonts>
  <fills count="10">
    <fill>
      <patternFill patternType="none"/>
    </fill>
    <fill>
      <patternFill patternType="gray125"/>
    </fill>
    <fill>
      <patternFill patternType="solid">
        <fgColor rgb="FF00FF00"/>
        <bgColor rgb="FF00FF00"/>
      </patternFill>
    </fill>
    <fill>
      <patternFill patternType="solid">
        <fgColor rgb="FFD9D9D9"/>
        <bgColor rgb="FFD9D9D9"/>
      </patternFill>
    </fill>
    <fill>
      <patternFill patternType="solid">
        <fgColor rgb="FFCCCCCC"/>
        <bgColor rgb="FFCCCCCC"/>
      </patternFill>
    </fill>
    <fill>
      <patternFill patternType="solid">
        <fgColor rgb="FFFFD966"/>
        <bgColor rgb="FFFFD966"/>
      </patternFill>
    </fill>
    <fill>
      <patternFill patternType="solid">
        <fgColor rgb="FFFFD965"/>
        <bgColor rgb="FFFFD965"/>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30">
    <border>
      <left/>
      <right/>
      <top/>
      <bottom/>
      <diagonal/>
    </border>
    <border>
      <left style="thick">
        <color rgb="FF000000"/>
      </left>
      <right style="thick">
        <color rgb="FF000000"/>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right style="medium">
        <color rgb="FF000000"/>
      </right>
      <top style="thick">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ck">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ck">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ck">
        <color rgb="FF000000"/>
      </left>
      <right/>
      <top/>
      <bottom style="thick">
        <color rgb="FF000000"/>
      </bottom>
      <diagonal/>
    </border>
    <border>
      <left/>
      <right/>
      <top/>
      <bottom style="thick">
        <color rgb="FF000000"/>
      </bottom>
      <diagonal/>
    </border>
    <border>
      <left/>
      <right style="medium">
        <color rgb="FF000000"/>
      </right>
      <top/>
      <bottom style="thick">
        <color rgb="FF000000"/>
      </bottom>
      <diagonal/>
    </border>
    <border>
      <left/>
      <right/>
      <top/>
      <bottom style="thin">
        <color rgb="FF000000"/>
      </bottom>
      <diagonal/>
    </border>
    <border>
      <left/>
      <right/>
      <top/>
      <bottom style="medium">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90">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left"/>
    </xf>
    <xf numFmtId="49" fontId="1" fillId="0" borderId="0" xfId="0" applyNumberFormat="1" applyFont="1" applyAlignment="1">
      <alignment horizontal="left"/>
    </xf>
    <xf numFmtId="0" fontId="4" fillId="0" borderId="0" xfId="0" applyFont="1" applyAlignment="1">
      <alignment horizontal="left"/>
    </xf>
    <xf numFmtId="0" fontId="5" fillId="0" borderId="0" xfId="0" applyFont="1" applyAlignment="1">
      <alignment horizontal="left"/>
    </xf>
    <xf numFmtId="0" fontId="2" fillId="0" borderId="1" xfId="0" applyFont="1" applyBorder="1"/>
    <xf numFmtId="0" fontId="2" fillId="0" borderId="6" xfId="0" applyFont="1" applyBorder="1"/>
    <xf numFmtId="0" fontId="2" fillId="5" borderId="9" xfId="0" applyFont="1" applyFill="1" applyBorder="1"/>
    <xf numFmtId="0" fontId="2" fillId="0" borderId="9" xfId="0" applyFont="1" applyBorder="1"/>
    <xf numFmtId="0" fontId="2" fillId="6" borderId="7" xfId="0" applyFont="1" applyFill="1" applyBorder="1"/>
    <xf numFmtId="0" fontId="2" fillId="5" borderId="7" xfId="0" applyFont="1" applyFill="1" applyBorder="1"/>
    <xf numFmtId="0" fontId="5" fillId="5" borderId="9" xfId="0" applyFont="1" applyFill="1" applyBorder="1"/>
    <xf numFmtId="0" fontId="5" fillId="0" borderId="9" xfId="0" applyFont="1" applyBorder="1"/>
    <xf numFmtId="0" fontId="2" fillId="0" borderId="10" xfId="0" applyFont="1" applyBorder="1"/>
    <xf numFmtId="0" fontId="2" fillId="5" borderId="11" xfId="0" applyFont="1" applyFill="1" applyBorder="1"/>
    <xf numFmtId="0" fontId="2" fillId="0" borderId="12" xfId="0" applyFont="1" applyBorder="1"/>
    <xf numFmtId="0" fontId="2" fillId="6" borderId="11" xfId="0" applyFont="1" applyFill="1" applyBorder="1"/>
    <xf numFmtId="0" fontId="2" fillId="0" borderId="13" xfId="0" applyFont="1" applyBorder="1"/>
    <xf numFmtId="0" fontId="2" fillId="0" borderId="14" xfId="0" applyFont="1" applyBorder="1"/>
    <xf numFmtId="0" fontId="2" fillId="5" borderId="15" xfId="0" applyFont="1" applyFill="1" applyBorder="1"/>
    <xf numFmtId="0" fontId="2" fillId="0" borderId="16" xfId="0" applyFont="1" applyBorder="1"/>
    <xf numFmtId="0" fontId="2" fillId="6" borderId="15" xfId="0" applyFont="1" applyFill="1" applyBorder="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3" xfId="0" applyFont="1" applyBorder="1"/>
    <xf numFmtId="0" fontId="2" fillId="0" borderId="24" xfId="0" applyFont="1" applyBorder="1"/>
    <xf numFmtId="0" fontId="2" fillId="0" borderId="25" xfId="0" applyFont="1" applyBorder="1"/>
    <xf numFmtId="0" fontId="2" fillId="0" borderId="0" xfId="0" applyFont="1" applyAlignment="1">
      <alignment horizontal="center"/>
    </xf>
    <xf numFmtId="0" fontId="2" fillId="0" borderId="28" xfId="0" applyFont="1" applyBorder="1" applyAlignment="1">
      <alignment horizontal="center"/>
    </xf>
    <xf numFmtId="0" fontId="2" fillId="7" borderId="26" xfId="0" applyFont="1" applyFill="1" applyBorder="1" applyAlignment="1">
      <alignment horizontal="center"/>
    </xf>
    <xf numFmtId="0" fontId="2" fillId="0" borderId="29" xfId="0" applyFont="1" applyBorder="1" applyAlignment="1">
      <alignment horizontal="center"/>
    </xf>
    <xf numFmtId="10" fontId="2" fillId="7" borderId="0" xfId="0" applyNumberFormat="1" applyFont="1" applyFill="1" applyAlignment="1">
      <alignment horizontal="center"/>
    </xf>
    <xf numFmtId="10" fontId="2" fillId="0" borderId="29" xfId="0" applyNumberFormat="1" applyFont="1" applyBorder="1" applyAlignment="1">
      <alignment horizontal="center"/>
    </xf>
    <xf numFmtId="10" fontId="2" fillId="0" borderId="0" xfId="0" applyNumberFormat="1" applyFont="1" applyAlignment="1">
      <alignment horizontal="center"/>
    </xf>
    <xf numFmtId="0" fontId="2" fillId="0" borderId="26" xfId="0" applyFont="1" applyBorder="1" applyAlignment="1">
      <alignment horizontal="center"/>
    </xf>
    <xf numFmtId="10" fontId="2" fillId="7" borderId="26" xfId="0" applyNumberFormat="1" applyFont="1" applyFill="1" applyBorder="1" applyAlignment="1">
      <alignment horizontal="center"/>
    </xf>
    <xf numFmtId="10" fontId="2" fillId="0" borderId="26" xfId="0" applyNumberFormat="1" applyFont="1" applyBorder="1" applyAlignment="1">
      <alignment horizontal="center"/>
    </xf>
    <xf numFmtId="11" fontId="2" fillId="0" borderId="0" xfId="0" applyNumberFormat="1" applyFont="1"/>
    <xf numFmtId="4" fontId="1" fillId="0" borderId="0" xfId="0" applyNumberFormat="1" applyFont="1" applyAlignment="1">
      <alignment horizontal="left"/>
    </xf>
    <xf numFmtId="0" fontId="1" fillId="8" borderId="0" xfId="0" applyFont="1" applyFill="1" applyAlignment="1">
      <alignment horizontal="left"/>
    </xf>
    <xf numFmtId="0" fontId="12" fillId="0" borderId="0" xfId="0" applyFont="1" applyAlignment="1">
      <alignment horizontal="left"/>
    </xf>
    <xf numFmtId="0" fontId="13" fillId="0" borderId="0" xfId="0" applyFont="1" applyAlignment="1">
      <alignment horizontal="left"/>
    </xf>
    <xf numFmtId="0" fontId="2" fillId="0" borderId="0" xfId="0" applyFont="1" applyAlignment="1">
      <alignment horizontal="left"/>
    </xf>
    <xf numFmtId="0" fontId="3" fillId="0" borderId="0" xfId="0" applyFont="1" applyAlignment="1">
      <alignment horizontal="center"/>
    </xf>
    <xf numFmtId="0" fontId="5" fillId="0" borderId="0" xfId="0" applyFont="1"/>
    <xf numFmtId="0" fontId="2" fillId="5" borderId="0" xfId="0" applyFont="1" applyFill="1"/>
    <xf numFmtId="0" fontId="1" fillId="9" borderId="0" xfId="0" applyFont="1" applyFill="1" applyAlignment="1">
      <alignment horizontal="left"/>
    </xf>
    <xf numFmtId="0" fontId="1" fillId="5" borderId="0" xfId="0" quotePrefix="1" applyFont="1" applyFill="1" applyAlignment="1">
      <alignment horizontal="left"/>
    </xf>
    <xf numFmtId="0" fontId="4" fillId="8" borderId="0" xfId="0" applyFont="1" applyFill="1" applyAlignment="1">
      <alignment horizontal="left"/>
    </xf>
    <xf numFmtId="0" fontId="2" fillId="8" borderId="0" xfId="0" applyFont="1" applyFill="1"/>
    <xf numFmtId="0" fontId="3" fillId="8" borderId="0" xfId="0" applyFont="1" applyFill="1" applyAlignment="1">
      <alignment horizontal="center"/>
    </xf>
    <xf numFmtId="0" fontId="5" fillId="9" borderId="0" xfId="0" applyFont="1" applyFill="1"/>
    <xf numFmtId="0" fontId="5" fillId="8" borderId="0" xfId="0" applyFont="1" applyFill="1"/>
    <xf numFmtId="0" fontId="1" fillId="5" borderId="0" xfId="0" applyFont="1" applyFill="1" applyAlignment="1">
      <alignment horizontal="left"/>
    </xf>
    <xf numFmtId="49" fontId="1" fillId="5" borderId="0" xfId="0" applyNumberFormat="1" applyFont="1" applyFill="1" applyAlignment="1">
      <alignment horizontal="left"/>
    </xf>
    <xf numFmtId="49" fontId="1" fillId="8" borderId="0" xfId="0" applyNumberFormat="1" applyFont="1" applyFill="1" applyAlignment="1">
      <alignment horizontal="left"/>
    </xf>
    <xf numFmtId="0" fontId="2" fillId="0" borderId="19" xfId="0" applyFont="1" applyBorder="1"/>
    <xf numFmtId="0" fontId="8" fillId="0" borderId="20" xfId="0" applyFont="1" applyBorder="1"/>
    <xf numFmtId="0" fontId="2" fillId="0" borderId="19" xfId="0" applyFont="1" applyBorder="1" applyAlignment="1">
      <alignment horizontal="center"/>
    </xf>
    <xf numFmtId="0" fontId="2" fillId="0" borderId="0" xfId="0" applyFont="1" applyAlignment="1">
      <alignment horizontal="center"/>
    </xf>
    <xf numFmtId="0" fontId="0" fillId="0" borderId="0" xfId="0"/>
    <xf numFmtId="0" fontId="2" fillId="0" borderId="21" xfId="0" applyFont="1" applyBorder="1"/>
    <xf numFmtId="0" fontId="8" fillId="0" borderId="22" xfId="0" applyFont="1" applyBorder="1"/>
    <xf numFmtId="0" fontId="2" fillId="0" borderId="6" xfId="0" applyFont="1" applyBorder="1" applyAlignment="1">
      <alignment horizontal="center"/>
    </xf>
    <xf numFmtId="0" fontId="8" fillId="0" borderId="7" xfId="0" applyFont="1" applyBorder="1"/>
    <xf numFmtId="0" fontId="10" fillId="0" borderId="6" xfId="0" applyFont="1" applyBorder="1" applyAlignment="1">
      <alignment horizontal="center"/>
    </xf>
    <xf numFmtId="0" fontId="11" fillId="0" borderId="6" xfId="0" applyFont="1" applyBorder="1" applyAlignment="1">
      <alignment horizontal="center"/>
    </xf>
    <xf numFmtId="0" fontId="6" fillId="2" borderId="0" xfId="0" applyFont="1" applyFill="1" applyAlignment="1">
      <alignment horizontal="center"/>
    </xf>
    <xf numFmtId="0" fontId="7" fillId="3" borderId="2" xfId="0" applyFont="1" applyFill="1" applyBorder="1" applyAlignment="1">
      <alignment horizontal="center"/>
    </xf>
    <xf numFmtId="0" fontId="8" fillId="0" borderId="2" xfId="0" applyFont="1" applyBorder="1"/>
    <xf numFmtId="0" fontId="8" fillId="0" borderId="3" xfId="0" applyFont="1" applyBorder="1"/>
    <xf numFmtId="0" fontId="7" fillId="4" borderId="4" xfId="0" applyFont="1" applyFill="1" applyBorder="1" applyAlignment="1">
      <alignment horizontal="center"/>
    </xf>
    <xf numFmtId="0" fontId="9" fillId="4" borderId="4" xfId="0" applyFont="1" applyFill="1" applyBorder="1" applyAlignment="1">
      <alignment horizontal="center"/>
    </xf>
    <xf numFmtId="0" fontId="10" fillId="0" borderId="8" xfId="0" applyFont="1" applyBorder="1" applyAlignment="1">
      <alignment horizontal="center"/>
    </xf>
    <xf numFmtId="0" fontId="8" fillId="0" borderId="5" xfId="0" applyFont="1" applyBorder="1"/>
    <xf numFmtId="0" fontId="2" fillId="0" borderId="19" xfId="0" quotePrefix="1" applyFont="1" applyBorder="1" applyAlignment="1">
      <alignment horizontal="center"/>
    </xf>
    <xf numFmtId="0" fontId="2" fillId="0" borderId="0" xfId="0" applyFont="1"/>
    <xf numFmtId="0" fontId="2" fillId="0" borderId="27" xfId="0" applyFont="1" applyBorder="1"/>
    <xf numFmtId="0" fontId="8" fillId="0" borderId="27" xfId="0" applyFont="1" applyBorder="1"/>
    <xf numFmtId="0" fontId="2" fillId="0" borderId="26" xfId="0" applyFont="1" applyBorder="1"/>
    <xf numFmtId="0" fontId="8" fillId="0" borderId="26" xfId="0" applyFont="1" applyBorder="1"/>
    <xf numFmtId="0" fontId="2" fillId="0" borderId="0" xfId="0" applyFont="1" applyAlignment="1">
      <alignment vertical="top" wrapText="1"/>
    </xf>
    <xf numFmtId="0" fontId="2" fillId="0" borderId="18" xfId="0" applyFont="1" applyBorder="1"/>
    <xf numFmtId="0" fontId="7" fillId="7" borderId="28" xfId="0" applyFont="1" applyFill="1" applyBorder="1" applyAlignment="1">
      <alignment horizontal="center"/>
    </xf>
    <xf numFmtId="0" fontId="8" fillId="0" borderId="28" xfId="0" applyFont="1" applyBorder="1"/>
    <xf numFmtId="0" fontId="1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survival_days</a:t>
            </a:r>
          </a:p>
        </c:rich>
      </c:tx>
      <c:overlay val="0"/>
    </c:title>
    <c:autoTitleDeleted val="0"/>
    <c:plotArea>
      <c:layout/>
      <c:lineChart>
        <c:grouping val="standard"/>
        <c:varyColors val="0"/>
        <c:ser>
          <c:idx val="0"/>
          <c:order val="0"/>
          <c:spPr>
            <a:ln cmpd="sng">
              <a:solidFill>
                <a:srgbClr val="4285F4"/>
              </a:solidFill>
            </a:ln>
          </c:spPr>
          <c:marker>
            <c:symbol val="none"/>
          </c:marker>
          <c:val>
            <c:numRef>
              <c:f>'CLINICAL-RAW-DATA-FINAL'!$I$2:$I$21</c:f>
              <c:numCache>
                <c:formatCode>General</c:formatCode>
                <c:ptCount val="20"/>
                <c:pt idx="0">
                  <c:v>224</c:v>
                </c:pt>
                <c:pt idx="1">
                  <c:v>313</c:v>
                </c:pt>
                <c:pt idx="2">
                  <c:v>241</c:v>
                </c:pt>
                <c:pt idx="3">
                  <c:v>1650</c:v>
                </c:pt>
                <c:pt idx="4">
                  <c:v>1611</c:v>
                </c:pt>
                <c:pt idx="5">
                  <c:v>1797</c:v>
                </c:pt>
                <c:pt idx="6">
                  <c:v>567</c:v>
                </c:pt>
                <c:pt idx="7">
                  <c:v>1328</c:v>
                </c:pt>
                <c:pt idx="8">
                  <c:v>1907</c:v>
                </c:pt>
                <c:pt idx="9">
                  <c:v>351</c:v>
                </c:pt>
                <c:pt idx="10">
                  <c:v>298</c:v>
                </c:pt>
                <c:pt idx="11">
                  <c:v>232</c:v>
                </c:pt>
                <c:pt idx="12">
                  <c:v>575</c:v>
                </c:pt>
                <c:pt idx="13">
                  <c:v>39</c:v>
                </c:pt>
                <c:pt idx="14">
                  <c:v>994</c:v>
                </c:pt>
                <c:pt idx="15">
                  <c:v>54</c:v>
                </c:pt>
                <c:pt idx="16">
                  <c:v>110</c:v>
                </c:pt>
                <c:pt idx="17">
                  <c:v>134</c:v>
                </c:pt>
                <c:pt idx="18">
                  <c:v>1673</c:v>
                </c:pt>
                <c:pt idx="19">
                  <c:v>54</c:v>
                </c:pt>
              </c:numCache>
            </c:numRef>
          </c:val>
          <c:smooth val="0"/>
          <c:extLst>
            <c:ext xmlns:c16="http://schemas.microsoft.com/office/drawing/2014/chart" uri="{C3380CC4-5D6E-409C-BE32-E72D297353CC}">
              <c16:uniqueId val="{00000000-A5A0-994F-AC72-566C864FF901}"/>
            </c:ext>
          </c:extLst>
        </c:ser>
        <c:dLbls>
          <c:showLegendKey val="0"/>
          <c:showVal val="0"/>
          <c:showCatName val="0"/>
          <c:showSerName val="0"/>
          <c:showPercent val="0"/>
          <c:showBubbleSize val="0"/>
        </c:dLbls>
        <c:smooth val="0"/>
        <c:axId val="1382694663"/>
        <c:axId val="1627817010"/>
      </c:lineChart>
      <c:catAx>
        <c:axId val="138269466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27817010"/>
        <c:crosses val="autoZero"/>
        <c:auto val="1"/>
        <c:lblAlgn val="ctr"/>
        <c:lblOffset val="100"/>
        <c:noMultiLvlLbl val="1"/>
      </c:catAx>
      <c:valAx>
        <c:axId val="16278170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survival_days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38269466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survival_days</a:t>
            </a:r>
          </a:p>
        </c:rich>
      </c:tx>
      <c:overlay val="0"/>
    </c:title>
    <c:autoTitleDeleted val="0"/>
    <c:plotArea>
      <c:layout/>
      <c:lineChart>
        <c:grouping val="standard"/>
        <c:varyColors val="0"/>
        <c:ser>
          <c:idx val="0"/>
          <c:order val="0"/>
          <c:spPr>
            <a:ln cmpd="sng">
              <a:solidFill>
                <a:srgbClr val="4285F4"/>
              </a:solidFill>
            </a:ln>
          </c:spPr>
          <c:marker>
            <c:symbol val="none"/>
          </c:marker>
          <c:val>
            <c:numRef>
              <c:f>'TESTING - CLINICAL-RAW-DATA-FIN'!$I$2:$I$21</c:f>
              <c:numCache>
                <c:formatCode>General</c:formatCode>
                <c:ptCount val="20"/>
                <c:pt idx="0">
                  <c:v>224</c:v>
                </c:pt>
                <c:pt idx="1">
                  <c:v>313</c:v>
                </c:pt>
                <c:pt idx="2">
                  <c:v>241</c:v>
                </c:pt>
                <c:pt idx="3">
                  <c:v>1650</c:v>
                </c:pt>
                <c:pt idx="4">
                  <c:v>1611</c:v>
                </c:pt>
                <c:pt idx="5">
                  <c:v>1797</c:v>
                </c:pt>
                <c:pt idx="6">
                  <c:v>567</c:v>
                </c:pt>
                <c:pt idx="7">
                  <c:v>1328</c:v>
                </c:pt>
                <c:pt idx="8">
                  <c:v>1907</c:v>
                </c:pt>
                <c:pt idx="9">
                  <c:v>351</c:v>
                </c:pt>
                <c:pt idx="10">
                  <c:v>298</c:v>
                </c:pt>
                <c:pt idx="11">
                  <c:v>232</c:v>
                </c:pt>
                <c:pt idx="12">
                  <c:v>575</c:v>
                </c:pt>
                <c:pt idx="13">
                  <c:v>39</c:v>
                </c:pt>
                <c:pt idx="14">
                  <c:v>994</c:v>
                </c:pt>
                <c:pt idx="15">
                  <c:v>54</c:v>
                </c:pt>
                <c:pt idx="16">
                  <c:v>110</c:v>
                </c:pt>
                <c:pt idx="17">
                  <c:v>134</c:v>
                </c:pt>
                <c:pt idx="18">
                  <c:v>1673</c:v>
                </c:pt>
                <c:pt idx="19">
                  <c:v>54</c:v>
                </c:pt>
              </c:numCache>
            </c:numRef>
          </c:val>
          <c:smooth val="0"/>
          <c:extLst>
            <c:ext xmlns:c16="http://schemas.microsoft.com/office/drawing/2014/chart" uri="{C3380CC4-5D6E-409C-BE32-E72D297353CC}">
              <c16:uniqueId val="{00000000-7D37-AA43-AD6D-7DE5F64A6B0A}"/>
            </c:ext>
          </c:extLst>
        </c:ser>
        <c:dLbls>
          <c:showLegendKey val="0"/>
          <c:showVal val="0"/>
          <c:showCatName val="0"/>
          <c:showSerName val="0"/>
          <c:showPercent val="0"/>
          <c:showBubbleSize val="0"/>
        </c:dLbls>
        <c:smooth val="0"/>
        <c:axId val="1921256405"/>
        <c:axId val="318501714"/>
      </c:lineChart>
      <c:catAx>
        <c:axId val="192125640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18501714"/>
        <c:crosses val="autoZero"/>
        <c:auto val="1"/>
        <c:lblAlgn val="ctr"/>
        <c:lblOffset val="100"/>
        <c:noMultiLvlLbl val="1"/>
      </c:catAx>
      <c:valAx>
        <c:axId val="3185017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survival_days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92125640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247650</xdr:colOff>
      <xdr:row>5</xdr:row>
      <xdr:rowOff>104775</xdr:rowOff>
    </xdr:from>
    <xdr:ext cx="5715000" cy="3533775"/>
    <xdr:pic>
      <xdr:nvPicPr>
        <xdr:cNvPr id="1586745644" name="Chart1" title="Chart">
          <a:extLst>
            <a:ext uri="{FF2B5EF4-FFF2-40B4-BE49-F238E27FC236}">
              <a16:creationId xmlns:a16="http://schemas.microsoft.com/office/drawing/2014/main" id="{00000000-0008-0000-0600-00002CD1935E}"/>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914400</xdr:colOff>
      <xdr:row>22</xdr:row>
      <xdr:rowOff>133350</xdr:rowOff>
    </xdr:from>
    <xdr:ext cx="5715000" cy="3533775"/>
    <xdr:graphicFrame macro="">
      <xdr:nvGraphicFramePr>
        <xdr:cNvPr id="2" name="Chart 2" titl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247650</xdr:colOff>
      <xdr:row>5</xdr:row>
      <xdr:rowOff>104775</xdr:rowOff>
    </xdr:from>
    <xdr:ext cx="5715000" cy="3533775"/>
    <xdr:pic>
      <xdr:nvPicPr>
        <xdr:cNvPr id="1274711761" name="Chart3" title="Chart">
          <a:extLst>
            <a:ext uri="{FF2B5EF4-FFF2-40B4-BE49-F238E27FC236}">
              <a16:creationId xmlns:a16="http://schemas.microsoft.com/office/drawing/2014/main" id="{00000000-0008-0000-0700-0000D18EFA4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914400</xdr:colOff>
      <xdr:row>22</xdr:row>
      <xdr:rowOff>133350</xdr:rowOff>
    </xdr:from>
    <xdr:ext cx="5715000" cy="3533775"/>
    <xdr:graphicFrame macro="">
      <xdr:nvGraphicFramePr>
        <xdr:cNvPr id="4" name="Chart 4" title="Chart">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74"/>
  <sheetViews>
    <sheetView tabSelected="1" zoomScale="194" workbookViewId="0">
      <pane xSplit="4" ySplit="1" topLeftCell="E2" activePane="bottomRight" state="frozen"/>
      <selection pane="topRight" activeCell="E1" sqref="E1"/>
      <selection pane="bottomLeft" activeCell="A2" sqref="A2"/>
      <selection pane="bottomRight" activeCell="B1" sqref="B1"/>
    </sheetView>
  </sheetViews>
  <sheetFormatPr baseColWidth="10" defaultColWidth="12.6640625" defaultRowHeight="15.75" customHeight="1" x14ac:dyDescent="0.15"/>
  <cols>
    <col min="1" max="1" width="28.6640625" customWidth="1"/>
    <col min="2" max="2" width="21.6640625" customWidth="1"/>
    <col min="3" max="3" width="12.1640625" customWidth="1"/>
    <col min="4" max="4" width="17.6640625" customWidth="1"/>
    <col min="10" max="10" width="13.5" customWidth="1"/>
    <col min="27" max="27" width="8.33203125" customWidth="1"/>
    <col min="28" max="28" width="12.6640625" customWidth="1"/>
    <col min="29" max="31" width="0.1640625" customWidth="1"/>
  </cols>
  <sheetData>
    <row r="1" spans="1:10" ht="15.75" customHeight="1" x14ac:dyDescent="0.15">
      <c r="A1" s="1" t="s">
        <v>0</v>
      </c>
      <c r="B1" s="1" t="s">
        <v>1</v>
      </c>
      <c r="C1" s="1" t="s">
        <v>2</v>
      </c>
      <c r="D1" s="1" t="s">
        <v>3</v>
      </c>
      <c r="E1" s="2" t="s">
        <v>4</v>
      </c>
      <c r="F1" s="2" t="s">
        <v>5</v>
      </c>
      <c r="G1" s="2" t="s">
        <v>6</v>
      </c>
      <c r="H1" s="2" t="s">
        <v>7</v>
      </c>
      <c r="I1" s="2" t="s">
        <v>8</v>
      </c>
      <c r="J1" s="2" t="s">
        <v>9</v>
      </c>
    </row>
    <row r="2" spans="1:10" ht="15" x14ac:dyDescent="0.2">
      <c r="A2" s="3" t="s">
        <v>11</v>
      </c>
      <c r="B2" s="1" t="s">
        <v>12</v>
      </c>
      <c r="C2" s="4" t="s">
        <v>13</v>
      </c>
      <c r="D2" s="1" t="s">
        <v>14</v>
      </c>
      <c r="E2" s="2">
        <v>11738</v>
      </c>
      <c r="F2" s="2">
        <v>12836</v>
      </c>
      <c r="G2" s="2">
        <v>32731</v>
      </c>
      <c r="H2" s="2">
        <f t="shared" ref="H2:H256" si="0">SUM(E2:G2)</f>
        <v>57305</v>
      </c>
      <c r="I2" s="2">
        <v>1480170</v>
      </c>
      <c r="J2" s="2">
        <f t="shared" ref="J2:J256" si="1">H2/I2</f>
        <v>3.871514758439909E-2</v>
      </c>
    </row>
    <row r="3" spans="1:10" ht="15" x14ac:dyDescent="0.2">
      <c r="A3" s="3" t="s">
        <v>15</v>
      </c>
      <c r="B3" s="1" t="s">
        <v>16</v>
      </c>
      <c r="C3" s="4" t="s">
        <v>17</v>
      </c>
      <c r="D3" s="1" t="s">
        <v>14</v>
      </c>
      <c r="E3" s="2">
        <v>11248</v>
      </c>
      <c r="F3" s="2">
        <v>155695</v>
      </c>
      <c r="G3" s="2">
        <v>23651</v>
      </c>
      <c r="H3" s="2">
        <f t="shared" si="0"/>
        <v>190594</v>
      </c>
      <c r="I3" s="2">
        <v>1392388</v>
      </c>
      <c r="J3" s="2">
        <f t="shared" si="1"/>
        <v>0.13688282289132053</v>
      </c>
    </row>
    <row r="4" spans="1:10" ht="15" x14ac:dyDescent="0.2">
      <c r="A4" s="3" t="s">
        <v>18</v>
      </c>
      <c r="B4" s="1" t="s">
        <v>19</v>
      </c>
      <c r="C4" s="4" t="s">
        <v>20</v>
      </c>
      <c r="D4" s="1" t="s">
        <v>14</v>
      </c>
      <c r="E4" s="2">
        <v>17214</v>
      </c>
      <c r="F4" s="2">
        <v>57773</v>
      </c>
      <c r="G4" s="2">
        <v>24252</v>
      </c>
      <c r="H4" s="2">
        <f t="shared" si="0"/>
        <v>99239</v>
      </c>
      <c r="I4" s="2">
        <v>1617269</v>
      </c>
      <c r="J4" s="2">
        <f t="shared" si="1"/>
        <v>6.1362086331958381E-2</v>
      </c>
    </row>
    <row r="5" spans="1:10" ht="15" x14ac:dyDescent="0.2">
      <c r="A5" s="3" t="s">
        <v>21</v>
      </c>
      <c r="B5" s="1" t="s">
        <v>22</v>
      </c>
      <c r="C5" s="4" t="s">
        <v>23</v>
      </c>
      <c r="D5" s="1" t="s">
        <v>14</v>
      </c>
      <c r="E5" s="2">
        <v>24187</v>
      </c>
      <c r="F5" s="2">
        <v>76742</v>
      </c>
      <c r="G5" s="2">
        <v>23854</v>
      </c>
      <c r="H5" s="2">
        <f t="shared" si="0"/>
        <v>124783</v>
      </c>
      <c r="I5" s="2">
        <v>1292510</v>
      </c>
      <c r="J5" s="2">
        <f t="shared" si="1"/>
        <v>9.6543160207657963E-2</v>
      </c>
    </row>
    <row r="6" spans="1:10" ht="15" x14ac:dyDescent="0.2">
      <c r="A6" s="3" t="s">
        <v>24</v>
      </c>
      <c r="B6" s="1" t="s">
        <v>25</v>
      </c>
      <c r="C6" s="4" t="s">
        <v>26</v>
      </c>
      <c r="D6" s="1" t="s">
        <v>14</v>
      </c>
      <c r="E6" s="2">
        <v>25506</v>
      </c>
      <c r="F6" s="2">
        <v>85957</v>
      </c>
      <c r="G6" s="2">
        <v>26448</v>
      </c>
      <c r="H6" s="2">
        <f t="shared" si="0"/>
        <v>137911</v>
      </c>
      <c r="I6" s="2">
        <v>1519600</v>
      </c>
      <c r="J6" s="2">
        <f t="shared" si="1"/>
        <v>9.0754803895762043E-2</v>
      </c>
    </row>
    <row r="7" spans="1:10" ht="15" x14ac:dyDescent="0.2">
      <c r="A7" s="3" t="s">
        <v>27</v>
      </c>
      <c r="B7" s="1" t="s">
        <v>28</v>
      </c>
      <c r="C7" s="4" t="s">
        <v>29</v>
      </c>
      <c r="D7" s="1" t="s">
        <v>14</v>
      </c>
      <c r="E7" s="2">
        <v>16</v>
      </c>
      <c r="F7" s="2">
        <v>18135</v>
      </c>
      <c r="G7" s="2">
        <v>311</v>
      </c>
      <c r="H7" s="2">
        <f t="shared" si="0"/>
        <v>18462</v>
      </c>
      <c r="I7" s="2">
        <v>1432101</v>
      </c>
      <c r="J7" s="2">
        <f t="shared" si="1"/>
        <v>1.2891548850255674E-2</v>
      </c>
    </row>
    <row r="8" spans="1:10" ht="15" x14ac:dyDescent="0.2">
      <c r="A8" s="3" t="s">
        <v>30</v>
      </c>
      <c r="B8" s="1" t="s">
        <v>31</v>
      </c>
      <c r="C8" s="4" t="s">
        <v>32</v>
      </c>
      <c r="D8" s="1" t="s">
        <v>14</v>
      </c>
      <c r="E8" s="2">
        <v>385</v>
      </c>
      <c r="F8" s="2">
        <v>25588</v>
      </c>
      <c r="G8" s="2">
        <v>1480</v>
      </c>
      <c r="H8" s="2">
        <f t="shared" si="0"/>
        <v>27453</v>
      </c>
      <c r="I8" s="2">
        <v>1418669</v>
      </c>
      <c r="J8" s="2">
        <f t="shared" si="1"/>
        <v>1.9351236969300096E-2</v>
      </c>
    </row>
    <row r="9" spans="1:10" ht="15" x14ac:dyDescent="0.2">
      <c r="A9" s="3" t="s">
        <v>33</v>
      </c>
      <c r="B9" s="1" t="s">
        <v>34</v>
      </c>
      <c r="C9" s="4" t="s">
        <v>35</v>
      </c>
      <c r="D9" s="1" t="s">
        <v>14</v>
      </c>
      <c r="E9" s="2">
        <v>16</v>
      </c>
      <c r="F9" s="2">
        <v>60815</v>
      </c>
      <c r="G9" s="2">
        <v>9353</v>
      </c>
      <c r="H9" s="2">
        <f t="shared" si="0"/>
        <v>70184</v>
      </c>
      <c r="I9" s="2">
        <v>1429805</v>
      </c>
      <c r="J9" s="2">
        <f t="shared" si="1"/>
        <v>4.9086413881613229E-2</v>
      </c>
    </row>
    <row r="10" spans="1:10" ht="15" x14ac:dyDescent="0.2">
      <c r="A10" s="3" t="s">
        <v>36</v>
      </c>
      <c r="B10" s="1" t="s">
        <v>37</v>
      </c>
      <c r="C10" s="4" t="s">
        <v>38</v>
      </c>
      <c r="D10" s="1" t="s">
        <v>14</v>
      </c>
      <c r="E10" s="2">
        <v>171723</v>
      </c>
      <c r="F10" s="2">
        <v>91862</v>
      </c>
      <c r="G10" s="2">
        <v>224</v>
      </c>
      <c r="H10" s="2">
        <f t="shared" si="0"/>
        <v>263809</v>
      </c>
      <c r="I10" s="2">
        <v>1631346</v>
      </c>
      <c r="J10" s="2">
        <f t="shared" si="1"/>
        <v>0.16171247546504544</v>
      </c>
    </row>
    <row r="11" spans="1:10" ht="15" x14ac:dyDescent="0.2">
      <c r="A11" s="3" t="s">
        <v>39</v>
      </c>
      <c r="B11" s="1" t="s">
        <v>40</v>
      </c>
      <c r="C11" s="4" t="s">
        <v>41</v>
      </c>
      <c r="D11" s="1" t="s">
        <v>14</v>
      </c>
      <c r="E11" s="2">
        <v>2</v>
      </c>
      <c r="F11" s="2">
        <v>35799</v>
      </c>
      <c r="G11" s="2">
        <v>2557</v>
      </c>
      <c r="H11" s="2">
        <f t="shared" si="0"/>
        <v>38358</v>
      </c>
      <c r="I11" s="2">
        <v>1413415</v>
      </c>
      <c r="J11" s="2">
        <f t="shared" si="1"/>
        <v>2.7138526193651546E-2</v>
      </c>
    </row>
    <row r="12" spans="1:10" ht="15" x14ac:dyDescent="0.2">
      <c r="A12" s="3" t="s">
        <v>42</v>
      </c>
      <c r="B12" s="1" t="s">
        <v>43</v>
      </c>
      <c r="C12" s="4" t="s">
        <v>44</v>
      </c>
      <c r="D12" s="1" t="s">
        <v>14</v>
      </c>
      <c r="E12" s="2">
        <v>10606</v>
      </c>
      <c r="F12" s="2">
        <v>51246</v>
      </c>
      <c r="G12" s="2">
        <v>12694</v>
      </c>
      <c r="H12" s="2">
        <f t="shared" si="0"/>
        <v>74546</v>
      </c>
      <c r="I12" s="2">
        <v>1395046</v>
      </c>
      <c r="J12" s="2">
        <f t="shared" si="1"/>
        <v>5.3436230776619555E-2</v>
      </c>
    </row>
    <row r="13" spans="1:10" ht="15" x14ac:dyDescent="0.2">
      <c r="A13" s="3" t="s">
        <v>45</v>
      </c>
      <c r="B13" s="1" t="s">
        <v>46</v>
      </c>
      <c r="C13" s="4" t="s">
        <v>47</v>
      </c>
      <c r="D13" s="1" t="s">
        <v>14</v>
      </c>
      <c r="E13" s="2">
        <v>79</v>
      </c>
      <c r="F13" s="2">
        <v>97579</v>
      </c>
      <c r="G13" s="2">
        <v>1727</v>
      </c>
      <c r="H13" s="2">
        <f t="shared" si="0"/>
        <v>99385</v>
      </c>
      <c r="I13" s="2">
        <v>1577287</v>
      </c>
      <c r="J13" s="2">
        <f t="shared" si="1"/>
        <v>6.301009264642389E-2</v>
      </c>
    </row>
    <row r="14" spans="1:10" ht="15" x14ac:dyDescent="0.2">
      <c r="A14" s="3" t="s">
        <v>48</v>
      </c>
      <c r="B14" s="1" t="s">
        <v>49</v>
      </c>
      <c r="C14" s="4" t="s">
        <v>50</v>
      </c>
      <c r="D14" s="1" t="s">
        <v>14</v>
      </c>
      <c r="E14" s="2">
        <v>30007</v>
      </c>
      <c r="F14" s="2">
        <v>65618</v>
      </c>
      <c r="G14" s="2">
        <v>64578</v>
      </c>
      <c r="H14" s="2">
        <f t="shared" si="0"/>
        <v>160203</v>
      </c>
      <c r="I14" s="2">
        <v>1478815</v>
      </c>
      <c r="J14" s="2">
        <f t="shared" si="1"/>
        <v>0.10833200907483356</v>
      </c>
    </row>
    <row r="15" spans="1:10" ht="15" x14ac:dyDescent="0.2">
      <c r="A15" s="3" t="s">
        <v>51</v>
      </c>
      <c r="B15" s="1" t="s">
        <v>52</v>
      </c>
      <c r="C15" s="4" t="s">
        <v>53</v>
      </c>
      <c r="D15" s="1" t="s">
        <v>14</v>
      </c>
      <c r="E15" s="2">
        <v>1605</v>
      </c>
      <c r="F15" s="2">
        <v>131017</v>
      </c>
      <c r="G15" s="2">
        <v>10375</v>
      </c>
      <c r="H15" s="2">
        <f t="shared" si="0"/>
        <v>142997</v>
      </c>
      <c r="I15" s="2">
        <v>1616059</v>
      </c>
      <c r="J15" s="2">
        <f t="shared" si="1"/>
        <v>8.8485011995230373E-2</v>
      </c>
    </row>
    <row r="16" spans="1:10" ht="15" x14ac:dyDescent="0.2">
      <c r="A16" s="3" t="s">
        <v>54</v>
      </c>
      <c r="B16" s="1" t="s">
        <v>55</v>
      </c>
      <c r="C16" s="4" t="s">
        <v>56</v>
      </c>
      <c r="D16" s="1" t="s">
        <v>14</v>
      </c>
      <c r="E16" s="2">
        <v>11639</v>
      </c>
      <c r="F16" s="2">
        <v>27873</v>
      </c>
      <c r="G16" s="2">
        <v>20409</v>
      </c>
      <c r="H16" s="2">
        <f t="shared" si="0"/>
        <v>59921</v>
      </c>
      <c r="I16" s="2">
        <v>1582293</v>
      </c>
      <c r="J16" s="2">
        <f t="shared" si="1"/>
        <v>3.7869724507407922E-2</v>
      </c>
    </row>
    <row r="17" spans="1:10" ht="15" x14ac:dyDescent="0.2">
      <c r="A17" s="3" t="s">
        <v>57</v>
      </c>
      <c r="B17" s="1" t="s">
        <v>58</v>
      </c>
      <c r="C17" s="4" t="s">
        <v>59</v>
      </c>
      <c r="D17" s="1" t="s">
        <v>14</v>
      </c>
      <c r="E17" s="2">
        <v>872</v>
      </c>
      <c r="F17" s="2">
        <v>81619</v>
      </c>
      <c r="G17" s="2">
        <v>6769</v>
      </c>
      <c r="H17" s="2">
        <f t="shared" si="0"/>
        <v>89260</v>
      </c>
      <c r="I17" s="2">
        <v>1449609</v>
      </c>
      <c r="J17" s="2">
        <f t="shared" si="1"/>
        <v>6.1575224767506272E-2</v>
      </c>
    </row>
    <row r="18" spans="1:10" ht="15" x14ac:dyDescent="0.2">
      <c r="A18" s="3" t="s">
        <v>60</v>
      </c>
      <c r="B18" s="1" t="s">
        <v>61</v>
      </c>
      <c r="C18" s="4" t="s">
        <v>62</v>
      </c>
      <c r="D18" s="1" t="s">
        <v>14</v>
      </c>
      <c r="E18" s="2">
        <v>17459</v>
      </c>
      <c r="F18" s="2">
        <v>47635</v>
      </c>
      <c r="G18" s="2">
        <v>47855</v>
      </c>
      <c r="H18" s="2">
        <f t="shared" si="0"/>
        <v>112949</v>
      </c>
      <c r="I18" s="2">
        <v>1320308</v>
      </c>
      <c r="J18" s="2">
        <f t="shared" si="1"/>
        <v>8.554746316768512E-2</v>
      </c>
    </row>
    <row r="19" spans="1:10" ht="15" x14ac:dyDescent="0.2">
      <c r="A19" s="3" t="s">
        <v>63</v>
      </c>
      <c r="B19" s="1" t="s">
        <v>64</v>
      </c>
      <c r="C19" s="4" t="s">
        <v>65</v>
      </c>
      <c r="D19" s="1" t="s">
        <v>14</v>
      </c>
      <c r="E19" s="2">
        <v>245</v>
      </c>
      <c r="F19" s="2">
        <v>95526</v>
      </c>
      <c r="G19" s="2">
        <v>5680</v>
      </c>
      <c r="H19" s="2">
        <f t="shared" si="0"/>
        <v>101451</v>
      </c>
      <c r="I19" s="2">
        <v>1660360</v>
      </c>
      <c r="J19" s="2">
        <f t="shared" si="1"/>
        <v>6.110180924618757E-2</v>
      </c>
    </row>
    <row r="20" spans="1:10" ht="15" x14ac:dyDescent="0.2">
      <c r="A20" s="3" t="s">
        <v>66</v>
      </c>
      <c r="B20" s="1" t="s">
        <v>67</v>
      </c>
      <c r="C20" s="4" t="s">
        <v>68</v>
      </c>
      <c r="D20" s="1" t="s">
        <v>14</v>
      </c>
      <c r="E20" s="2">
        <v>296</v>
      </c>
      <c r="F20" s="2">
        <v>25111</v>
      </c>
      <c r="G20" s="2">
        <v>5150</v>
      </c>
      <c r="H20" s="2">
        <f t="shared" si="0"/>
        <v>30557</v>
      </c>
      <c r="I20" s="2">
        <v>1624168</v>
      </c>
      <c r="J20" s="2">
        <f t="shared" si="1"/>
        <v>1.8813940429807753E-2</v>
      </c>
    </row>
    <row r="21" spans="1:10" ht="15" x14ac:dyDescent="0.2">
      <c r="A21" s="3" t="s">
        <v>69</v>
      </c>
      <c r="B21" s="1" t="s">
        <v>70</v>
      </c>
      <c r="C21" s="4" t="s">
        <v>71</v>
      </c>
      <c r="D21" s="1" t="s">
        <v>14</v>
      </c>
      <c r="E21" s="2">
        <v>2635</v>
      </c>
      <c r="F21" s="2">
        <v>37949</v>
      </c>
      <c r="G21" s="2">
        <v>30972</v>
      </c>
      <c r="H21" s="2">
        <f t="shared" si="0"/>
        <v>71556</v>
      </c>
      <c r="I21" s="2">
        <v>1747773</v>
      </c>
      <c r="J21" s="2">
        <f t="shared" si="1"/>
        <v>4.0941243513888816E-2</v>
      </c>
    </row>
    <row r="22" spans="1:10" ht="15" x14ac:dyDescent="0.2">
      <c r="A22" s="3" t="s">
        <v>72</v>
      </c>
      <c r="B22" s="1" t="s">
        <v>73</v>
      </c>
      <c r="C22" s="4" t="s">
        <v>74</v>
      </c>
      <c r="D22" s="1" t="s">
        <v>14</v>
      </c>
      <c r="E22" s="2">
        <v>869</v>
      </c>
      <c r="F22" s="2">
        <v>6721</v>
      </c>
      <c r="G22" s="2">
        <v>13655</v>
      </c>
      <c r="H22" s="2">
        <f t="shared" si="0"/>
        <v>21245</v>
      </c>
      <c r="I22" s="2">
        <v>1384775</v>
      </c>
      <c r="J22" s="2">
        <f t="shared" si="1"/>
        <v>1.5341842537596361E-2</v>
      </c>
    </row>
    <row r="23" spans="1:10" ht="15" x14ac:dyDescent="0.2">
      <c r="A23" s="3" t="s">
        <v>75</v>
      </c>
      <c r="B23" s="1" t="s">
        <v>76</v>
      </c>
      <c r="C23" s="4" t="s">
        <v>77</v>
      </c>
      <c r="D23" s="1" t="s">
        <v>14</v>
      </c>
      <c r="E23" s="2">
        <v>12219</v>
      </c>
      <c r="F23" s="2">
        <v>78592</v>
      </c>
      <c r="G23" s="2">
        <v>27185</v>
      </c>
      <c r="H23" s="2">
        <f t="shared" si="0"/>
        <v>117996</v>
      </c>
      <c r="I23" s="2">
        <v>1655317</v>
      </c>
      <c r="J23" s="2">
        <f t="shared" si="1"/>
        <v>7.1283023130916917E-2</v>
      </c>
    </row>
    <row r="24" spans="1:10" ht="15" x14ac:dyDescent="0.2">
      <c r="A24" s="3" t="s">
        <v>78</v>
      </c>
      <c r="B24" s="1" t="s">
        <v>79</v>
      </c>
      <c r="C24" s="4" t="s">
        <v>80</v>
      </c>
      <c r="D24" s="1" t="s">
        <v>14</v>
      </c>
      <c r="E24" s="2">
        <v>5030</v>
      </c>
      <c r="F24" s="2">
        <v>195271</v>
      </c>
      <c r="G24" s="2">
        <v>12695</v>
      </c>
      <c r="H24" s="2">
        <f t="shared" si="0"/>
        <v>212996</v>
      </c>
      <c r="I24" s="2">
        <v>1523097</v>
      </c>
      <c r="J24" s="2">
        <f t="shared" si="1"/>
        <v>0.13984401518747658</v>
      </c>
    </row>
    <row r="25" spans="1:10" ht="15" x14ac:dyDescent="0.2">
      <c r="A25" s="3" t="s">
        <v>81</v>
      </c>
      <c r="B25" s="1" t="s">
        <v>82</v>
      </c>
      <c r="C25" s="4" t="s">
        <v>83</v>
      </c>
      <c r="D25" s="1" t="s">
        <v>14</v>
      </c>
      <c r="E25" s="2">
        <v>2086</v>
      </c>
      <c r="F25" s="2">
        <v>76293</v>
      </c>
      <c r="G25" s="2">
        <v>9994</v>
      </c>
      <c r="H25" s="2">
        <f t="shared" si="0"/>
        <v>88373</v>
      </c>
      <c r="I25" s="2">
        <v>1633698</v>
      </c>
      <c r="J25" s="2">
        <f t="shared" si="1"/>
        <v>5.4093841089356783E-2</v>
      </c>
    </row>
    <row r="26" spans="1:10" ht="15" x14ac:dyDescent="0.2">
      <c r="A26" s="3" t="s">
        <v>84</v>
      </c>
      <c r="B26" s="1" t="s">
        <v>85</v>
      </c>
      <c r="C26" s="4" t="s">
        <v>86</v>
      </c>
      <c r="D26" s="1" t="s">
        <v>14</v>
      </c>
      <c r="E26" s="2">
        <v>0</v>
      </c>
      <c r="F26" s="2">
        <v>159990</v>
      </c>
      <c r="G26" s="2">
        <v>3820</v>
      </c>
      <c r="H26" s="2">
        <f t="shared" si="0"/>
        <v>163810</v>
      </c>
      <c r="I26" s="2">
        <v>1504647</v>
      </c>
      <c r="J26" s="2">
        <f t="shared" si="1"/>
        <v>0.10886938929861954</v>
      </c>
    </row>
    <row r="27" spans="1:10" ht="15" x14ac:dyDescent="0.2">
      <c r="A27" s="3" t="s">
        <v>87</v>
      </c>
      <c r="B27" s="1" t="s">
        <v>88</v>
      </c>
      <c r="C27" s="4" t="s">
        <v>89</v>
      </c>
      <c r="D27" s="1" t="s">
        <v>14</v>
      </c>
      <c r="E27" s="2">
        <v>4995</v>
      </c>
      <c r="F27" s="2">
        <v>24248</v>
      </c>
      <c r="G27" s="2">
        <v>8779</v>
      </c>
      <c r="H27" s="2">
        <f t="shared" si="0"/>
        <v>38022</v>
      </c>
      <c r="I27" s="2">
        <v>1300069</v>
      </c>
      <c r="J27" s="2">
        <f t="shared" si="1"/>
        <v>2.9246140012568565E-2</v>
      </c>
    </row>
    <row r="28" spans="1:10" ht="15" x14ac:dyDescent="0.2">
      <c r="A28" s="3" t="s">
        <v>90</v>
      </c>
      <c r="B28" s="1" t="s">
        <v>91</v>
      </c>
      <c r="C28" s="4" t="s">
        <v>92</v>
      </c>
      <c r="D28" s="1" t="s">
        <v>14</v>
      </c>
      <c r="E28" s="2">
        <v>29542</v>
      </c>
      <c r="F28" s="2">
        <v>87856</v>
      </c>
      <c r="G28" s="2">
        <v>39607</v>
      </c>
      <c r="H28" s="2">
        <f t="shared" si="0"/>
        <v>157005</v>
      </c>
      <c r="I28" s="2">
        <v>1807270</v>
      </c>
      <c r="J28" s="2">
        <f t="shared" si="1"/>
        <v>8.6874125061556937E-2</v>
      </c>
    </row>
    <row r="29" spans="1:10" ht="15" x14ac:dyDescent="0.2">
      <c r="A29" s="3" t="s">
        <v>93</v>
      </c>
      <c r="B29" s="1" t="s">
        <v>94</v>
      </c>
      <c r="C29" s="4" t="s">
        <v>95</v>
      </c>
      <c r="D29" s="1" t="s">
        <v>14</v>
      </c>
      <c r="E29" s="2">
        <v>7276</v>
      </c>
      <c r="F29" s="2">
        <v>80184</v>
      </c>
      <c r="G29" s="2">
        <v>11259</v>
      </c>
      <c r="H29" s="2">
        <f t="shared" si="0"/>
        <v>98719</v>
      </c>
      <c r="I29" s="2">
        <v>1522733</v>
      </c>
      <c r="J29" s="2">
        <f t="shared" si="1"/>
        <v>6.4830144220950098E-2</v>
      </c>
    </row>
    <row r="30" spans="1:10" ht="15" x14ac:dyDescent="0.2">
      <c r="A30" s="3" t="s">
        <v>96</v>
      </c>
      <c r="B30" s="1" t="s">
        <v>97</v>
      </c>
      <c r="C30" s="4" t="s">
        <v>98</v>
      </c>
      <c r="D30" s="1" t="s">
        <v>14</v>
      </c>
      <c r="E30" s="2">
        <v>601</v>
      </c>
      <c r="F30" s="2">
        <v>11200</v>
      </c>
      <c r="G30" s="2">
        <v>4835</v>
      </c>
      <c r="H30" s="2">
        <f t="shared" si="0"/>
        <v>16636</v>
      </c>
      <c r="I30" s="2">
        <v>1440836</v>
      </c>
      <c r="J30" s="2">
        <f t="shared" si="1"/>
        <v>1.1546074640000667E-2</v>
      </c>
    </row>
    <row r="31" spans="1:10" ht="15" x14ac:dyDescent="0.2">
      <c r="A31" s="3" t="s">
        <v>99</v>
      </c>
      <c r="B31" s="1" t="s">
        <v>100</v>
      </c>
      <c r="C31" s="4" t="s">
        <v>101</v>
      </c>
      <c r="D31" s="1" t="s">
        <v>14</v>
      </c>
      <c r="E31" s="2">
        <v>3344</v>
      </c>
      <c r="F31" s="2">
        <v>22989</v>
      </c>
      <c r="G31" s="2">
        <v>7857</v>
      </c>
      <c r="H31" s="2">
        <f t="shared" si="0"/>
        <v>34190</v>
      </c>
      <c r="I31" s="2">
        <v>1709622</v>
      </c>
      <c r="J31" s="2">
        <f t="shared" si="1"/>
        <v>1.9998572783925337E-2</v>
      </c>
    </row>
    <row r="32" spans="1:10" ht="15" x14ac:dyDescent="0.2">
      <c r="A32" s="3" t="s">
        <v>102</v>
      </c>
      <c r="B32" s="1" t="s">
        <v>103</v>
      </c>
      <c r="C32" s="4" t="s">
        <v>104</v>
      </c>
      <c r="D32" s="1" t="s">
        <v>14</v>
      </c>
      <c r="E32" s="2">
        <v>772</v>
      </c>
      <c r="F32" s="2">
        <v>26179</v>
      </c>
      <c r="G32" s="2">
        <v>6841</v>
      </c>
      <c r="H32" s="2">
        <f t="shared" si="0"/>
        <v>33792</v>
      </c>
      <c r="I32" s="2">
        <v>1332379</v>
      </c>
      <c r="J32" s="2">
        <f t="shared" si="1"/>
        <v>2.5362152960981824E-2</v>
      </c>
    </row>
    <row r="33" spans="1:10" ht="15.75" customHeight="1" x14ac:dyDescent="0.15">
      <c r="A33" s="1" t="s">
        <v>105</v>
      </c>
      <c r="B33" s="1" t="s">
        <v>106</v>
      </c>
      <c r="C33" s="4" t="s">
        <v>107</v>
      </c>
      <c r="D33" s="1" t="s">
        <v>14</v>
      </c>
      <c r="E33" s="2">
        <v>3399</v>
      </c>
      <c r="F33" s="2">
        <v>67093</v>
      </c>
      <c r="G33" s="2">
        <v>14189</v>
      </c>
      <c r="H33" s="2">
        <f t="shared" si="0"/>
        <v>84681</v>
      </c>
      <c r="I33" s="2">
        <v>1727405</v>
      </c>
      <c r="J33" s="2">
        <f t="shared" si="1"/>
        <v>4.9022088045362844E-2</v>
      </c>
    </row>
    <row r="34" spans="1:10" ht="15.75" customHeight="1" x14ac:dyDescent="0.15">
      <c r="A34" s="1" t="s">
        <v>108</v>
      </c>
      <c r="B34" s="1" t="s">
        <v>109</v>
      </c>
      <c r="C34" s="4" t="s">
        <v>110</v>
      </c>
      <c r="D34" s="1" t="s">
        <v>14</v>
      </c>
      <c r="E34" s="2">
        <v>5318</v>
      </c>
      <c r="F34" s="2">
        <v>98689</v>
      </c>
      <c r="G34" s="2">
        <v>15417</v>
      </c>
      <c r="H34" s="2">
        <f t="shared" si="0"/>
        <v>119424</v>
      </c>
      <c r="I34" s="2">
        <v>1393310</v>
      </c>
      <c r="J34" s="2">
        <f t="shared" si="1"/>
        <v>8.5712440160481157E-2</v>
      </c>
    </row>
    <row r="35" spans="1:10" ht="15.75" customHeight="1" x14ac:dyDescent="0.15">
      <c r="A35" s="1" t="s">
        <v>111</v>
      </c>
      <c r="B35" s="1" t="s">
        <v>112</v>
      </c>
      <c r="C35" s="4" t="s">
        <v>113</v>
      </c>
      <c r="D35" s="1" t="s">
        <v>14</v>
      </c>
      <c r="E35" s="2">
        <v>28257</v>
      </c>
      <c r="F35" s="2">
        <v>86162</v>
      </c>
      <c r="G35" s="2">
        <v>49797</v>
      </c>
      <c r="H35" s="2">
        <f t="shared" si="0"/>
        <v>164216</v>
      </c>
      <c r="I35" s="2">
        <v>1710288</v>
      </c>
      <c r="J35" s="2">
        <f t="shared" si="1"/>
        <v>9.6016577324988542E-2</v>
      </c>
    </row>
    <row r="36" spans="1:10" ht="15.75" customHeight="1" x14ac:dyDescent="0.15">
      <c r="A36" s="1" t="s">
        <v>114</v>
      </c>
      <c r="B36" s="1" t="s">
        <v>115</v>
      </c>
      <c r="C36" s="4" t="s">
        <v>116</v>
      </c>
      <c r="D36" s="1" t="s">
        <v>14</v>
      </c>
      <c r="E36" s="2">
        <v>9339</v>
      </c>
      <c r="F36" s="2">
        <v>94314</v>
      </c>
      <c r="G36" s="2">
        <v>27997</v>
      </c>
      <c r="H36" s="2">
        <f t="shared" si="0"/>
        <v>131650</v>
      </c>
      <c r="I36" s="2">
        <v>2008083</v>
      </c>
      <c r="J36" s="2">
        <f t="shared" si="1"/>
        <v>6.5560039101969392E-2</v>
      </c>
    </row>
    <row r="37" spans="1:10" ht="15.75" customHeight="1" x14ac:dyDescent="0.15">
      <c r="A37" s="1" t="s">
        <v>117</v>
      </c>
      <c r="B37" s="1" t="s">
        <v>118</v>
      </c>
      <c r="C37" s="4" t="s">
        <v>119</v>
      </c>
      <c r="D37" s="1" t="s">
        <v>14</v>
      </c>
      <c r="E37" s="2">
        <v>33619</v>
      </c>
      <c r="F37" s="2">
        <v>11028</v>
      </c>
      <c r="G37" s="2">
        <v>55839</v>
      </c>
      <c r="H37" s="2">
        <f t="shared" si="0"/>
        <v>100486</v>
      </c>
      <c r="I37" s="2">
        <v>1307938</v>
      </c>
      <c r="J37" s="2">
        <f t="shared" si="1"/>
        <v>7.6827800706149682E-2</v>
      </c>
    </row>
    <row r="38" spans="1:10" ht="15.75" customHeight="1" x14ac:dyDescent="0.15">
      <c r="A38" s="1" t="s">
        <v>120</v>
      </c>
      <c r="B38" s="1" t="s">
        <v>121</v>
      </c>
      <c r="C38" s="4" t="s">
        <v>122</v>
      </c>
      <c r="D38" s="1" t="s">
        <v>14</v>
      </c>
      <c r="E38" s="2">
        <v>4454</v>
      </c>
      <c r="F38" s="2">
        <v>56234</v>
      </c>
      <c r="G38" s="2">
        <v>43755</v>
      </c>
      <c r="H38" s="2">
        <f t="shared" si="0"/>
        <v>104443</v>
      </c>
      <c r="I38" s="2">
        <v>1423504</v>
      </c>
      <c r="J38" s="2">
        <f t="shared" si="1"/>
        <v>7.3370359338646052E-2</v>
      </c>
    </row>
    <row r="39" spans="1:10" ht="15.75" customHeight="1" x14ac:dyDescent="0.15">
      <c r="A39" s="1" t="s">
        <v>123</v>
      </c>
      <c r="B39" s="1" t="s">
        <v>124</v>
      </c>
      <c r="C39" s="4" t="s">
        <v>125</v>
      </c>
      <c r="D39" s="1" t="s">
        <v>14</v>
      </c>
      <c r="E39" s="2">
        <v>2658</v>
      </c>
      <c r="F39" s="2">
        <v>16755</v>
      </c>
      <c r="G39" s="2">
        <v>7997</v>
      </c>
      <c r="H39" s="2">
        <f t="shared" si="0"/>
        <v>27410</v>
      </c>
      <c r="I39" s="2">
        <v>1330518</v>
      </c>
      <c r="J39" s="2">
        <f t="shared" si="1"/>
        <v>2.0600999009408365E-2</v>
      </c>
    </row>
    <row r="40" spans="1:10" ht="15.75" customHeight="1" x14ac:dyDescent="0.15">
      <c r="A40" s="1" t="s">
        <v>126</v>
      </c>
      <c r="B40" s="1" t="s">
        <v>127</v>
      </c>
      <c r="C40" s="4" t="s">
        <v>128</v>
      </c>
      <c r="D40" s="1" t="s">
        <v>14</v>
      </c>
      <c r="E40" s="2">
        <v>7122</v>
      </c>
      <c r="F40" s="2">
        <v>89677</v>
      </c>
      <c r="G40" s="2">
        <v>23135</v>
      </c>
      <c r="H40" s="2">
        <f t="shared" si="0"/>
        <v>119934</v>
      </c>
      <c r="I40" s="2">
        <v>1432242</v>
      </c>
      <c r="J40" s="2">
        <f t="shared" si="1"/>
        <v>8.3738641933416277E-2</v>
      </c>
    </row>
    <row r="41" spans="1:10" ht="15.75" customHeight="1" x14ac:dyDescent="0.15">
      <c r="A41" s="1" t="s">
        <v>129</v>
      </c>
      <c r="B41" s="1" t="s">
        <v>130</v>
      </c>
      <c r="C41" s="4" t="s">
        <v>131</v>
      </c>
      <c r="D41" s="1" t="s">
        <v>14</v>
      </c>
      <c r="E41" s="2">
        <v>47236</v>
      </c>
      <c r="F41" s="2">
        <v>131307</v>
      </c>
      <c r="G41" s="2">
        <v>61830</v>
      </c>
      <c r="H41" s="2">
        <f t="shared" si="0"/>
        <v>240373</v>
      </c>
      <c r="I41" s="2">
        <v>1822333</v>
      </c>
      <c r="J41" s="2">
        <f t="shared" si="1"/>
        <v>0.13190399339747455</v>
      </c>
    </row>
    <row r="42" spans="1:10" ht="15.75" customHeight="1" x14ac:dyDescent="0.15">
      <c r="A42" s="1" t="s">
        <v>132</v>
      </c>
      <c r="B42" s="1" t="s">
        <v>133</v>
      </c>
      <c r="C42" s="4" t="s">
        <v>134</v>
      </c>
      <c r="D42" s="1" t="s">
        <v>14</v>
      </c>
      <c r="E42" s="2">
        <v>3738</v>
      </c>
      <c r="F42" s="2">
        <v>10157</v>
      </c>
      <c r="G42" s="2">
        <v>5569</v>
      </c>
      <c r="H42" s="2">
        <f t="shared" si="0"/>
        <v>19464</v>
      </c>
      <c r="I42" s="2">
        <v>1648872</v>
      </c>
      <c r="J42" s="2">
        <f t="shared" si="1"/>
        <v>1.1804433576408599E-2</v>
      </c>
    </row>
    <row r="43" spans="1:10" ht="15.75" customHeight="1" x14ac:dyDescent="0.15">
      <c r="A43" s="1" t="s">
        <v>135</v>
      </c>
      <c r="B43" s="1" t="s">
        <v>136</v>
      </c>
      <c r="C43" s="4" t="s">
        <v>137</v>
      </c>
      <c r="D43" s="1" t="s">
        <v>14</v>
      </c>
      <c r="E43" s="2">
        <v>238</v>
      </c>
      <c r="F43" s="2">
        <v>118022</v>
      </c>
      <c r="G43" s="2">
        <v>6048</v>
      </c>
      <c r="H43" s="2">
        <f t="shared" si="0"/>
        <v>124308</v>
      </c>
      <c r="I43" s="2">
        <v>1484424</v>
      </c>
      <c r="J43" s="2">
        <f t="shared" si="1"/>
        <v>8.3741572488722896E-2</v>
      </c>
    </row>
    <row r="44" spans="1:10" ht="15.75" customHeight="1" x14ac:dyDescent="0.15">
      <c r="A44" s="1" t="s">
        <v>138</v>
      </c>
      <c r="B44" s="1" t="s">
        <v>139</v>
      </c>
      <c r="C44" s="4" t="s">
        <v>140</v>
      </c>
      <c r="D44" s="1" t="s">
        <v>14</v>
      </c>
      <c r="E44" s="2">
        <v>823</v>
      </c>
      <c r="F44" s="2">
        <v>14015</v>
      </c>
      <c r="G44" s="2">
        <v>9900</v>
      </c>
      <c r="H44" s="2">
        <f t="shared" si="0"/>
        <v>24738</v>
      </c>
      <c r="I44" s="2">
        <v>1724253</v>
      </c>
      <c r="J44" s="2">
        <f t="shared" si="1"/>
        <v>1.434708247571557E-2</v>
      </c>
    </row>
    <row r="45" spans="1:10" ht="15.75" customHeight="1" x14ac:dyDescent="0.15">
      <c r="A45" s="1" t="s">
        <v>141</v>
      </c>
      <c r="B45" s="1" t="s">
        <v>142</v>
      </c>
      <c r="C45" s="4" t="s">
        <v>143</v>
      </c>
      <c r="D45" s="1" t="s">
        <v>14</v>
      </c>
      <c r="E45" s="2">
        <v>21107</v>
      </c>
      <c r="F45" s="2">
        <v>53998</v>
      </c>
      <c r="G45" s="2">
        <v>26321</v>
      </c>
      <c r="H45" s="2">
        <f t="shared" si="0"/>
        <v>101426</v>
      </c>
      <c r="I45" s="2">
        <v>1755886</v>
      </c>
      <c r="J45" s="2">
        <f t="shared" si="1"/>
        <v>5.7763431111131358E-2</v>
      </c>
    </row>
    <row r="46" spans="1:10" ht="15.75" customHeight="1" x14ac:dyDescent="0.15">
      <c r="A46" s="1" t="s">
        <v>144</v>
      </c>
      <c r="B46" s="1" t="s">
        <v>145</v>
      </c>
      <c r="C46" s="4" t="s">
        <v>146</v>
      </c>
      <c r="D46" s="1" t="s">
        <v>14</v>
      </c>
      <c r="E46" s="2">
        <v>1871</v>
      </c>
      <c r="F46" s="2">
        <v>31178</v>
      </c>
      <c r="G46" s="2">
        <v>5665</v>
      </c>
      <c r="H46" s="2">
        <f t="shared" si="0"/>
        <v>38714</v>
      </c>
      <c r="I46" s="2">
        <v>1442141</v>
      </c>
      <c r="J46" s="2">
        <f t="shared" si="1"/>
        <v>2.6844809210749849E-2</v>
      </c>
    </row>
    <row r="47" spans="1:10" ht="15.75" customHeight="1" x14ac:dyDescent="0.15">
      <c r="A47" s="1" t="s">
        <v>147</v>
      </c>
      <c r="B47" s="1" t="s">
        <v>148</v>
      </c>
      <c r="C47" s="4" t="s">
        <v>149</v>
      </c>
      <c r="D47" s="1" t="s">
        <v>14</v>
      </c>
      <c r="E47" s="2">
        <v>5068</v>
      </c>
      <c r="F47" s="2">
        <v>83475</v>
      </c>
      <c r="G47" s="2">
        <v>21537</v>
      </c>
      <c r="H47" s="2">
        <f t="shared" si="0"/>
        <v>110080</v>
      </c>
      <c r="I47" s="2">
        <v>1215168</v>
      </c>
      <c r="J47" s="2">
        <f t="shared" si="1"/>
        <v>9.0588297256017275E-2</v>
      </c>
    </row>
    <row r="48" spans="1:10" ht="15.75" customHeight="1" x14ac:dyDescent="0.15">
      <c r="A48" s="1" t="s">
        <v>150</v>
      </c>
      <c r="B48" s="1" t="s">
        <v>151</v>
      </c>
      <c r="C48" s="4" t="s">
        <v>152</v>
      </c>
      <c r="D48" s="1" t="s">
        <v>14</v>
      </c>
      <c r="E48" s="2">
        <v>13900</v>
      </c>
      <c r="F48" s="2">
        <v>109080</v>
      </c>
      <c r="G48" s="2">
        <v>33741</v>
      </c>
      <c r="H48" s="2">
        <f t="shared" si="0"/>
        <v>156721</v>
      </c>
      <c r="I48" s="2">
        <v>1658370</v>
      </c>
      <c r="J48" s="2">
        <f t="shared" si="1"/>
        <v>9.4503036113774364E-2</v>
      </c>
    </row>
    <row r="49" spans="1:10" ht="15.75" customHeight="1" x14ac:dyDescent="0.15">
      <c r="A49" s="1" t="s">
        <v>153</v>
      </c>
      <c r="B49" s="1" t="s">
        <v>154</v>
      </c>
      <c r="C49" s="4" t="s">
        <v>155</v>
      </c>
      <c r="D49" s="1" t="s">
        <v>14</v>
      </c>
      <c r="E49" s="2">
        <v>13270</v>
      </c>
      <c r="F49" s="2">
        <v>44950</v>
      </c>
      <c r="G49" s="2">
        <v>33782</v>
      </c>
      <c r="H49" s="2">
        <f t="shared" si="0"/>
        <v>92002</v>
      </c>
      <c r="I49" s="2">
        <v>1670906</v>
      </c>
      <c r="J49" s="2">
        <f t="shared" si="1"/>
        <v>5.5061146467844393E-2</v>
      </c>
    </row>
    <row r="50" spans="1:10" ht="15.75" customHeight="1" x14ac:dyDescent="0.15">
      <c r="A50" s="1" t="s">
        <v>156</v>
      </c>
      <c r="B50" s="1" t="s">
        <v>157</v>
      </c>
      <c r="C50" s="4" t="s">
        <v>158</v>
      </c>
      <c r="D50" s="1" t="s">
        <v>14</v>
      </c>
      <c r="E50" s="2">
        <v>16346</v>
      </c>
      <c r="F50" s="2">
        <v>24534</v>
      </c>
      <c r="G50" s="2">
        <v>33421</v>
      </c>
      <c r="H50" s="2">
        <f t="shared" si="0"/>
        <v>74301</v>
      </c>
      <c r="I50" s="2">
        <v>1684136</v>
      </c>
      <c r="J50" s="2">
        <f t="shared" si="1"/>
        <v>4.4118170979065827E-2</v>
      </c>
    </row>
    <row r="51" spans="1:10" ht="15.75" customHeight="1" x14ac:dyDescent="0.15">
      <c r="A51" s="1" t="s">
        <v>159</v>
      </c>
      <c r="B51" s="1" t="s">
        <v>160</v>
      </c>
      <c r="C51" s="4" t="s">
        <v>161</v>
      </c>
      <c r="D51" s="1" t="s">
        <v>14</v>
      </c>
      <c r="E51" s="2">
        <v>12835</v>
      </c>
      <c r="F51" s="2">
        <v>136581</v>
      </c>
      <c r="G51" s="2">
        <v>32208</v>
      </c>
      <c r="H51" s="2">
        <f t="shared" si="0"/>
        <v>181624</v>
      </c>
      <c r="I51" s="2">
        <v>1784637</v>
      </c>
      <c r="J51" s="2">
        <f t="shared" si="1"/>
        <v>0.10177083631012918</v>
      </c>
    </row>
    <row r="52" spans="1:10" ht="15.75" customHeight="1" x14ac:dyDescent="0.15">
      <c r="A52" s="1" t="s">
        <v>162</v>
      </c>
      <c r="B52" s="1" t="s">
        <v>163</v>
      </c>
      <c r="C52" s="4" t="s">
        <v>164</v>
      </c>
      <c r="D52" s="1" t="s">
        <v>14</v>
      </c>
      <c r="E52" s="2">
        <v>20623</v>
      </c>
      <c r="F52" s="2">
        <v>139678</v>
      </c>
      <c r="G52" s="2">
        <v>36917</v>
      </c>
      <c r="H52" s="2">
        <f t="shared" si="0"/>
        <v>197218</v>
      </c>
      <c r="I52" s="2">
        <v>1676375</v>
      </c>
      <c r="J52" s="2">
        <f t="shared" si="1"/>
        <v>0.11764551487584818</v>
      </c>
    </row>
    <row r="53" spans="1:10" ht="15.75" customHeight="1" x14ac:dyDescent="0.15">
      <c r="A53" s="1" t="s">
        <v>165</v>
      </c>
      <c r="B53" s="1" t="s">
        <v>166</v>
      </c>
      <c r="C53" s="4" t="s">
        <v>167</v>
      </c>
      <c r="D53" s="1" t="s">
        <v>14</v>
      </c>
      <c r="E53" s="2">
        <v>8120</v>
      </c>
      <c r="F53" s="2">
        <v>41119</v>
      </c>
      <c r="G53" s="2">
        <v>18859</v>
      </c>
      <c r="H53" s="2">
        <f t="shared" si="0"/>
        <v>68098</v>
      </c>
      <c r="I53" s="2">
        <v>1565170</v>
      </c>
      <c r="J53" s="2">
        <f t="shared" si="1"/>
        <v>4.3508372892401462E-2</v>
      </c>
    </row>
    <row r="54" spans="1:10" ht="15.75" customHeight="1" x14ac:dyDescent="0.15">
      <c r="A54" s="1" t="s">
        <v>168</v>
      </c>
      <c r="B54" s="1" t="s">
        <v>169</v>
      </c>
      <c r="C54" s="4" t="s">
        <v>170</v>
      </c>
      <c r="D54" s="1" t="s">
        <v>14</v>
      </c>
      <c r="E54" s="2">
        <v>510</v>
      </c>
      <c r="F54" s="2">
        <v>52063</v>
      </c>
      <c r="G54" s="2">
        <v>27233</v>
      </c>
      <c r="H54" s="2">
        <f t="shared" si="0"/>
        <v>79806</v>
      </c>
      <c r="I54" s="2">
        <v>1319750</v>
      </c>
      <c r="J54" s="2">
        <f t="shared" si="1"/>
        <v>6.0470543663572643E-2</v>
      </c>
    </row>
    <row r="55" spans="1:10" ht="15.75" customHeight="1" x14ac:dyDescent="0.15">
      <c r="A55" s="1" t="s">
        <v>171</v>
      </c>
      <c r="B55" s="1" t="s">
        <v>172</v>
      </c>
      <c r="C55" s="4" t="s">
        <v>173</v>
      </c>
      <c r="D55" s="1" t="s">
        <v>14</v>
      </c>
      <c r="E55" s="2">
        <v>2123</v>
      </c>
      <c r="F55" s="2">
        <v>38919</v>
      </c>
      <c r="G55" s="2">
        <v>26028</v>
      </c>
      <c r="H55" s="2">
        <f t="shared" si="0"/>
        <v>67070</v>
      </c>
      <c r="I55" s="2">
        <v>1276434</v>
      </c>
      <c r="J55" s="2">
        <f t="shared" si="1"/>
        <v>5.2544824095879614E-2</v>
      </c>
    </row>
    <row r="56" spans="1:10" ht="15.75" customHeight="1" x14ac:dyDescent="0.15">
      <c r="A56" s="1" t="s">
        <v>174</v>
      </c>
      <c r="B56" s="1" t="s">
        <v>175</v>
      </c>
      <c r="C56" s="4" t="s">
        <v>176</v>
      </c>
      <c r="D56" s="1" t="s">
        <v>14</v>
      </c>
      <c r="E56" s="2">
        <v>750</v>
      </c>
      <c r="F56" s="2">
        <v>75535</v>
      </c>
      <c r="G56" s="2">
        <v>1128</v>
      </c>
      <c r="H56" s="2">
        <f t="shared" si="0"/>
        <v>77413</v>
      </c>
      <c r="I56" s="2">
        <v>1627959</v>
      </c>
      <c r="J56" s="2">
        <f t="shared" si="1"/>
        <v>4.7552180368178806E-2</v>
      </c>
    </row>
    <row r="57" spans="1:10" ht="15.75" customHeight="1" x14ac:dyDescent="0.15">
      <c r="A57" s="1" t="s">
        <v>177</v>
      </c>
      <c r="B57" s="1" t="s">
        <v>178</v>
      </c>
      <c r="C57" s="4" t="s">
        <v>179</v>
      </c>
      <c r="D57" s="1" t="s">
        <v>14</v>
      </c>
      <c r="E57" s="2">
        <v>5323</v>
      </c>
      <c r="F57" s="2">
        <v>97074</v>
      </c>
      <c r="G57" s="2">
        <v>15320</v>
      </c>
      <c r="H57" s="2">
        <f t="shared" si="0"/>
        <v>117717</v>
      </c>
      <c r="I57" s="2">
        <v>1440860</v>
      </c>
      <c r="J57" s="2">
        <f t="shared" si="1"/>
        <v>8.1699124134197637E-2</v>
      </c>
    </row>
    <row r="58" spans="1:10" ht="15.75" customHeight="1" x14ac:dyDescent="0.15">
      <c r="A58" s="1" t="s">
        <v>180</v>
      </c>
      <c r="B58" s="1" t="s">
        <v>181</v>
      </c>
      <c r="C58" s="4" t="s">
        <v>182</v>
      </c>
      <c r="D58" s="1" t="s">
        <v>14</v>
      </c>
      <c r="E58" s="2">
        <v>25109</v>
      </c>
      <c r="F58" s="2">
        <v>63392</v>
      </c>
      <c r="G58" s="2">
        <v>36744</v>
      </c>
      <c r="H58" s="2">
        <f t="shared" si="0"/>
        <v>125245</v>
      </c>
      <c r="I58" s="2">
        <v>1361379</v>
      </c>
      <c r="J58" s="2">
        <f t="shared" si="1"/>
        <v>9.1998627861895915E-2</v>
      </c>
    </row>
    <row r="59" spans="1:10" ht="15.75" customHeight="1" x14ac:dyDescent="0.15">
      <c r="A59" s="1" t="s">
        <v>183</v>
      </c>
      <c r="B59" s="1" t="s">
        <v>184</v>
      </c>
      <c r="C59" s="4" t="s">
        <v>185</v>
      </c>
      <c r="D59" s="1" t="s">
        <v>14</v>
      </c>
      <c r="E59" s="2">
        <v>2146</v>
      </c>
      <c r="F59" s="2">
        <v>14085</v>
      </c>
      <c r="G59" s="2">
        <v>18855</v>
      </c>
      <c r="H59" s="2">
        <f t="shared" si="0"/>
        <v>35086</v>
      </c>
      <c r="I59" s="2">
        <v>1349702</v>
      </c>
      <c r="J59" s="2">
        <f t="shared" si="1"/>
        <v>2.5995367866388286E-2</v>
      </c>
    </row>
    <row r="60" spans="1:10" ht="15.75" customHeight="1" x14ac:dyDescent="0.15">
      <c r="A60" s="1" t="s">
        <v>186</v>
      </c>
      <c r="B60" s="1" t="s">
        <v>187</v>
      </c>
      <c r="C60" s="4" t="s">
        <v>188</v>
      </c>
      <c r="D60" s="1" t="s">
        <v>14</v>
      </c>
      <c r="E60" s="2">
        <v>1233</v>
      </c>
      <c r="F60" s="2">
        <v>88578</v>
      </c>
      <c r="G60" s="2">
        <v>7824</v>
      </c>
      <c r="H60" s="2">
        <f t="shared" si="0"/>
        <v>97635</v>
      </c>
      <c r="I60" s="2">
        <v>1497495</v>
      </c>
      <c r="J60" s="2">
        <f t="shared" si="1"/>
        <v>6.5198882133162384E-2</v>
      </c>
    </row>
    <row r="61" spans="1:10" ht="15.75" customHeight="1" x14ac:dyDescent="0.15">
      <c r="A61" s="1" t="s">
        <v>189</v>
      </c>
      <c r="B61" s="1" t="s">
        <v>190</v>
      </c>
      <c r="C61" s="4" t="s">
        <v>191</v>
      </c>
      <c r="D61" s="1" t="s">
        <v>14</v>
      </c>
      <c r="E61" s="2">
        <v>60562</v>
      </c>
      <c r="F61" s="2">
        <v>67531</v>
      </c>
      <c r="G61" s="2">
        <v>34307</v>
      </c>
      <c r="H61" s="2">
        <f t="shared" si="0"/>
        <v>162400</v>
      </c>
      <c r="I61" s="2">
        <v>1676842</v>
      </c>
      <c r="J61" s="2">
        <f t="shared" si="1"/>
        <v>9.6848719199542951E-2</v>
      </c>
    </row>
    <row r="62" spans="1:10" ht="15.75" customHeight="1" x14ac:dyDescent="0.15">
      <c r="A62" s="1" t="s">
        <v>192</v>
      </c>
      <c r="B62" s="1" t="s">
        <v>193</v>
      </c>
      <c r="C62" s="4" t="s">
        <v>194</v>
      </c>
      <c r="D62" s="1" t="s">
        <v>14</v>
      </c>
      <c r="E62" s="2">
        <v>56568</v>
      </c>
      <c r="F62" s="2">
        <v>141884</v>
      </c>
      <c r="G62" s="2">
        <v>37976</v>
      </c>
      <c r="H62" s="2">
        <f t="shared" si="0"/>
        <v>236428</v>
      </c>
      <c r="I62" s="2">
        <v>1684214</v>
      </c>
      <c r="J62" s="2">
        <f t="shared" si="1"/>
        <v>0.14037883546865185</v>
      </c>
    </row>
    <row r="63" spans="1:10" ht="15.75" customHeight="1" x14ac:dyDescent="0.15">
      <c r="A63" s="1" t="s">
        <v>195</v>
      </c>
      <c r="B63" s="1" t="s">
        <v>196</v>
      </c>
      <c r="C63" s="4" t="s">
        <v>197</v>
      </c>
      <c r="D63" s="1" t="s">
        <v>14</v>
      </c>
      <c r="E63" s="2">
        <v>9659</v>
      </c>
      <c r="F63" s="2">
        <v>94499</v>
      </c>
      <c r="G63" s="2">
        <v>15157</v>
      </c>
      <c r="H63" s="2">
        <f t="shared" si="0"/>
        <v>119315</v>
      </c>
      <c r="I63" s="2">
        <v>1740252</v>
      </c>
      <c r="J63" s="2">
        <f t="shared" si="1"/>
        <v>6.8561909424612072E-2</v>
      </c>
    </row>
    <row r="64" spans="1:10" ht="15.75" customHeight="1" x14ac:dyDescent="0.15">
      <c r="A64" s="1" t="s">
        <v>198</v>
      </c>
      <c r="B64" s="1" t="s">
        <v>199</v>
      </c>
      <c r="C64" s="4" t="s">
        <v>200</v>
      </c>
      <c r="D64" s="1" t="s">
        <v>14</v>
      </c>
      <c r="E64" s="2">
        <v>7593</v>
      </c>
      <c r="F64" s="2">
        <v>18654</v>
      </c>
      <c r="G64" s="2">
        <v>15672</v>
      </c>
      <c r="H64" s="2">
        <f t="shared" si="0"/>
        <v>41919</v>
      </c>
      <c r="I64" s="2">
        <v>1432027</v>
      </c>
      <c r="J64" s="2">
        <f t="shared" si="1"/>
        <v>2.927249276724531E-2</v>
      </c>
    </row>
    <row r="65" spans="1:10" ht="15.75" customHeight="1" x14ac:dyDescent="0.15">
      <c r="A65" s="1" t="s">
        <v>201</v>
      </c>
      <c r="B65" s="1" t="s">
        <v>202</v>
      </c>
      <c r="C65" s="4" t="s">
        <v>203</v>
      </c>
      <c r="D65" s="1" t="s">
        <v>14</v>
      </c>
      <c r="E65" s="2">
        <v>13263</v>
      </c>
      <c r="F65" s="2">
        <v>13699</v>
      </c>
      <c r="G65" s="2">
        <v>39207</v>
      </c>
      <c r="H65" s="2">
        <f t="shared" si="0"/>
        <v>66169</v>
      </c>
      <c r="I65" s="2">
        <v>1417079</v>
      </c>
      <c r="J65" s="2">
        <f t="shared" si="1"/>
        <v>4.6693938728892319E-2</v>
      </c>
    </row>
    <row r="66" spans="1:10" ht="15.75" customHeight="1" x14ac:dyDescent="0.15">
      <c r="A66" s="1" t="s">
        <v>204</v>
      </c>
      <c r="B66" s="1" t="s">
        <v>205</v>
      </c>
      <c r="C66" s="4" t="s">
        <v>206</v>
      </c>
      <c r="D66" s="1" t="s">
        <v>14</v>
      </c>
      <c r="E66" s="2">
        <v>8461</v>
      </c>
      <c r="F66" s="2">
        <v>65377</v>
      </c>
      <c r="G66" s="2">
        <v>10106</v>
      </c>
      <c r="H66" s="2">
        <f t="shared" si="0"/>
        <v>83944</v>
      </c>
      <c r="I66" s="2">
        <v>1332040</v>
      </c>
      <c r="J66" s="2">
        <f t="shared" si="1"/>
        <v>6.3019128554698059E-2</v>
      </c>
    </row>
    <row r="67" spans="1:10" ht="15.75" customHeight="1" x14ac:dyDescent="0.15">
      <c r="A67" s="1" t="s">
        <v>207</v>
      </c>
      <c r="B67" s="1" t="s">
        <v>208</v>
      </c>
      <c r="C67" s="1" t="s">
        <v>209</v>
      </c>
      <c r="D67" s="1" t="s">
        <v>210</v>
      </c>
      <c r="E67" s="2">
        <v>3277</v>
      </c>
      <c r="F67" s="2">
        <v>66878</v>
      </c>
      <c r="G67" s="2">
        <v>25236</v>
      </c>
      <c r="H67" s="2">
        <f t="shared" si="0"/>
        <v>95391</v>
      </c>
      <c r="I67" s="2">
        <v>1305115</v>
      </c>
      <c r="J67" s="2">
        <f t="shared" si="1"/>
        <v>7.3090110833144969E-2</v>
      </c>
    </row>
    <row r="68" spans="1:10" ht="15" x14ac:dyDescent="0.2">
      <c r="A68" s="3" t="s">
        <v>211</v>
      </c>
      <c r="B68" s="1" t="s">
        <v>212</v>
      </c>
      <c r="C68" s="1" t="s">
        <v>213</v>
      </c>
      <c r="D68" s="1" t="s">
        <v>210</v>
      </c>
      <c r="E68" s="2">
        <v>204</v>
      </c>
      <c r="F68" s="2">
        <v>11711</v>
      </c>
      <c r="G68" s="2">
        <v>1037</v>
      </c>
      <c r="H68" s="2">
        <f t="shared" si="0"/>
        <v>12952</v>
      </c>
      <c r="I68" s="2">
        <v>1511278</v>
      </c>
      <c r="J68" s="2">
        <f t="shared" si="1"/>
        <v>8.570229964308354E-3</v>
      </c>
    </row>
    <row r="69" spans="1:10" ht="15.75" customHeight="1" x14ac:dyDescent="0.15">
      <c r="A69" s="1" t="s">
        <v>214</v>
      </c>
      <c r="B69" s="1" t="s">
        <v>215</v>
      </c>
      <c r="C69" s="1" t="s">
        <v>216</v>
      </c>
      <c r="D69" s="1" t="s">
        <v>210</v>
      </c>
      <c r="E69" s="2">
        <v>6323</v>
      </c>
      <c r="F69" s="2">
        <v>39147</v>
      </c>
      <c r="G69" s="2">
        <v>29516</v>
      </c>
      <c r="H69" s="2">
        <f t="shared" si="0"/>
        <v>74986</v>
      </c>
      <c r="I69" s="2">
        <v>1412153</v>
      </c>
      <c r="J69" s="2">
        <f t="shared" si="1"/>
        <v>5.3100478489228858E-2</v>
      </c>
    </row>
    <row r="70" spans="1:10" ht="15.75" customHeight="1" x14ac:dyDescent="0.15">
      <c r="A70" s="1" t="s">
        <v>217</v>
      </c>
      <c r="B70" s="1" t="s">
        <v>218</v>
      </c>
      <c r="C70" s="1" t="s">
        <v>219</v>
      </c>
      <c r="D70" s="1" t="s">
        <v>210</v>
      </c>
      <c r="E70" s="2">
        <v>30888</v>
      </c>
      <c r="F70" s="2">
        <v>98746</v>
      </c>
      <c r="G70" s="2">
        <v>36506</v>
      </c>
      <c r="H70" s="2">
        <f t="shared" si="0"/>
        <v>166140</v>
      </c>
      <c r="I70" s="2">
        <v>1425118</v>
      </c>
      <c r="J70" s="2">
        <f t="shared" si="1"/>
        <v>0.1165798200570058</v>
      </c>
    </row>
    <row r="71" spans="1:10" ht="15.75" customHeight="1" x14ac:dyDescent="0.15">
      <c r="A71" s="1" t="s">
        <v>220</v>
      </c>
      <c r="B71" s="1" t="s">
        <v>221</v>
      </c>
      <c r="C71" s="1" t="s">
        <v>222</v>
      </c>
      <c r="D71" s="1" t="s">
        <v>210</v>
      </c>
      <c r="E71" s="2">
        <v>23009</v>
      </c>
      <c r="F71" s="2">
        <v>156055</v>
      </c>
      <c r="G71" s="2">
        <v>48062</v>
      </c>
      <c r="H71" s="2">
        <f t="shared" si="0"/>
        <v>227126</v>
      </c>
      <c r="I71" s="2">
        <v>1553542</v>
      </c>
      <c r="J71" s="2">
        <f t="shared" si="1"/>
        <v>0.14619881535227242</v>
      </c>
    </row>
    <row r="72" spans="1:10" ht="15.75" customHeight="1" x14ac:dyDescent="0.15">
      <c r="A72" s="1" t="s">
        <v>223</v>
      </c>
      <c r="B72" s="1" t="s">
        <v>224</v>
      </c>
      <c r="C72" s="1" t="s">
        <v>225</v>
      </c>
      <c r="D72" s="1" t="s">
        <v>210</v>
      </c>
      <c r="E72" s="2">
        <v>3274</v>
      </c>
      <c r="F72" s="2">
        <v>62021</v>
      </c>
      <c r="G72" s="2">
        <v>17626</v>
      </c>
      <c r="H72" s="2">
        <f t="shared" si="0"/>
        <v>82921</v>
      </c>
      <c r="I72" s="2">
        <v>1389957</v>
      </c>
      <c r="J72" s="2">
        <f t="shared" si="1"/>
        <v>5.965724119523122E-2</v>
      </c>
    </row>
    <row r="73" spans="1:10" ht="15.75" customHeight="1" x14ac:dyDescent="0.15">
      <c r="A73" s="1" t="s">
        <v>226</v>
      </c>
      <c r="B73" s="1" t="s">
        <v>227</v>
      </c>
      <c r="C73" s="1" t="s">
        <v>228</v>
      </c>
      <c r="D73" s="1" t="s">
        <v>210</v>
      </c>
      <c r="E73" s="2">
        <v>47</v>
      </c>
      <c r="F73" s="2">
        <v>70526</v>
      </c>
      <c r="G73" s="2">
        <v>3218</v>
      </c>
      <c r="H73" s="2">
        <f t="shared" si="0"/>
        <v>73791</v>
      </c>
      <c r="I73" s="2">
        <v>1517990</v>
      </c>
      <c r="J73" s="2">
        <f t="shared" si="1"/>
        <v>4.8610992167273832E-2</v>
      </c>
    </row>
    <row r="74" spans="1:10" ht="15.75" customHeight="1" x14ac:dyDescent="0.15">
      <c r="A74" s="1" t="s">
        <v>229</v>
      </c>
      <c r="B74" s="1" t="s">
        <v>230</v>
      </c>
      <c r="C74" s="1" t="s">
        <v>231</v>
      </c>
      <c r="D74" s="1" t="s">
        <v>210</v>
      </c>
      <c r="E74" s="2">
        <v>25826</v>
      </c>
      <c r="F74" s="2">
        <v>94553</v>
      </c>
      <c r="G74" s="2">
        <v>13892</v>
      </c>
      <c r="H74" s="2">
        <f t="shared" si="0"/>
        <v>134271</v>
      </c>
      <c r="I74" s="2">
        <v>1385306</v>
      </c>
      <c r="J74" s="2">
        <f t="shared" si="1"/>
        <v>9.6925155886136344E-2</v>
      </c>
    </row>
    <row r="75" spans="1:10" ht="15.75" customHeight="1" x14ac:dyDescent="0.15">
      <c r="A75" s="1" t="s">
        <v>232</v>
      </c>
      <c r="B75" s="1" t="s">
        <v>233</v>
      </c>
      <c r="C75" s="1" t="s">
        <v>234</v>
      </c>
      <c r="D75" s="1" t="s">
        <v>210</v>
      </c>
      <c r="E75" s="2">
        <v>574</v>
      </c>
      <c r="F75" s="2">
        <v>75076</v>
      </c>
      <c r="G75" s="2">
        <v>15090</v>
      </c>
      <c r="H75" s="2">
        <f t="shared" si="0"/>
        <v>90740</v>
      </c>
      <c r="I75" s="2">
        <v>1205413</v>
      </c>
      <c r="J75" s="2">
        <f t="shared" si="1"/>
        <v>7.5277104195823341E-2</v>
      </c>
    </row>
    <row r="76" spans="1:10" ht="15.75" customHeight="1" x14ac:dyDescent="0.15">
      <c r="A76" s="1" t="s">
        <v>235</v>
      </c>
      <c r="B76" s="1" t="s">
        <v>236</v>
      </c>
      <c r="C76" s="1" t="s">
        <v>237</v>
      </c>
      <c r="D76" s="1" t="s">
        <v>210</v>
      </c>
      <c r="E76" s="2">
        <v>31605</v>
      </c>
      <c r="F76" s="2">
        <v>131242</v>
      </c>
      <c r="G76" s="2">
        <v>5899</v>
      </c>
      <c r="H76" s="2">
        <f t="shared" si="0"/>
        <v>168746</v>
      </c>
      <c r="I76" s="2">
        <v>1483570</v>
      </c>
      <c r="J76" s="2">
        <f t="shared" si="1"/>
        <v>0.11374320052306261</v>
      </c>
    </row>
    <row r="77" spans="1:10" ht="15" x14ac:dyDescent="0.2">
      <c r="A77" s="3" t="s">
        <v>238</v>
      </c>
      <c r="B77" s="1" t="s">
        <v>239</v>
      </c>
      <c r="C77" s="1" t="s">
        <v>240</v>
      </c>
      <c r="D77" s="1" t="s">
        <v>210</v>
      </c>
      <c r="E77" s="2">
        <v>384</v>
      </c>
      <c r="F77" s="2">
        <v>36268</v>
      </c>
      <c r="G77" s="2">
        <v>1662</v>
      </c>
      <c r="H77" s="2">
        <f t="shared" si="0"/>
        <v>38314</v>
      </c>
      <c r="I77" s="2">
        <v>1449490</v>
      </c>
      <c r="J77" s="2">
        <f t="shared" si="1"/>
        <v>2.6432745310419527E-2</v>
      </c>
    </row>
    <row r="78" spans="1:10" ht="15.75" customHeight="1" x14ac:dyDescent="0.15">
      <c r="A78" s="1" t="s">
        <v>241</v>
      </c>
      <c r="B78" s="1" t="s">
        <v>242</v>
      </c>
      <c r="C78" s="1" t="s">
        <v>243</v>
      </c>
      <c r="D78" s="1" t="s">
        <v>210</v>
      </c>
      <c r="E78" s="2">
        <v>10326</v>
      </c>
      <c r="F78" s="2">
        <v>112410</v>
      </c>
      <c r="G78" s="2">
        <v>47182</v>
      </c>
      <c r="H78" s="2">
        <f t="shared" si="0"/>
        <v>169918</v>
      </c>
      <c r="I78" s="2">
        <v>1530946</v>
      </c>
      <c r="J78" s="2">
        <f t="shared" si="1"/>
        <v>0.11098889183550563</v>
      </c>
    </row>
    <row r="79" spans="1:10" ht="15.75" customHeight="1" x14ac:dyDescent="0.15">
      <c r="A79" s="1" t="s">
        <v>244</v>
      </c>
      <c r="B79" s="1" t="s">
        <v>245</v>
      </c>
      <c r="C79" s="1" t="s">
        <v>246</v>
      </c>
      <c r="D79" s="1" t="s">
        <v>210</v>
      </c>
      <c r="E79" s="2">
        <v>10590</v>
      </c>
      <c r="F79" s="2">
        <v>57158</v>
      </c>
      <c r="G79" s="2">
        <v>7337</v>
      </c>
      <c r="H79" s="2">
        <f t="shared" si="0"/>
        <v>75085</v>
      </c>
      <c r="I79" s="2">
        <v>1369388</v>
      </c>
      <c r="J79" s="2">
        <f t="shared" si="1"/>
        <v>5.4831063219481987E-2</v>
      </c>
    </row>
    <row r="80" spans="1:10" ht="15.75" customHeight="1" x14ac:dyDescent="0.15">
      <c r="A80" s="1" t="s">
        <v>247</v>
      </c>
      <c r="B80" s="1" t="s">
        <v>248</v>
      </c>
      <c r="C80" s="1" t="s">
        <v>249</v>
      </c>
      <c r="D80" s="1" t="s">
        <v>210</v>
      </c>
      <c r="E80" s="2">
        <v>17111</v>
      </c>
      <c r="F80" s="2">
        <v>34935</v>
      </c>
      <c r="G80" s="2">
        <v>39514</v>
      </c>
      <c r="H80" s="2">
        <f t="shared" si="0"/>
        <v>91560</v>
      </c>
      <c r="I80" s="2">
        <v>1275150</v>
      </c>
      <c r="J80" s="2">
        <f t="shared" si="1"/>
        <v>7.1803317256793314E-2</v>
      </c>
    </row>
    <row r="81" spans="1:10" ht="15.75" customHeight="1" x14ac:dyDescent="0.15">
      <c r="A81" s="1" t="s">
        <v>250</v>
      </c>
      <c r="B81" s="1" t="s">
        <v>251</v>
      </c>
      <c r="C81" s="1" t="s">
        <v>252</v>
      </c>
      <c r="D81" s="1" t="s">
        <v>210</v>
      </c>
      <c r="E81" s="2">
        <v>736</v>
      </c>
      <c r="F81" s="2">
        <v>48139</v>
      </c>
      <c r="G81" s="2">
        <v>17941</v>
      </c>
      <c r="H81" s="2">
        <f t="shared" si="0"/>
        <v>66816</v>
      </c>
      <c r="I81" s="2">
        <v>1236761</v>
      </c>
      <c r="J81" s="2">
        <f t="shared" si="1"/>
        <v>5.4024989468458337E-2</v>
      </c>
    </row>
    <row r="82" spans="1:10" ht="15.75" customHeight="1" x14ac:dyDescent="0.15">
      <c r="A82" s="1" t="s">
        <v>253</v>
      </c>
      <c r="B82" s="1" t="s">
        <v>254</v>
      </c>
      <c r="C82" s="1" t="s">
        <v>255</v>
      </c>
      <c r="D82" s="1" t="s">
        <v>210</v>
      </c>
      <c r="E82" s="2">
        <v>11694</v>
      </c>
      <c r="F82" s="2">
        <v>17488</v>
      </c>
      <c r="G82" s="2">
        <v>14699</v>
      </c>
      <c r="H82" s="2">
        <f t="shared" si="0"/>
        <v>43881</v>
      </c>
      <c r="I82" s="2">
        <v>1403699</v>
      </c>
      <c r="J82" s="2">
        <f t="shared" si="1"/>
        <v>3.1260975465537841E-2</v>
      </c>
    </row>
    <row r="83" spans="1:10" ht="15.75" customHeight="1" x14ac:dyDescent="0.15">
      <c r="A83" s="1" t="s">
        <v>256</v>
      </c>
      <c r="B83" s="1" t="s">
        <v>257</v>
      </c>
      <c r="C83" s="1" t="s">
        <v>258</v>
      </c>
      <c r="D83" s="1" t="s">
        <v>210</v>
      </c>
      <c r="E83" s="2">
        <v>11908</v>
      </c>
      <c r="F83" s="2">
        <v>160681</v>
      </c>
      <c r="G83" s="2">
        <v>50410</v>
      </c>
      <c r="H83" s="2">
        <f t="shared" si="0"/>
        <v>222999</v>
      </c>
      <c r="I83" s="2">
        <v>1514749</v>
      </c>
      <c r="J83" s="2">
        <f t="shared" si="1"/>
        <v>0.1472184500534412</v>
      </c>
    </row>
    <row r="84" spans="1:10" ht="15.75" customHeight="1" x14ac:dyDescent="0.15">
      <c r="A84" s="1" t="s">
        <v>259</v>
      </c>
      <c r="B84" s="1" t="s">
        <v>260</v>
      </c>
      <c r="C84" s="1" t="s">
        <v>261</v>
      </c>
      <c r="D84" s="1" t="s">
        <v>210</v>
      </c>
      <c r="E84" s="2">
        <v>76834</v>
      </c>
      <c r="F84" s="2">
        <v>60217</v>
      </c>
      <c r="G84" s="2">
        <v>39005</v>
      </c>
      <c r="H84" s="2">
        <f t="shared" si="0"/>
        <v>176056</v>
      </c>
      <c r="I84" s="2">
        <v>1523643</v>
      </c>
      <c r="J84" s="2">
        <f t="shared" si="1"/>
        <v>0.11554937738039685</v>
      </c>
    </row>
    <row r="85" spans="1:10" ht="15.75" customHeight="1" x14ac:dyDescent="0.15">
      <c r="A85" s="1" t="s">
        <v>262</v>
      </c>
      <c r="B85" s="1" t="s">
        <v>263</v>
      </c>
      <c r="C85" s="1" t="s">
        <v>264</v>
      </c>
      <c r="D85" s="1" t="s">
        <v>210</v>
      </c>
      <c r="E85" s="2">
        <v>4556</v>
      </c>
      <c r="F85" s="2">
        <v>87165</v>
      </c>
      <c r="G85" s="2">
        <v>40450</v>
      </c>
      <c r="H85" s="2">
        <f t="shared" si="0"/>
        <v>132171</v>
      </c>
      <c r="I85" s="2">
        <v>1273969</v>
      </c>
      <c r="J85" s="2">
        <f t="shared" si="1"/>
        <v>0.10374742242550643</v>
      </c>
    </row>
    <row r="86" spans="1:10" ht="15.75" customHeight="1" x14ac:dyDescent="0.15">
      <c r="A86" s="1" t="s">
        <v>265</v>
      </c>
      <c r="B86" s="1" t="s">
        <v>266</v>
      </c>
      <c r="C86" s="1" t="s">
        <v>267</v>
      </c>
      <c r="D86" s="1" t="s">
        <v>210</v>
      </c>
      <c r="E86" s="2">
        <v>35617</v>
      </c>
      <c r="F86" s="2">
        <v>87050</v>
      </c>
      <c r="G86" s="2">
        <v>26937</v>
      </c>
      <c r="H86" s="2">
        <f t="shared" si="0"/>
        <v>149604</v>
      </c>
      <c r="I86" s="2">
        <v>1455027</v>
      </c>
      <c r="J86" s="2">
        <f t="shared" si="1"/>
        <v>0.1028187105806284</v>
      </c>
    </row>
    <row r="87" spans="1:10" ht="15.75" customHeight="1" x14ac:dyDescent="0.15">
      <c r="A87" s="1" t="s">
        <v>268</v>
      </c>
      <c r="B87" s="1" t="s">
        <v>269</v>
      </c>
      <c r="C87" s="1" t="s">
        <v>270</v>
      </c>
      <c r="D87" s="1" t="s">
        <v>210</v>
      </c>
      <c r="E87" s="2">
        <v>8759</v>
      </c>
      <c r="F87" s="2">
        <v>70998</v>
      </c>
      <c r="G87" s="2">
        <v>50084</v>
      </c>
      <c r="H87" s="2">
        <f t="shared" si="0"/>
        <v>129841</v>
      </c>
      <c r="I87" s="2">
        <v>1378776</v>
      </c>
      <c r="J87" s="2">
        <f t="shared" si="1"/>
        <v>9.4171206925562967E-2</v>
      </c>
    </row>
    <row r="88" spans="1:10" ht="15.75" customHeight="1" x14ac:dyDescent="0.15">
      <c r="A88" s="1" t="s">
        <v>271</v>
      </c>
      <c r="B88" s="1" t="s">
        <v>272</v>
      </c>
      <c r="C88" s="1" t="s">
        <v>273</v>
      </c>
      <c r="D88" s="1" t="s">
        <v>210</v>
      </c>
      <c r="E88" s="2">
        <v>7195</v>
      </c>
      <c r="F88" s="2">
        <v>129318</v>
      </c>
      <c r="G88" s="2">
        <v>49748</v>
      </c>
      <c r="H88" s="2">
        <f t="shared" si="0"/>
        <v>186261</v>
      </c>
      <c r="I88" s="2">
        <v>1259030</v>
      </c>
      <c r="J88" s="2">
        <f t="shared" si="1"/>
        <v>0.14794008085589699</v>
      </c>
    </row>
    <row r="89" spans="1:10" ht="15.75" customHeight="1" x14ac:dyDescent="0.15">
      <c r="A89" s="1" t="s">
        <v>274</v>
      </c>
      <c r="B89" s="1" t="s">
        <v>275</v>
      </c>
      <c r="C89" s="1" t="s">
        <v>276</v>
      </c>
      <c r="D89" s="1" t="s">
        <v>210</v>
      </c>
      <c r="E89" s="2">
        <v>5985</v>
      </c>
      <c r="F89" s="2">
        <v>133610</v>
      </c>
      <c r="G89" s="2">
        <v>14523</v>
      </c>
      <c r="H89" s="2">
        <f t="shared" si="0"/>
        <v>154118</v>
      </c>
      <c r="I89" s="2">
        <v>1479276</v>
      </c>
      <c r="J89" s="2">
        <f t="shared" si="1"/>
        <v>0.10418474983708247</v>
      </c>
    </row>
    <row r="90" spans="1:10" ht="15.75" customHeight="1" x14ac:dyDescent="0.15">
      <c r="A90" s="1" t="s">
        <v>277</v>
      </c>
      <c r="B90" s="1" t="s">
        <v>278</v>
      </c>
      <c r="C90" s="1" t="s">
        <v>279</v>
      </c>
      <c r="D90" s="1" t="s">
        <v>210</v>
      </c>
      <c r="E90" s="2">
        <v>8969</v>
      </c>
      <c r="F90" s="2">
        <v>54524</v>
      </c>
      <c r="G90" s="2">
        <v>17276</v>
      </c>
      <c r="H90" s="2">
        <f t="shared" si="0"/>
        <v>80769</v>
      </c>
      <c r="I90" s="2">
        <v>1270163</v>
      </c>
      <c r="J90" s="2">
        <f t="shared" si="1"/>
        <v>6.3589476311308082E-2</v>
      </c>
    </row>
    <row r="91" spans="1:10" ht="15.75" customHeight="1" x14ac:dyDescent="0.15">
      <c r="A91" s="1" t="s">
        <v>280</v>
      </c>
      <c r="B91" s="1" t="s">
        <v>281</v>
      </c>
      <c r="C91" s="1" t="s">
        <v>282</v>
      </c>
      <c r="D91" s="1" t="s">
        <v>210</v>
      </c>
      <c r="E91" s="2">
        <v>60</v>
      </c>
      <c r="F91" s="2">
        <v>14046</v>
      </c>
      <c r="G91" s="2">
        <v>2642</v>
      </c>
      <c r="H91" s="2">
        <f t="shared" si="0"/>
        <v>16748</v>
      </c>
      <c r="I91" s="2">
        <v>1425947</v>
      </c>
      <c r="J91" s="2">
        <f t="shared" si="1"/>
        <v>1.1745177064785717E-2</v>
      </c>
    </row>
    <row r="92" spans="1:10" ht="15.75" customHeight="1" x14ac:dyDescent="0.15">
      <c r="A92" s="1" t="s">
        <v>283</v>
      </c>
      <c r="B92" s="1" t="s">
        <v>284</v>
      </c>
      <c r="C92" s="1" t="s">
        <v>285</v>
      </c>
      <c r="D92" s="1" t="s">
        <v>210</v>
      </c>
      <c r="E92" s="2">
        <v>18787</v>
      </c>
      <c r="F92" s="2">
        <v>38607</v>
      </c>
      <c r="G92" s="2">
        <v>31255</v>
      </c>
      <c r="H92" s="2">
        <f t="shared" si="0"/>
        <v>88649</v>
      </c>
      <c r="I92" s="2">
        <v>1565843</v>
      </c>
      <c r="J92" s="2">
        <f t="shared" si="1"/>
        <v>5.6614232716817717E-2</v>
      </c>
    </row>
    <row r="93" spans="1:10" ht="15.75" customHeight="1" x14ac:dyDescent="0.15">
      <c r="A93" s="1" t="s">
        <v>286</v>
      </c>
      <c r="B93" s="1" t="s">
        <v>287</v>
      </c>
      <c r="C93" s="1" t="s">
        <v>288</v>
      </c>
      <c r="D93" s="1" t="s">
        <v>210</v>
      </c>
      <c r="E93" s="2">
        <v>15826</v>
      </c>
      <c r="F93" s="2">
        <v>83088</v>
      </c>
      <c r="G93" s="2">
        <v>63709</v>
      </c>
      <c r="H93" s="2">
        <f t="shared" si="0"/>
        <v>162623</v>
      </c>
      <c r="I93" s="2">
        <v>1445255</v>
      </c>
      <c r="J93" s="2">
        <f t="shared" si="1"/>
        <v>0.11252201168651899</v>
      </c>
    </row>
    <row r="94" spans="1:10" ht="15.75" customHeight="1" x14ac:dyDescent="0.15">
      <c r="A94" s="1" t="s">
        <v>289</v>
      </c>
      <c r="B94" s="1" t="s">
        <v>290</v>
      </c>
      <c r="C94" s="1" t="s">
        <v>291</v>
      </c>
      <c r="D94" s="1" t="s">
        <v>210</v>
      </c>
      <c r="E94" s="2">
        <v>5991</v>
      </c>
      <c r="F94" s="2">
        <v>133063</v>
      </c>
      <c r="G94" s="2">
        <v>36248</v>
      </c>
      <c r="H94" s="2">
        <f t="shared" si="0"/>
        <v>175302</v>
      </c>
      <c r="I94" s="2">
        <v>1560700</v>
      </c>
      <c r="J94" s="2">
        <f t="shared" si="1"/>
        <v>0.11232267572243224</v>
      </c>
    </row>
    <row r="95" spans="1:10" ht="15.75" customHeight="1" x14ac:dyDescent="0.15">
      <c r="A95" s="1" t="s">
        <v>292</v>
      </c>
      <c r="B95" s="1" t="s">
        <v>293</v>
      </c>
      <c r="C95" s="1" t="s">
        <v>294</v>
      </c>
      <c r="D95" s="1" t="s">
        <v>210</v>
      </c>
      <c r="E95" s="2">
        <v>1590</v>
      </c>
      <c r="F95" s="2">
        <v>37067</v>
      </c>
      <c r="G95" s="2">
        <v>20160</v>
      </c>
      <c r="H95" s="2">
        <f t="shared" si="0"/>
        <v>58817</v>
      </c>
      <c r="I95" s="2">
        <v>1489413</v>
      </c>
      <c r="J95" s="2">
        <f t="shared" si="1"/>
        <v>3.9490054135421136E-2</v>
      </c>
    </row>
    <row r="96" spans="1:10" ht="15.75" customHeight="1" x14ac:dyDescent="0.15">
      <c r="A96" s="1" t="s">
        <v>295</v>
      </c>
      <c r="B96" s="1" t="s">
        <v>296</v>
      </c>
      <c r="C96" s="1" t="s">
        <v>297</v>
      </c>
      <c r="D96" s="1" t="s">
        <v>210</v>
      </c>
      <c r="E96" s="2">
        <v>4349</v>
      </c>
      <c r="F96" s="2">
        <v>15723</v>
      </c>
      <c r="G96" s="2">
        <v>4362</v>
      </c>
      <c r="H96" s="2">
        <f t="shared" si="0"/>
        <v>24434</v>
      </c>
      <c r="I96" s="2">
        <v>1323769</v>
      </c>
      <c r="J96" s="2">
        <f t="shared" si="1"/>
        <v>1.8457903153797982E-2</v>
      </c>
    </row>
    <row r="97" spans="1:10" ht="15.75" customHeight="1" x14ac:dyDescent="0.15">
      <c r="A97" s="1" t="s">
        <v>298</v>
      </c>
      <c r="B97" s="1" t="s">
        <v>299</v>
      </c>
      <c r="C97" s="1" t="s">
        <v>300</v>
      </c>
      <c r="D97" s="1" t="s">
        <v>210</v>
      </c>
      <c r="E97" s="2">
        <v>16013</v>
      </c>
      <c r="F97" s="2">
        <v>91667</v>
      </c>
      <c r="G97" s="2">
        <v>79009</v>
      </c>
      <c r="H97" s="2">
        <f t="shared" si="0"/>
        <v>186689</v>
      </c>
      <c r="I97" s="2">
        <v>1379679</v>
      </c>
      <c r="J97" s="2">
        <f t="shared" si="1"/>
        <v>0.13531335912194067</v>
      </c>
    </row>
    <row r="98" spans="1:10" ht="15.75" customHeight="1" x14ac:dyDescent="0.15">
      <c r="A98" s="1" t="s">
        <v>301</v>
      </c>
      <c r="B98" s="1" t="s">
        <v>302</v>
      </c>
      <c r="C98" s="5" t="s">
        <v>303</v>
      </c>
      <c r="D98" s="1" t="s">
        <v>304</v>
      </c>
      <c r="E98" s="2">
        <v>19169</v>
      </c>
      <c r="F98" s="2">
        <v>67089</v>
      </c>
      <c r="G98" s="2">
        <v>15158</v>
      </c>
      <c r="H98" s="2">
        <f t="shared" si="0"/>
        <v>101416</v>
      </c>
      <c r="I98" s="2">
        <v>1543473</v>
      </c>
      <c r="J98" s="2">
        <f t="shared" si="1"/>
        <v>6.5706364801975808E-2</v>
      </c>
    </row>
    <row r="99" spans="1:10" ht="15.75" customHeight="1" x14ac:dyDescent="0.15">
      <c r="A99" s="1" t="s">
        <v>305</v>
      </c>
      <c r="B99" s="1" t="s">
        <v>306</v>
      </c>
      <c r="C99" s="5" t="s">
        <v>307</v>
      </c>
      <c r="D99" s="1" t="s">
        <v>304</v>
      </c>
      <c r="E99" s="2">
        <v>21206</v>
      </c>
      <c r="F99" s="2">
        <v>79002</v>
      </c>
      <c r="G99" s="2">
        <v>40427</v>
      </c>
      <c r="H99" s="2">
        <f t="shared" si="0"/>
        <v>140635</v>
      </c>
      <c r="I99" s="2">
        <v>1530234</v>
      </c>
      <c r="J99" s="2">
        <f t="shared" si="1"/>
        <v>9.1904244710286145E-2</v>
      </c>
    </row>
    <row r="100" spans="1:10" ht="15.75" customHeight="1" x14ac:dyDescent="0.15">
      <c r="A100" s="1" t="s">
        <v>308</v>
      </c>
      <c r="B100" s="1" t="s">
        <v>309</v>
      </c>
      <c r="C100" s="5" t="s">
        <v>310</v>
      </c>
      <c r="D100" s="1" t="s">
        <v>304</v>
      </c>
      <c r="E100" s="2">
        <v>15788</v>
      </c>
      <c r="F100" s="2">
        <v>97029</v>
      </c>
      <c r="G100" s="2">
        <v>37180</v>
      </c>
      <c r="H100" s="2">
        <f t="shared" si="0"/>
        <v>149997</v>
      </c>
      <c r="I100" s="2">
        <v>1291824</v>
      </c>
      <c r="J100" s="2">
        <f t="shared" si="1"/>
        <v>0.11611256641771635</v>
      </c>
    </row>
    <row r="101" spans="1:10" ht="15.75" customHeight="1" x14ac:dyDescent="0.15">
      <c r="A101" s="1" t="s">
        <v>311</v>
      </c>
      <c r="B101" s="1" t="s">
        <v>312</v>
      </c>
      <c r="C101" s="1" t="s">
        <v>313</v>
      </c>
      <c r="D101" s="1" t="s">
        <v>304</v>
      </c>
      <c r="E101" s="2">
        <v>27812</v>
      </c>
      <c r="F101" s="2">
        <v>51348</v>
      </c>
      <c r="G101" s="2">
        <v>24144</v>
      </c>
      <c r="H101" s="2">
        <f t="shared" si="0"/>
        <v>103304</v>
      </c>
      <c r="I101" s="2">
        <v>1760070</v>
      </c>
      <c r="J101" s="2">
        <f t="shared" si="1"/>
        <v>5.8693120159993638E-2</v>
      </c>
    </row>
    <row r="102" spans="1:10" ht="15.75" customHeight="1" x14ac:dyDescent="0.15">
      <c r="A102" s="1" t="s">
        <v>314</v>
      </c>
      <c r="B102" s="1" t="s">
        <v>315</v>
      </c>
      <c r="C102" s="1" t="s">
        <v>316</v>
      </c>
      <c r="D102" s="1" t="s">
        <v>304</v>
      </c>
      <c r="E102" s="2">
        <v>2346</v>
      </c>
      <c r="F102" s="2">
        <v>119083</v>
      </c>
      <c r="G102" s="2">
        <v>4251</v>
      </c>
      <c r="H102" s="2">
        <f t="shared" si="0"/>
        <v>125680</v>
      </c>
      <c r="I102" s="2">
        <v>1421953</v>
      </c>
      <c r="J102" s="2">
        <f t="shared" si="1"/>
        <v>8.838548109536673E-2</v>
      </c>
    </row>
    <row r="103" spans="1:10" ht="15.75" customHeight="1" x14ac:dyDescent="0.15">
      <c r="A103" s="1" t="s">
        <v>317</v>
      </c>
      <c r="B103" s="1" t="s">
        <v>318</v>
      </c>
      <c r="C103" s="5" t="s">
        <v>319</v>
      </c>
      <c r="D103" s="1" t="s">
        <v>304</v>
      </c>
      <c r="E103" s="2">
        <v>8907</v>
      </c>
      <c r="F103" s="2">
        <v>53823</v>
      </c>
      <c r="G103" s="2">
        <v>11742</v>
      </c>
      <c r="H103" s="2">
        <f t="shared" si="0"/>
        <v>74472</v>
      </c>
      <c r="I103" s="2">
        <v>1519130</v>
      </c>
      <c r="J103" s="2">
        <f t="shared" si="1"/>
        <v>4.9022795942414411E-2</v>
      </c>
    </row>
    <row r="104" spans="1:10" ht="15.75" customHeight="1" x14ac:dyDescent="0.15">
      <c r="A104" s="1" t="s">
        <v>320</v>
      </c>
      <c r="B104" s="1" t="s">
        <v>321</v>
      </c>
      <c r="C104" s="5" t="s">
        <v>322</v>
      </c>
      <c r="D104" s="1" t="s">
        <v>304</v>
      </c>
      <c r="E104" s="2">
        <v>162</v>
      </c>
      <c r="F104" s="2">
        <v>57277</v>
      </c>
      <c r="G104" s="2">
        <v>4068</v>
      </c>
      <c r="H104" s="2">
        <f t="shared" si="0"/>
        <v>61507</v>
      </c>
      <c r="I104" s="2">
        <v>1402124</v>
      </c>
      <c r="J104" s="2">
        <f t="shared" si="1"/>
        <v>4.3867018894191957E-2</v>
      </c>
    </row>
    <row r="105" spans="1:10" ht="15.75" customHeight="1" x14ac:dyDescent="0.15">
      <c r="A105" s="1" t="s">
        <v>323</v>
      </c>
      <c r="B105" s="1" t="s">
        <v>324</v>
      </c>
      <c r="C105" s="5" t="s">
        <v>325</v>
      </c>
      <c r="D105" s="1" t="s">
        <v>304</v>
      </c>
      <c r="E105" s="2">
        <v>0</v>
      </c>
      <c r="F105" s="2">
        <v>23459</v>
      </c>
      <c r="G105" s="2">
        <v>333</v>
      </c>
      <c r="H105" s="2">
        <f t="shared" si="0"/>
        <v>23792</v>
      </c>
      <c r="I105" s="2">
        <v>1344340</v>
      </c>
      <c r="J105" s="2">
        <f t="shared" si="1"/>
        <v>1.7697903804097179E-2</v>
      </c>
    </row>
    <row r="106" spans="1:10" ht="15.75" customHeight="1" x14ac:dyDescent="0.15">
      <c r="A106" s="1" t="s">
        <v>326</v>
      </c>
      <c r="B106" s="1" t="s">
        <v>327</v>
      </c>
      <c r="C106" s="5" t="s">
        <v>328</v>
      </c>
      <c r="D106" s="1" t="s">
        <v>304</v>
      </c>
      <c r="E106" s="2">
        <v>0</v>
      </c>
      <c r="F106" s="2">
        <v>35725</v>
      </c>
      <c r="G106" s="2">
        <v>27216</v>
      </c>
      <c r="H106" s="2">
        <f t="shared" si="0"/>
        <v>62941</v>
      </c>
      <c r="I106" s="2">
        <v>1470641</v>
      </c>
      <c r="J106" s="2">
        <f t="shared" si="1"/>
        <v>4.2798344395403094E-2</v>
      </c>
    </row>
    <row r="107" spans="1:10" ht="15.75" customHeight="1" x14ac:dyDescent="0.15">
      <c r="A107" s="1" t="s">
        <v>329</v>
      </c>
      <c r="B107" s="1" t="s">
        <v>330</v>
      </c>
      <c r="C107" s="1" t="s">
        <v>331</v>
      </c>
      <c r="D107" s="1" t="s">
        <v>304</v>
      </c>
      <c r="E107" s="2">
        <v>11539</v>
      </c>
      <c r="F107" s="2">
        <v>100479</v>
      </c>
      <c r="G107" s="2">
        <v>25719</v>
      </c>
      <c r="H107" s="2">
        <f t="shared" si="0"/>
        <v>137737</v>
      </c>
      <c r="I107" s="2">
        <v>1542554</v>
      </c>
      <c r="J107" s="2">
        <f t="shared" si="1"/>
        <v>8.9291525612717609E-2</v>
      </c>
    </row>
    <row r="108" spans="1:10" ht="15.75" customHeight="1" x14ac:dyDescent="0.15">
      <c r="A108" s="1" t="s">
        <v>332</v>
      </c>
      <c r="B108" s="1" t="s">
        <v>333</v>
      </c>
      <c r="C108" s="5" t="s">
        <v>334</v>
      </c>
      <c r="D108" s="1" t="s">
        <v>304</v>
      </c>
      <c r="E108" s="2">
        <v>32628</v>
      </c>
      <c r="F108" s="2">
        <v>65980</v>
      </c>
      <c r="G108" s="2">
        <v>30664</v>
      </c>
      <c r="H108" s="2">
        <f t="shared" si="0"/>
        <v>129272</v>
      </c>
      <c r="I108" s="2">
        <v>1437727</v>
      </c>
      <c r="J108" s="2">
        <f t="shared" si="1"/>
        <v>8.9914149209133584E-2</v>
      </c>
    </row>
    <row r="109" spans="1:10" ht="15.75" customHeight="1" x14ac:dyDescent="0.15">
      <c r="A109" s="1" t="s">
        <v>335</v>
      </c>
      <c r="B109" s="1" t="s">
        <v>336</v>
      </c>
      <c r="C109" s="5" t="s">
        <v>337</v>
      </c>
      <c r="D109" s="1" t="s">
        <v>304</v>
      </c>
      <c r="E109" s="2">
        <v>7899</v>
      </c>
      <c r="F109" s="2">
        <v>87045</v>
      </c>
      <c r="G109" s="2">
        <v>32444</v>
      </c>
      <c r="H109" s="2">
        <f t="shared" si="0"/>
        <v>127388</v>
      </c>
      <c r="I109" s="2">
        <v>1553129</v>
      </c>
      <c r="J109" s="2">
        <f t="shared" si="1"/>
        <v>8.202023141670782E-2</v>
      </c>
    </row>
    <row r="110" spans="1:10" ht="15.75" customHeight="1" x14ac:dyDescent="0.15">
      <c r="A110" s="1" t="s">
        <v>338</v>
      </c>
      <c r="B110" s="1" t="s">
        <v>339</v>
      </c>
      <c r="C110" s="5" t="s">
        <v>340</v>
      </c>
      <c r="D110" s="1" t="s">
        <v>304</v>
      </c>
      <c r="E110" s="2">
        <v>16548</v>
      </c>
      <c r="F110" s="2">
        <v>107092</v>
      </c>
      <c r="G110" s="2">
        <v>30371</v>
      </c>
      <c r="H110" s="2">
        <f t="shared" si="0"/>
        <v>154011</v>
      </c>
      <c r="I110" s="2">
        <v>1324075</v>
      </c>
      <c r="J110" s="2">
        <f t="shared" si="1"/>
        <v>0.11631591866019673</v>
      </c>
    </row>
    <row r="111" spans="1:10" ht="15.75" customHeight="1" x14ac:dyDescent="0.15">
      <c r="A111" s="1" t="s">
        <v>341</v>
      </c>
      <c r="B111" s="1" t="s">
        <v>342</v>
      </c>
      <c r="C111" s="1" t="s">
        <v>343</v>
      </c>
      <c r="D111" s="1" t="s">
        <v>304</v>
      </c>
      <c r="E111" s="2">
        <v>2881</v>
      </c>
      <c r="F111" s="2">
        <v>65434</v>
      </c>
      <c r="G111" s="2">
        <v>9819</v>
      </c>
      <c r="H111" s="2">
        <f t="shared" si="0"/>
        <v>78134</v>
      </c>
      <c r="I111" s="2">
        <v>1613537</v>
      </c>
      <c r="J111" s="2">
        <f t="shared" si="1"/>
        <v>4.8424052252907746E-2</v>
      </c>
    </row>
    <row r="112" spans="1:10" ht="15.75" customHeight="1" x14ac:dyDescent="0.15">
      <c r="A112" s="1" t="s">
        <v>344</v>
      </c>
      <c r="B112" s="1" t="s">
        <v>345</v>
      </c>
      <c r="C112" s="5" t="s">
        <v>346</v>
      </c>
      <c r="D112" s="1" t="s">
        <v>304</v>
      </c>
      <c r="E112" s="2">
        <v>1806</v>
      </c>
      <c r="F112" s="2">
        <v>44333</v>
      </c>
      <c r="G112" s="2">
        <v>16373</v>
      </c>
      <c r="H112" s="2">
        <f t="shared" si="0"/>
        <v>62512</v>
      </c>
      <c r="I112" s="2">
        <v>1560894</v>
      </c>
      <c r="J112" s="2">
        <f t="shared" si="1"/>
        <v>4.0048843803615106E-2</v>
      </c>
    </row>
    <row r="113" spans="1:10" ht="15.75" customHeight="1" x14ac:dyDescent="0.15">
      <c r="A113" s="1" t="s">
        <v>347</v>
      </c>
      <c r="B113" s="1" t="s">
        <v>348</v>
      </c>
      <c r="C113" s="5" t="s">
        <v>349</v>
      </c>
      <c r="D113" s="1" t="s">
        <v>304</v>
      </c>
      <c r="E113" s="2">
        <v>8234</v>
      </c>
      <c r="F113" s="2">
        <v>133130</v>
      </c>
      <c r="G113" s="2">
        <v>29674</v>
      </c>
      <c r="H113" s="2">
        <f t="shared" si="0"/>
        <v>171038</v>
      </c>
      <c r="I113" s="2">
        <v>1567695</v>
      </c>
      <c r="J113" s="2">
        <f t="shared" si="1"/>
        <v>0.10910157906990837</v>
      </c>
    </row>
    <row r="114" spans="1:10" ht="15.75" customHeight="1" x14ac:dyDescent="0.15">
      <c r="A114" s="1" t="s">
        <v>350</v>
      </c>
      <c r="B114" s="1" t="s">
        <v>351</v>
      </c>
      <c r="C114" s="5" t="s">
        <v>352</v>
      </c>
      <c r="D114" s="1" t="s">
        <v>304</v>
      </c>
      <c r="E114" s="2">
        <v>11636</v>
      </c>
      <c r="F114" s="2">
        <v>14607</v>
      </c>
      <c r="G114" s="2">
        <v>27215</v>
      </c>
      <c r="H114" s="2">
        <f t="shared" si="0"/>
        <v>53458</v>
      </c>
      <c r="I114" s="2">
        <v>1657554</v>
      </c>
      <c r="J114" s="2">
        <f t="shared" si="1"/>
        <v>3.2251136312904438E-2</v>
      </c>
    </row>
    <row r="115" spans="1:10" ht="15.75" customHeight="1" x14ac:dyDescent="0.15">
      <c r="A115" s="1" t="s">
        <v>353</v>
      </c>
      <c r="B115" s="1" t="s">
        <v>354</v>
      </c>
      <c r="C115" s="5" t="s">
        <v>355</v>
      </c>
      <c r="D115" s="1" t="s">
        <v>304</v>
      </c>
      <c r="E115" s="2">
        <v>1847</v>
      </c>
      <c r="F115" s="2">
        <v>21555</v>
      </c>
      <c r="G115" s="2">
        <v>12320</v>
      </c>
      <c r="H115" s="2">
        <f t="shared" si="0"/>
        <v>35722</v>
      </c>
      <c r="I115" s="2">
        <v>1480386</v>
      </c>
      <c r="J115" s="2">
        <f t="shared" si="1"/>
        <v>2.4130193071266549E-2</v>
      </c>
    </row>
    <row r="116" spans="1:10" ht="15.75" customHeight="1" x14ac:dyDescent="0.15">
      <c r="A116" s="1" t="s">
        <v>356</v>
      </c>
      <c r="B116" s="1" t="s">
        <v>357</v>
      </c>
      <c r="C116" s="5" t="s">
        <v>358</v>
      </c>
      <c r="D116" s="1" t="s">
        <v>304</v>
      </c>
      <c r="E116" s="2">
        <v>4595</v>
      </c>
      <c r="F116" s="2">
        <v>44344</v>
      </c>
      <c r="G116" s="2">
        <v>22159</v>
      </c>
      <c r="H116" s="2">
        <f t="shared" si="0"/>
        <v>71098</v>
      </c>
      <c r="I116" s="2">
        <v>1744544</v>
      </c>
      <c r="J116" s="2">
        <f t="shared" si="1"/>
        <v>4.0754489425316877E-2</v>
      </c>
    </row>
    <row r="117" spans="1:10" ht="15.75" customHeight="1" x14ac:dyDescent="0.15">
      <c r="A117" s="1" t="s">
        <v>359</v>
      </c>
      <c r="B117" s="1" t="s">
        <v>360</v>
      </c>
      <c r="C117" s="5" t="s">
        <v>361</v>
      </c>
      <c r="D117" s="1" t="s">
        <v>304</v>
      </c>
      <c r="E117" s="2">
        <v>14269</v>
      </c>
      <c r="F117" s="2">
        <v>16385</v>
      </c>
      <c r="G117" s="2">
        <v>16849</v>
      </c>
      <c r="H117" s="2">
        <f t="shared" si="0"/>
        <v>47503</v>
      </c>
      <c r="I117" s="2">
        <v>1448118</v>
      </c>
      <c r="J117" s="2">
        <f t="shared" si="1"/>
        <v>3.2803266032187986E-2</v>
      </c>
    </row>
    <row r="118" spans="1:10" ht="15.75" customHeight="1" x14ac:dyDescent="0.15">
      <c r="A118" s="1" t="s">
        <v>362</v>
      </c>
      <c r="B118" s="1" t="s">
        <v>363</v>
      </c>
      <c r="C118" s="5" t="s">
        <v>364</v>
      </c>
      <c r="D118" s="1" t="s">
        <v>304</v>
      </c>
      <c r="E118" s="2">
        <v>1873</v>
      </c>
      <c r="F118" s="2">
        <v>63939</v>
      </c>
      <c r="G118" s="2">
        <v>26467</v>
      </c>
      <c r="H118" s="2">
        <f t="shared" si="0"/>
        <v>92279</v>
      </c>
      <c r="I118" s="2">
        <v>1342721</v>
      </c>
      <c r="J118" s="2">
        <f t="shared" si="1"/>
        <v>6.8725371838229979E-2</v>
      </c>
    </row>
    <row r="119" spans="1:10" ht="15.75" customHeight="1" x14ac:dyDescent="0.15">
      <c r="A119" s="1" t="s">
        <v>365</v>
      </c>
      <c r="B119" s="1" t="s">
        <v>366</v>
      </c>
      <c r="C119" s="5" t="s">
        <v>367</v>
      </c>
      <c r="D119" s="1" t="s">
        <v>304</v>
      </c>
      <c r="E119" s="2">
        <v>17651</v>
      </c>
      <c r="F119" s="2">
        <v>33003</v>
      </c>
      <c r="G119" s="2">
        <v>24761</v>
      </c>
      <c r="H119" s="2">
        <f t="shared" si="0"/>
        <v>75415</v>
      </c>
      <c r="I119" s="2">
        <v>1517307</v>
      </c>
      <c r="J119" s="2">
        <f t="shared" si="1"/>
        <v>4.970319124606952E-2</v>
      </c>
    </row>
    <row r="120" spans="1:10" ht="15.75" customHeight="1" x14ac:dyDescent="0.15">
      <c r="A120" s="1" t="s">
        <v>368</v>
      </c>
      <c r="B120" s="1" t="s">
        <v>369</v>
      </c>
      <c r="C120" s="5" t="s">
        <v>370</v>
      </c>
      <c r="D120" s="1" t="s">
        <v>304</v>
      </c>
      <c r="E120" s="2">
        <v>20470</v>
      </c>
      <c r="F120" s="2">
        <v>60202</v>
      </c>
      <c r="G120" s="2">
        <v>24797</v>
      </c>
      <c r="H120" s="2">
        <f t="shared" si="0"/>
        <v>105469</v>
      </c>
      <c r="I120" s="2">
        <v>1415286</v>
      </c>
      <c r="J120" s="2">
        <f t="shared" si="1"/>
        <v>7.45213334972578E-2</v>
      </c>
    </row>
    <row r="121" spans="1:10" ht="15.75" customHeight="1" x14ac:dyDescent="0.15">
      <c r="A121" s="1" t="s">
        <v>371</v>
      </c>
      <c r="B121" s="1" t="s">
        <v>372</v>
      </c>
      <c r="C121" s="5" t="s">
        <v>373</v>
      </c>
      <c r="D121" s="1" t="s">
        <v>304</v>
      </c>
      <c r="E121" s="2">
        <v>847</v>
      </c>
      <c r="F121" s="2">
        <v>24229</v>
      </c>
      <c r="G121" s="2">
        <v>4774</v>
      </c>
      <c r="H121" s="2">
        <f t="shared" si="0"/>
        <v>29850</v>
      </c>
      <c r="I121" s="2">
        <v>1521097</v>
      </c>
      <c r="J121" s="2">
        <f t="shared" si="1"/>
        <v>1.9623995050940209E-2</v>
      </c>
    </row>
    <row r="122" spans="1:10" ht="15.75" customHeight="1" x14ac:dyDescent="0.15">
      <c r="A122" s="1" t="s">
        <v>374</v>
      </c>
      <c r="B122" s="1" t="s">
        <v>375</v>
      </c>
      <c r="C122" s="5" t="s">
        <v>376</v>
      </c>
      <c r="D122" s="1" t="s">
        <v>304</v>
      </c>
      <c r="E122" s="2">
        <v>1649</v>
      </c>
      <c r="F122" s="2">
        <v>21636</v>
      </c>
      <c r="G122" s="2">
        <v>11426</v>
      </c>
      <c r="H122" s="2">
        <f t="shared" si="0"/>
        <v>34711</v>
      </c>
      <c r="I122" s="2">
        <v>1515894</v>
      </c>
      <c r="J122" s="2">
        <f t="shared" si="1"/>
        <v>2.2898039044946413E-2</v>
      </c>
    </row>
    <row r="123" spans="1:10" ht="15.75" customHeight="1" x14ac:dyDescent="0.15">
      <c r="A123" s="1" t="s">
        <v>377</v>
      </c>
      <c r="B123" s="1" t="s">
        <v>378</v>
      </c>
      <c r="C123" s="1" t="s">
        <v>379</v>
      </c>
      <c r="D123" s="1" t="s">
        <v>304</v>
      </c>
      <c r="E123" s="2">
        <v>8380</v>
      </c>
      <c r="F123" s="2">
        <v>17392</v>
      </c>
      <c r="G123" s="2">
        <v>17570</v>
      </c>
      <c r="H123" s="2">
        <f t="shared" si="0"/>
        <v>43342</v>
      </c>
      <c r="I123" s="2">
        <v>1702197</v>
      </c>
      <c r="J123" s="2">
        <f t="shared" si="1"/>
        <v>2.5462387725980012E-2</v>
      </c>
    </row>
    <row r="124" spans="1:10" ht="15.75" customHeight="1" x14ac:dyDescent="0.15">
      <c r="A124" s="1" t="s">
        <v>380</v>
      </c>
      <c r="B124" s="1" t="s">
        <v>381</v>
      </c>
      <c r="C124" s="5" t="s">
        <v>382</v>
      </c>
      <c r="D124" s="1" t="s">
        <v>304</v>
      </c>
      <c r="E124" s="2">
        <v>3086</v>
      </c>
      <c r="F124" s="2">
        <v>5063</v>
      </c>
      <c r="G124" s="2">
        <v>23080</v>
      </c>
      <c r="H124" s="2">
        <f t="shared" si="0"/>
        <v>31229</v>
      </c>
      <c r="I124" s="2">
        <v>1573363</v>
      </c>
      <c r="J124" s="2">
        <f t="shared" si="1"/>
        <v>1.9848566414743449E-2</v>
      </c>
    </row>
    <row r="125" spans="1:10" ht="15.75" customHeight="1" x14ac:dyDescent="0.15">
      <c r="A125" s="1" t="s">
        <v>383</v>
      </c>
      <c r="B125" s="1" t="s">
        <v>384</v>
      </c>
      <c r="C125" s="5" t="s">
        <v>385</v>
      </c>
      <c r="D125" s="1" t="s">
        <v>304</v>
      </c>
      <c r="E125" s="2">
        <v>27395</v>
      </c>
      <c r="F125" s="2">
        <v>72194</v>
      </c>
      <c r="G125" s="2">
        <v>33299</v>
      </c>
      <c r="H125" s="2">
        <f t="shared" si="0"/>
        <v>132888</v>
      </c>
      <c r="I125" s="2">
        <v>1579402</v>
      </c>
      <c r="J125" s="2">
        <f t="shared" si="1"/>
        <v>8.4138173815152817E-2</v>
      </c>
    </row>
    <row r="126" spans="1:10" ht="15.75" customHeight="1" x14ac:dyDescent="0.15">
      <c r="A126" s="1" t="s">
        <v>386</v>
      </c>
      <c r="B126" s="1" t="s">
        <v>387</v>
      </c>
      <c r="C126" s="5" t="s">
        <v>388</v>
      </c>
      <c r="D126" s="1" t="s">
        <v>304</v>
      </c>
      <c r="E126" s="2">
        <v>476</v>
      </c>
      <c r="F126" s="2">
        <v>71603</v>
      </c>
      <c r="G126" s="2">
        <v>2112</v>
      </c>
      <c r="H126" s="2">
        <f t="shared" si="0"/>
        <v>74191</v>
      </c>
      <c r="I126" s="2">
        <v>1492744</v>
      </c>
      <c r="J126" s="2">
        <f t="shared" si="1"/>
        <v>4.9701087393417762E-2</v>
      </c>
    </row>
    <row r="127" spans="1:10" ht="15.75" customHeight="1" x14ac:dyDescent="0.15">
      <c r="A127" s="1" t="s">
        <v>389</v>
      </c>
      <c r="B127" s="1" t="s">
        <v>390</v>
      </c>
      <c r="C127" s="5" t="s">
        <v>391</v>
      </c>
      <c r="D127" s="1" t="s">
        <v>304</v>
      </c>
      <c r="E127" s="2">
        <v>5692</v>
      </c>
      <c r="F127" s="2">
        <v>24960</v>
      </c>
      <c r="G127" s="2">
        <v>39613</v>
      </c>
      <c r="H127" s="2">
        <f t="shared" si="0"/>
        <v>70265</v>
      </c>
      <c r="I127" s="2">
        <v>1712968</v>
      </c>
      <c r="J127" s="2">
        <f t="shared" si="1"/>
        <v>4.1019446948220864E-2</v>
      </c>
    </row>
    <row r="128" spans="1:10" ht="15.75" customHeight="1" x14ac:dyDescent="0.15">
      <c r="A128" s="1" t="s">
        <v>392</v>
      </c>
      <c r="B128" s="1" t="s">
        <v>393</v>
      </c>
      <c r="C128" s="5" t="s">
        <v>394</v>
      </c>
      <c r="D128" s="1" t="s">
        <v>304</v>
      </c>
      <c r="E128" s="2">
        <v>20320</v>
      </c>
      <c r="F128" s="2">
        <v>110377</v>
      </c>
      <c r="G128" s="2">
        <v>32981</v>
      </c>
      <c r="H128" s="2">
        <f t="shared" si="0"/>
        <v>163678</v>
      </c>
      <c r="I128" s="2">
        <v>1347449</v>
      </c>
      <c r="J128" s="2">
        <f t="shared" si="1"/>
        <v>0.12147250100003786</v>
      </c>
    </row>
    <row r="129" spans="1:10" ht="13" x14ac:dyDescent="0.15">
      <c r="A129" s="1" t="s">
        <v>395</v>
      </c>
      <c r="B129" s="1" t="s">
        <v>396</v>
      </c>
      <c r="C129" s="5" t="s">
        <v>397</v>
      </c>
      <c r="D129" s="1" t="s">
        <v>304</v>
      </c>
      <c r="E129" s="2">
        <v>125</v>
      </c>
      <c r="F129" s="2">
        <v>145974</v>
      </c>
      <c r="G129" s="2">
        <v>14694</v>
      </c>
      <c r="H129" s="2">
        <f t="shared" si="0"/>
        <v>160793</v>
      </c>
      <c r="I129" s="2">
        <v>1565079</v>
      </c>
      <c r="J129" s="2">
        <f t="shared" si="1"/>
        <v>0.10273794485773562</v>
      </c>
    </row>
    <row r="130" spans="1:10" ht="13" x14ac:dyDescent="0.15">
      <c r="A130" s="1" t="s">
        <v>398</v>
      </c>
      <c r="B130" s="1" t="s">
        <v>399</v>
      </c>
      <c r="C130" s="5" t="s">
        <v>400</v>
      </c>
      <c r="D130" s="1" t="s">
        <v>304</v>
      </c>
      <c r="E130" s="2">
        <v>0</v>
      </c>
      <c r="F130" s="2">
        <v>10246</v>
      </c>
      <c r="G130" s="2">
        <v>1550</v>
      </c>
      <c r="H130" s="2">
        <f t="shared" si="0"/>
        <v>11796</v>
      </c>
      <c r="I130" s="2">
        <v>1825354</v>
      </c>
      <c r="J130" s="2">
        <f t="shared" si="1"/>
        <v>6.4623081331073315E-3</v>
      </c>
    </row>
    <row r="131" spans="1:10" ht="13" x14ac:dyDescent="0.15">
      <c r="A131" s="1" t="s">
        <v>401</v>
      </c>
      <c r="B131" s="1" t="s">
        <v>402</v>
      </c>
      <c r="C131" s="1" t="s">
        <v>403</v>
      </c>
      <c r="D131" s="1" t="s">
        <v>304</v>
      </c>
      <c r="E131" s="2">
        <v>3560</v>
      </c>
      <c r="F131" s="2">
        <v>18288</v>
      </c>
      <c r="G131" s="2">
        <v>16152</v>
      </c>
      <c r="H131" s="2">
        <f t="shared" si="0"/>
        <v>38000</v>
      </c>
      <c r="I131" s="2">
        <v>1363175</v>
      </c>
      <c r="J131" s="2">
        <f t="shared" si="1"/>
        <v>2.787609807985035E-2</v>
      </c>
    </row>
    <row r="132" spans="1:10" ht="13" x14ac:dyDescent="0.15">
      <c r="A132" s="1" t="s">
        <v>404</v>
      </c>
      <c r="B132" s="1" t="s">
        <v>405</v>
      </c>
      <c r="C132" s="5" t="s">
        <v>406</v>
      </c>
      <c r="D132" s="1" t="s">
        <v>304</v>
      </c>
      <c r="E132" s="2">
        <v>8988</v>
      </c>
      <c r="F132" s="2">
        <v>8370</v>
      </c>
      <c r="G132" s="2">
        <v>10361</v>
      </c>
      <c r="H132" s="2">
        <f t="shared" si="0"/>
        <v>27719</v>
      </c>
      <c r="I132" s="2">
        <v>1353521</v>
      </c>
      <c r="J132" s="2">
        <f t="shared" si="1"/>
        <v>2.0479179857571476E-2</v>
      </c>
    </row>
    <row r="133" spans="1:10" ht="13" x14ac:dyDescent="0.15">
      <c r="A133" s="1" t="s">
        <v>407</v>
      </c>
      <c r="B133" s="1" t="s">
        <v>408</v>
      </c>
      <c r="C133" s="5" t="s">
        <v>409</v>
      </c>
      <c r="D133" s="1" t="s">
        <v>304</v>
      </c>
      <c r="E133" s="2">
        <v>1420</v>
      </c>
      <c r="F133" s="2">
        <v>25778</v>
      </c>
      <c r="G133" s="2">
        <v>2041</v>
      </c>
      <c r="H133" s="2">
        <f t="shared" si="0"/>
        <v>29239</v>
      </c>
      <c r="I133" s="2">
        <v>1474509</v>
      </c>
      <c r="J133" s="2">
        <f t="shared" si="1"/>
        <v>1.9829651768826097E-2</v>
      </c>
    </row>
    <row r="134" spans="1:10" ht="13" x14ac:dyDescent="0.15">
      <c r="A134" s="1" t="s">
        <v>410</v>
      </c>
      <c r="B134" s="1" t="s">
        <v>411</v>
      </c>
      <c r="C134" s="5" t="s">
        <v>412</v>
      </c>
      <c r="D134" s="1" t="s">
        <v>304</v>
      </c>
      <c r="E134" s="2">
        <v>1188</v>
      </c>
      <c r="F134" s="2">
        <v>32283</v>
      </c>
      <c r="G134" s="2">
        <v>17849</v>
      </c>
      <c r="H134" s="2">
        <f t="shared" si="0"/>
        <v>51320</v>
      </c>
      <c r="I134" s="2">
        <v>1620274</v>
      </c>
      <c r="J134" s="2">
        <f t="shared" si="1"/>
        <v>3.1673655196590204E-2</v>
      </c>
    </row>
    <row r="135" spans="1:10" ht="13" x14ac:dyDescent="0.15">
      <c r="A135" s="1" t="s">
        <v>413</v>
      </c>
      <c r="B135" s="1" t="s">
        <v>414</v>
      </c>
      <c r="C135" s="5" t="s">
        <v>415</v>
      </c>
      <c r="D135" s="1" t="s">
        <v>304</v>
      </c>
      <c r="E135" s="2">
        <v>19887</v>
      </c>
      <c r="F135" s="2">
        <v>35154</v>
      </c>
      <c r="G135" s="2">
        <v>20908</v>
      </c>
      <c r="H135" s="2">
        <f t="shared" si="0"/>
        <v>75949</v>
      </c>
      <c r="I135" s="2">
        <v>1379666</v>
      </c>
      <c r="J135" s="2">
        <f t="shared" si="1"/>
        <v>5.5048830659014572E-2</v>
      </c>
    </row>
    <row r="136" spans="1:10" ht="13" x14ac:dyDescent="0.15">
      <c r="A136" s="1" t="s">
        <v>416</v>
      </c>
      <c r="B136" s="1" t="s">
        <v>417</v>
      </c>
      <c r="C136" s="5" t="s">
        <v>418</v>
      </c>
      <c r="D136" s="1" t="s">
        <v>304</v>
      </c>
      <c r="E136" s="2">
        <v>9818</v>
      </c>
      <c r="F136" s="2">
        <v>60098</v>
      </c>
      <c r="G136" s="2">
        <v>9305</v>
      </c>
      <c r="H136" s="2">
        <f t="shared" si="0"/>
        <v>79221</v>
      </c>
      <c r="I136" s="2">
        <v>1515331</v>
      </c>
      <c r="J136" s="2">
        <f t="shared" si="1"/>
        <v>5.2279666950653024E-2</v>
      </c>
    </row>
    <row r="137" spans="1:10" ht="13" x14ac:dyDescent="0.15">
      <c r="A137" s="1" t="s">
        <v>419</v>
      </c>
      <c r="B137" s="1" t="s">
        <v>420</v>
      </c>
      <c r="C137" s="5" t="s">
        <v>421</v>
      </c>
      <c r="D137" s="1" t="s">
        <v>304</v>
      </c>
      <c r="E137" s="2">
        <v>3474</v>
      </c>
      <c r="F137" s="2">
        <v>63525</v>
      </c>
      <c r="G137" s="2">
        <v>19813</v>
      </c>
      <c r="H137" s="2">
        <f t="shared" si="0"/>
        <v>86812</v>
      </c>
      <c r="I137" s="2">
        <v>1438522</v>
      </c>
      <c r="J137" s="2">
        <f t="shared" si="1"/>
        <v>6.0348051680822398E-2</v>
      </c>
    </row>
    <row r="138" spans="1:10" ht="13" x14ac:dyDescent="0.15">
      <c r="A138" s="1" t="s">
        <v>422</v>
      </c>
      <c r="B138" s="1" t="s">
        <v>423</v>
      </c>
      <c r="C138" s="1" t="s">
        <v>424</v>
      </c>
      <c r="D138" s="1" t="s">
        <v>304</v>
      </c>
      <c r="E138" s="2">
        <v>25812</v>
      </c>
      <c r="F138" s="2">
        <v>42681</v>
      </c>
      <c r="G138" s="2">
        <v>35581</v>
      </c>
      <c r="H138" s="2">
        <f t="shared" si="0"/>
        <v>104074</v>
      </c>
      <c r="I138" s="2">
        <v>1711480</v>
      </c>
      <c r="J138" s="2">
        <f t="shared" si="1"/>
        <v>6.0809357982564795E-2</v>
      </c>
    </row>
    <row r="139" spans="1:10" ht="13" x14ac:dyDescent="0.15">
      <c r="A139" s="1" t="s">
        <v>425</v>
      </c>
      <c r="B139" s="1" t="s">
        <v>426</v>
      </c>
      <c r="C139" s="5" t="s">
        <v>427</v>
      </c>
      <c r="D139" s="1" t="s">
        <v>304</v>
      </c>
      <c r="E139" s="2">
        <v>22901</v>
      </c>
      <c r="F139" s="2">
        <v>64622</v>
      </c>
      <c r="G139" s="2">
        <v>17472</v>
      </c>
      <c r="H139" s="2">
        <f t="shared" si="0"/>
        <v>104995</v>
      </c>
      <c r="I139" s="2">
        <v>1317661</v>
      </c>
      <c r="J139" s="2">
        <f t="shared" si="1"/>
        <v>7.9682862284001732E-2</v>
      </c>
    </row>
    <row r="140" spans="1:10" ht="13" x14ac:dyDescent="0.15">
      <c r="A140" s="1" t="s">
        <v>428</v>
      </c>
      <c r="B140" s="1" t="s">
        <v>429</v>
      </c>
      <c r="C140" s="5" t="s">
        <v>430</v>
      </c>
      <c r="D140" s="1" t="s">
        <v>304</v>
      </c>
      <c r="E140" s="2">
        <v>4275</v>
      </c>
      <c r="F140" s="2">
        <v>17889</v>
      </c>
      <c r="G140" s="2">
        <v>22912</v>
      </c>
      <c r="H140" s="2">
        <f t="shared" si="0"/>
        <v>45076</v>
      </c>
      <c r="I140" s="2">
        <v>1507910</v>
      </c>
      <c r="J140" s="2">
        <f t="shared" si="1"/>
        <v>2.9893030751172153E-2</v>
      </c>
    </row>
    <row r="141" spans="1:10" ht="13" x14ac:dyDescent="0.15">
      <c r="A141" s="1" t="s">
        <v>431</v>
      </c>
      <c r="B141" s="1" t="s">
        <v>432</v>
      </c>
      <c r="C141" s="5" t="s">
        <v>433</v>
      </c>
      <c r="D141" s="1" t="s">
        <v>304</v>
      </c>
      <c r="E141" s="2">
        <v>3195</v>
      </c>
      <c r="F141" s="2">
        <v>30632</v>
      </c>
      <c r="G141" s="2">
        <v>18812</v>
      </c>
      <c r="H141" s="2">
        <f t="shared" si="0"/>
        <v>52639</v>
      </c>
      <c r="I141" s="2">
        <v>1533150</v>
      </c>
      <c r="J141" s="2">
        <f t="shared" si="1"/>
        <v>3.4333887747448062E-2</v>
      </c>
    </row>
    <row r="142" spans="1:10" ht="13" x14ac:dyDescent="0.15">
      <c r="A142" s="1" t="s">
        <v>434</v>
      </c>
      <c r="B142" s="1" t="s">
        <v>435</v>
      </c>
      <c r="C142" s="5" t="s">
        <v>436</v>
      </c>
      <c r="D142" s="1" t="s">
        <v>304</v>
      </c>
      <c r="E142" s="2">
        <v>809</v>
      </c>
      <c r="F142" s="2">
        <v>31862</v>
      </c>
      <c r="G142" s="2">
        <v>25683</v>
      </c>
      <c r="H142" s="2">
        <f t="shared" si="0"/>
        <v>58354</v>
      </c>
      <c r="I142" s="2">
        <v>1418603</v>
      </c>
      <c r="J142" s="2">
        <f t="shared" si="1"/>
        <v>4.1134834763496199E-2</v>
      </c>
    </row>
    <row r="143" spans="1:10" ht="13" x14ac:dyDescent="0.15">
      <c r="A143" s="1" t="s">
        <v>437</v>
      </c>
      <c r="B143" s="1" t="s">
        <v>438</v>
      </c>
      <c r="C143" s="5" t="s">
        <v>439</v>
      </c>
      <c r="D143" s="1" t="s">
        <v>304</v>
      </c>
      <c r="E143" s="2">
        <v>34164</v>
      </c>
      <c r="F143" s="2">
        <v>29453</v>
      </c>
      <c r="G143" s="2">
        <v>5046</v>
      </c>
      <c r="H143" s="2">
        <f t="shared" si="0"/>
        <v>68663</v>
      </c>
      <c r="I143" s="2">
        <v>1536013</v>
      </c>
      <c r="J143" s="2">
        <f t="shared" si="1"/>
        <v>4.4702095620284467E-2</v>
      </c>
    </row>
    <row r="144" spans="1:10" ht="13" x14ac:dyDescent="0.15">
      <c r="A144" s="1" t="s">
        <v>440</v>
      </c>
      <c r="B144" s="1" t="s">
        <v>441</v>
      </c>
      <c r="C144" s="1" t="s">
        <v>442</v>
      </c>
      <c r="D144" s="1" t="s">
        <v>304</v>
      </c>
      <c r="E144" s="2">
        <v>15191</v>
      </c>
      <c r="F144" s="2">
        <v>106783</v>
      </c>
      <c r="G144" s="2">
        <v>22052</v>
      </c>
      <c r="H144" s="2">
        <f t="shared" si="0"/>
        <v>144026</v>
      </c>
      <c r="I144" s="2">
        <v>1416538</v>
      </c>
      <c r="J144" s="2">
        <f t="shared" si="1"/>
        <v>0.10167464621492682</v>
      </c>
    </row>
    <row r="145" spans="1:10" ht="13" x14ac:dyDescent="0.15">
      <c r="A145" s="1" t="s">
        <v>443</v>
      </c>
      <c r="B145" s="1" t="s">
        <v>444</v>
      </c>
      <c r="C145" s="1" t="s">
        <v>445</v>
      </c>
      <c r="D145" s="1" t="s">
        <v>304</v>
      </c>
      <c r="E145" s="2">
        <v>156</v>
      </c>
      <c r="F145" s="2">
        <v>37208</v>
      </c>
      <c r="G145" s="2">
        <v>6204</v>
      </c>
      <c r="H145" s="2">
        <f t="shared" si="0"/>
        <v>43568</v>
      </c>
      <c r="I145" s="2">
        <v>1508887</v>
      </c>
      <c r="J145" s="2">
        <f t="shared" si="1"/>
        <v>2.8874262950108257E-2</v>
      </c>
    </row>
    <row r="146" spans="1:10" ht="13" x14ac:dyDescent="0.15">
      <c r="A146" s="1" t="s">
        <v>446</v>
      </c>
      <c r="B146" s="1" t="s">
        <v>447</v>
      </c>
      <c r="C146" s="5" t="s">
        <v>448</v>
      </c>
      <c r="D146" s="1" t="s">
        <v>304</v>
      </c>
      <c r="E146" s="2">
        <v>27675</v>
      </c>
      <c r="F146" s="2">
        <v>112999</v>
      </c>
      <c r="G146" s="2">
        <v>26322</v>
      </c>
      <c r="H146" s="2">
        <f t="shared" si="0"/>
        <v>166996</v>
      </c>
      <c r="I146" s="2">
        <v>1445517</v>
      </c>
      <c r="J146" s="2">
        <f t="shared" si="1"/>
        <v>0.11552683226831646</v>
      </c>
    </row>
    <row r="147" spans="1:10" ht="13" x14ac:dyDescent="0.15">
      <c r="A147" s="1" t="s">
        <v>449</v>
      </c>
      <c r="B147" s="1" t="s">
        <v>450</v>
      </c>
      <c r="C147" s="5" t="s">
        <v>451</v>
      </c>
      <c r="D147" s="1" t="s">
        <v>304</v>
      </c>
      <c r="E147" s="2">
        <v>0</v>
      </c>
      <c r="F147" s="2">
        <v>82870</v>
      </c>
      <c r="G147" s="2">
        <v>2957</v>
      </c>
      <c r="H147" s="2">
        <f t="shared" si="0"/>
        <v>85827</v>
      </c>
      <c r="I147" s="2">
        <v>1404953</v>
      </c>
      <c r="J147" s="2">
        <f t="shared" si="1"/>
        <v>6.1088876282694153E-2</v>
      </c>
    </row>
    <row r="148" spans="1:10" ht="13" x14ac:dyDescent="0.15">
      <c r="A148" s="1" t="s">
        <v>452</v>
      </c>
      <c r="B148" s="1" t="s">
        <v>453</v>
      </c>
      <c r="C148" s="5" t="s">
        <v>454</v>
      </c>
      <c r="D148" s="1" t="s">
        <v>304</v>
      </c>
      <c r="E148" s="2">
        <v>3707</v>
      </c>
      <c r="F148" s="2">
        <v>7802</v>
      </c>
      <c r="G148" s="2">
        <v>10603</v>
      </c>
      <c r="H148" s="2">
        <f t="shared" si="0"/>
        <v>22112</v>
      </c>
      <c r="I148" s="2">
        <v>1530199</v>
      </c>
      <c r="J148" s="2">
        <f t="shared" si="1"/>
        <v>1.4450408084177286E-2</v>
      </c>
    </row>
    <row r="149" spans="1:10" ht="13" x14ac:dyDescent="0.15">
      <c r="A149" s="1" t="s">
        <v>455</v>
      </c>
      <c r="B149" s="1" t="s">
        <v>456</v>
      </c>
      <c r="C149" s="5" t="s">
        <v>457</v>
      </c>
      <c r="D149" s="1" t="s">
        <v>304</v>
      </c>
      <c r="E149" s="2">
        <v>4899</v>
      </c>
      <c r="F149" s="2">
        <v>100344</v>
      </c>
      <c r="G149" s="2">
        <v>33957</v>
      </c>
      <c r="H149" s="2">
        <f t="shared" si="0"/>
        <v>139200</v>
      </c>
      <c r="I149" s="2">
        <v>1210446</v>
      </c>
      <c r="J149" s="2">
        <f t="shared" si="1"/>
        <v>0.11499893427711769</v>
      </c>
    </row>
    <row r="150" spans="1:10" ht="13" x14ac:dyDescent="0.15">
      <c r="A150" s="1" t="s">
        <v>458</v>
      </c>
      <c r="B150" s="1" t="s">
        <v>459</v>
      </c>
      <c r="C150" s="5" t="s">
        <v>460</v>
      </c>
      <c r="D150" s="1" t="s">
        <v>304</v>
      </c>
      <c r="E150" s="2">
        <v>28606</v>
      </c>
      <c r="F150" s="2">
        <v>69794</v>
      </c>
      <c r="G150" s="2">
        <v>33201</v>
      </c>
      <c r="H150" s="2">
        <f t="shared" si="0"/>
        <v>131601</v>
      </c>
      <c r="I150" s="2">
        <v>1577730</v>
      </c>
      <c r="J150" s="2">
        <f t="shared" si="1"/>
        <v>8.3411610351581067E-2</v>
      </c>
    </row>
    <row r="151" spans="1:10" ht="13" x14ac:dyDescent="0.15">
      <c r="A151" s="1" t="s">
        <v>461</v>
      </c>
      <c r="B151" s="1" t="s">
        <v>462</v>
      </c>
      <c r="C151" s="5" t="s">
        <v>463</v>
      </c>
      <c r="D151" s="1" t="s">
        <v>304</v>
      </c>
      <c r="E151" s="2">
        <v>521</v>
      </c>
      <c r="F151" s="2">
        <v>89499</v>
      </c>
      <c r="G151" s="2">
        <v>13994</v>
      </c>
      <c r="H151" s="2">
        <f t="shared" si="0"/>
        <v>104014</v>
      </c>
      <c r="I151" s="2">
        <v>1304406</v>
      </c>
      <c r="J151" s="2">
        <f t="shared" si="1"/>
        <v>7.9740510239909967E-2</v>
      </c>
    </row>
    <row r="152" spans="1:10" ht="13" x14ac:dyDescent="0.15">
      <c r="A152" s="1" t="s">
        <v>464</v>
      </c>
      <c r="B152" s="1" t="s">
        <v>465</v>
      </c>
      <c r="C152" s="5" t="s">
        <v>466</v>
      </c>
      <c r="D152" s="1" t="s">
        <v>304</v>
      </c>
      <c r="E152" s="2">
        <v>2654</v>
      </c>
      <c r="F152" s="2">
        <v>4175</v>
      </c>
      <c r="G152" s="2">
        <v>3179</v>
      </c>
      <c r="H152" s="2">
        <f t="shared" si="0"/>
        <v>10008</v>
      </c>
      <c r="I152" s="2">
        <v>1675742</v>
      </c>
      <c r="J152" s="2">
        <f t="shared" si="1"/>
        <v>5.9722797423469726E-3</v>
      </c>
    </row>
    <row r="153" spans="1:10" ht="13" x14ac:dyDescent="0.15">
      <c r="A153" s="1" t="s">
        <v>467</v>
      </c>
      <c r="B153" s="1" t="s">
        <v>468</v>
      </c>
      <c r="C153" s="1" t="s">
        <v>469</v>
      </c>
      <c r="D153" s="1" t="s">
        <v>304</v>
      </c>
      <c r="E153" s="2">
        <v>7262</v>
      </c>
      <c r="F153" s="2">
        <v>67091</v>
      </c>
      <c r="G153" s="2">
        <v>24337</v>
      </c>
      <c r="H153" s="2">
        <f t="shared" si="0"/>
        <v>98690</v>
      </c>
      <c r="I153" s="2">
        <v>1477202</v>
      </c>
      <c r="J153" s="2">
        <f t="shared" si="1"/>
        <v>6.6808737058303466E-2</v>
      </c>
    </row>
    <row r="154" spans="1:10" ht="13" x14ac:dyDescent="0.15">
      <c r="A154" s="1" t="s">
        <v>470</v>
      </c>
      <c r="B154" s="1" t="s">
        <v>471</v>
      </c>
      <c r="C154" s="5" t="s">
        <v>472</v>
      </c>
      <c r="D154" s="1" t="s">
        <v>304</v>
      </c>
      <c r="E154" s="2">
        <v>19360</v>
      </c>
      <c r="F154" s="2">
        <v>81166</v>
      </c>
      <c r="G154" s="2">
        <v>33639</v>
      </c>
      <c r="H154" s="2">
        <f t="shared" si="0"/>
        <v>134165</v>
      </c>
      <c r="I154" s="2">
        <v>1563931</v>
      </c>
      <c r="J154" s="2">
        <f t="shared" si="1"/>
        <v>8.5787032803876895E-2</v>
      </c>
    </row>
    <row r="155" spans="1:10" ht="13" x14ac:dyDescent="0.15">
      <c r="A155" s="1" t="s">
        <v>473</v>
      </c>
      <c r="B155" s="1" t="s">
        <v>474</v>
      </c>
      <c r="C155" s="5" t="s">
        <v>475</v>
      </c>
      <c r="D155" s="1" t="s">
        <v>304</v>
      </c>
      <c r="E155" s="2">
        <v>208</v>
      </c>
      <c r="F155" s="2">
        <v>13252</v>
      </c>
      <c r="G155" s="2">
        <v>2121</v>
      </c>
      <c r="H155" s="2">
        <f t="shared" si="0"/>
        <v>15581</v>
      </c>
      <c r="I155" s="2">
        <v>1478482</v>
      </c>
      <c r="J155" s="2">
        <f t="shared" si="1"/>
        <v>1.0538511797911642E-2</v>
      </c>
    </row>
    <row r="156" spans="1:10" ht="13" x14ac:dyDescent="0.15">
      <c r="A156" s="1" t="s">
        <v>476</v>
      </c>
      <c r="B156" s="1" t="s">
        <v>477</v>
      </c>
      <c r="C156" s="1" t="s">
        <v>478</v>
      </c>
      <c r="D156" s="1" t="s">
        <v>304</v>
      </c>
      <c r="E156" s="2">
        <v>37835</v>
      </c>
      <c r="F156" s="2">
        <v>94789</v>
      </c>
      <c r="G156" s="2">
        <v>42739</v>
      </c>
      <c r="H156" s="2">
        <f t="shared" si="0"/>
        <v>175363</v>
      </c>
      <c r="I156" s="2">
        <v>1357260</v>
      </c>
      <c r="J156" s="2">
        <f t="shared" si="1"/>
        <v>0.12920368978677629</v>
      </c>
    </row>
    <row r="157" spans="1:10" ht="13" x14ac:dyDescent="0.15">
      <c r="A157" s="1" t="s">
        <v>479</v>
      </c>
      <c r="B157" s="1" t="s">
        <v>480</v>
      </c>
      <c r="C157" s="5" t="s">
        <v>481</v>
      </c>
      <c r="D157" s="1" t="s">
        <v>304</v>
      </c>
      <c r="E157" s="2">
        <v>8407</v>
      </c>
      <c r="F157" s="2">
        <v>74889</v>
      </c>
      <c r="G157" s="2">
        <v>19111</v>
      </c>
      <c r="H157" s="2">
        <f t="shared" si="0"/>
        <v>102407</v>
      </c>
      <c r="I157" s="2">
        <v>1527801</v>
      </c>
      <c r="J157" s="2">
        <f t="shared" si="1"/>
        <v>6.7029017522570025E-2</v>
      </c>
    </row>
    <row r="158" spans="1:10" ht="13" x14ac:dyDescent="0.15">
      <c r="A158" s="1" t="s">
        <v>482</v>
      </c>
      <c r="B158" s="1" t="s">
        <v>483</v>
      </c>
      <c r="C158" s="5" t="s">
        <v>484</v>
      </c>
      <c r="D158" s="1" t="s">
        <v>304</v>
      </c>
      <c r="E158" s="2">
        <v>5612</v>
      </c>
      <c r="F158" s="2">
        <v>65547</v>
      </c>
      <c r="G158" s="2">
        <v>25471</v>
      </c>
      <c r="H158" s="2">
        <f t="shared" si="0"/>
        <v>96630</v>
      </c>
      <c r="I158" s="2">
        <v>1668592</v>
      </c>
      <c r="J158" s="2">
        <f t="shared" si="1"/>
        <v>5.7911101096013884E-2</v>
      </c>
    </row>
    <row r="159" spans="1:10" ht="13" x14ac:dyDescent="0.15">
      <c r="A159" s="1" t="s">
        <v>485</v>
      </c>
      <c r="B159" s="1" t="s">
        <v>486</v>
      </c>
      <c r="C159" s="5" t="s">
        <v>487</v>
      </c>
      <c r="D159" s="1" t="s">
        <v>304</v>
      </c>
      <c r="E159" s="2">
        <v>0</v>
      </c>
      <c r="F159" s="2">
        <v>43843</v>
      </c>
      <c r="G159" s="2">
        <v>4855</v>
      </c>
      <c r="H159" s="2">
        <f t="shared" si="0"/>
        <v>48698</v>
      </c>
      <c r="I159" s="2">
        <v>1287481</v>
      </c>
      <c r="J159" s="2">
        <f t="shared" si="1"/>
        <v>3.7824247503458301E-2</v>
      </c>
    </row>
    <row r="160" spans="1:10" ht="13" x14ac:dyDescent="0.15">
      <c r="A160" s="1" t="s">
        <v>488</v>
      </c>
      <c r="B160" s="1" t="s">
        <v>489</v>
      </c>
      <c r="C160" s="1" t="s">
        <v>490</v>
      </c>
      <c r="D160" s="1" t="s">
        <v>304</v>
      </c>
      <c r="E160" s="2">
        <v>4073</v>
      </c>
      <c r="F160" s="2">
        <v>115343</v>
      </c>
      <c r="G160" s="2">
        <v>31863</v>
      </c>
      <c r="H160" s="2">
        <f t="shared" si="0"/>
        <v>151279</v>
      </c>
      <c r="I160" s="2">
        <v>1476097</v>
      </c>
      <c r="J160" s="2">
        <f t="shared" si="1"/>
        <v>0.10248581224675614</v>
      </c>
    </row>
    <row r="161" spans="1:10" ht="13" x14ac:dyDescent="0.15">
      <c r="A161" s="1" t="s">
        <v>491</v>
      </c>
      <c r="B161" s="1" t="s">
        <v>492</v>
      </c>
      <c r="C161" s="5" t="s">
        <v>493</v>
      </c>
      <c r="D161" s="1" t="s">
        <v>304</v>
      </c>
      <c r="E161" s="2">
        <v>5989</v>
      </c>
      <c r="F161" s="2">
        <v>29065</v>
      </c>
      <c r="G161" s="2">
        <v>10897</v>
      </c>
      <c r="H161" s="2">
        <f t="shared" si="0"/>
        <v>45951</v>
      </c>
      <c r="I161" s="2">
        <v>1394486</v>
      </c>
      <c r="J161" s="2">
        <f t="shared" si="1"/>
        <v>3.2951926372871435E-2</v>
      </c>
    </row>
    <row r="162" spans="1:10" ht="13" x14ac:dyDescent="0.15">
      <c r="A162" s="1" t="s">
        <v>494</v>
      </c>
      <c r="B162" s="1" t="s">
        <v>495</v>
      </c>
      <c r="C162" s="5" t="s">
        <v>496</v>
      </c>
      <c r="D162" s="1" t="s">
        <v>304</v>
      </c>
      <c r="E162" s="2">
        <v>2637</v>
      </c>
      <c r="F162" s="2">
        <v>48121</v>
      </c>
      <c r="G162" s="2">
        <v>18271</v>
      </c>
      <c r="H162" s="2">
        <f t="shared" si="0"/>
        <v>69029</v>
      </c>
      <c r="I162" s="2">
        <v>1526484</v>
      </c>
      <c r="J162" s="2">
        <f t="shared" si="1"/>
        <v>4.5220912895254713E-2</v>
      </c>
    </row>
    <row r="163" spans="1:10" ht="13" x14ac:dyDescent="0.15">
      <c r="A163" s="1" t="s">
        <v>497</v>
      </c>
      <c r="B163" s="1" t="s">
        <v>498</v>
      </c>
      <c r="C163" s="5" t="s">
        <v>499</v>
      </c>
      <c r="D163" s="1" t="s">
        <v>304</v>
      </c>
      <c r="E163" s="2">
        <v>2310</v>
      </c>
      <c r="F163" s="2">
        <v>18725</v>
      </c>
      <c r="G163" s="2">
        <v>9619</v>
      </c>
      <c r="H163" s="2">
        <f t="shared" si="0"/>
        <v>30654</v>
      </c>
      <c r="I163" s="2">
        <v>1496653</v>
      </c>
      <c r="J163" s="2">
        <f t="shared" si="1"/>
        <v>2.048170150328767E-2</v>
      </c>
    </row>
    <row r="164" spans="1:10" ht="13" x14ac:dyDescent="0.15">
      <c r="A164" s="1" t="s">
        <v>500</v>
      </c>
      <c r="B164" s="1" t="s">
        <v>501</v>
      </c>
      <c r="C164" s="5" t="s">
        <v>502</v>
      </c>
      <c r="D164" s="1" t="s">
        <v>304</v>
      </c>
      <c r="E164" s="2">
        <v>6321</v>
      </c>
      <c r="F164" s="2">
        <v>99576</v>
      </c>
      <c r="G164" s="2">
        <v>15251</v>
      </c>
      <c r="H164" s="2">
        <f t="shared" si="0"/>
        <v>121148</v>
      </c>
      <c r="I164" s="2">
        <v>1412791</v>
      </c>
      <c r="J164" s="2">
        <f t="shared" si="1"/>
        <v>8.5750829386653793E-2</v>
      </c>
    </row>
    <row r="165" spans="1:10" ht="13" x14ac:dyDescent="0.15">
      <c r="A165" s="1" t="s">
        <v>503</v>
      </c>
      <c r="B165" s="1" t="s">
        <v>504</v>
      </c>
      <c r="C165" s="1" t="s">
        <v>505</v>
      </c>
      <c r="D165" s="1" t="s">
        <v>304</v>
      </c>
      <c r="E165" s="2">
        <v>2182</v>
      </c>
      <c r="F165" s="2">
        <v>42224</v>
      </c>
      <c r="G165" s="2">
        <v>8079</v>
      </c>
      <c r="H165" s="2">
        <f t="shared" si="0"/>
        <v>52485</v>
      </c>
      <c r="I165" s="2">
        <v>1605024</v>
      </c>
      <c r="J165" s="2">
        <f t="shared" si="1"/>
        <v>3.2700445600813449E-2</v>
      </c>
    </row>
    <row r="166" spans="1:10" ht="13" x14ac:dyDescent="0.15">
      <c r="A166" s="1" t="s">
        <v>506</v>
      </c>
      <c r="B166" s="1" t="s">
        <v>507</v>
      </c>
      <c r="C166" s="5" t="s">
        <v>508</v>
      </c>
      <c r="D166" s="1" t="s">
        <v>304</v>
      </c>
      <c r="E166" s="2">
        <v>15801</v>
      </c>
      <c r="F166" s="2">
        <v>42511</v>
      </c>
      <c r="G166" s="2">
        <v>15491</v>
      </c>
      <c r="H166" s="2">
        <f t="shared" si="0"/>
        <v>73803</v>
      </c>
      <c r="I166" s="2">
        <v>1681519</v>
      </c>
      <c r="J166" s="2">
        <f t="shared" si="1"/>
        <v>4.38906726596607E-2</v>
      </c>
    </row>
    <row r="167" spans="1:10" ht="13" x14ac:dyDescent="0.15">
      <c r="A167" s="1" t="s">
        <v>509</v>
      </c>
      <c r="B167" s="1" t="s">
        <v>510</v>
      </c>
      <c r="C167" s="5" t="s">
        <v>511</v>
      </c>
      <c r="D167" s="1" t="s">
        <v>304</v>
      </c>
      <c r="E167" s="2">
        <v>402</v>
      </c>
      <c r="F167" s="2">
        <v>17336</v>
      </c>
      <c r="G167" s="2">
        <v>1412</v>
      </c>
      <c r="H167" s="2">
        <f t="shared" si="0"/>
        <v>19150</v>
      </c>
      <c r="I167" s="2">
        <v>1502788</v>
      </c>
      <c r="J167" s="2">
        <f t="shared" si="1"/>
        <v>1.2742981711325882E-2</v>
      </c>
    </row>
    <row r="168" spans="1:10" ht="13" x14ac:dyDescent="0.15">
      <c r="A168" s="1" t="s">
        <v>512</v>
      </c>
      <c r="B168" s="1" t="s">
        <v>513</v>
      </c>
      <c r="C168" s="5" t="s">
        <v>514</v>
      </c>
      <c r="D168" s="1" t="s">
        <v>304</v>
      </c>
      <c r="E168" s="2">
        <v>638</v>
      </c>
      <c r="F168" s="2">
        <v>61676</v>
      </c>
      <c r="G168" s="2">
        <v>15501</v>
      </c>
      <c r="H168" s="2">
        <f t="shared" si="0"/>
        <v>77815</v>
      </c>
      <c r="I168" s="2">
        <v>1760042</v>
      </c>
      <c r="J168" s="2">
        <f t="shared" si="1"/>
        <v>4.4212013122414122E-2</v>
      </c>
    </row>
    <row r="169" spans="1:10" ht="13" x14ac:dyDescent="0.15">
      <c r="A169" s="1" t="s">
        <v>515</v>
      </c>
      <c r="B169" s="1" t="s">
        <v>516</v>
      </c>
      <c r="C169" s="5" t="s">
        <v>517</v>
      </c>
      <c r="D169" s="1" t="s">
        <v>304</v>
      </c>
      <c r="E169" s="2">
        <v>99</v>
      </c>
      <c r="F169" s="2">
        <v>14362</v>
      </c>
      <c r="G169" s="2">
        <v>3913</v>
      </c>
      <c r="H169" s="2">
        <f t="shared" si="0"/>
        <v>18374</v>
      </c>
      <c r="I169" s="2">
        <v>1413989</v>
      </c>
      <c r="J169" s="2">
        <f t="shared" si="1"/>
        <v>1.2994443379686828E-2</v>
      </c>
    </row>
    <row r="170" spans="1:10" ht="13" x14ac:dyDescent="0.15">
      <c r="A170" s="1" t="s">
        <v>518</v>
      </c>
      <c r="B170" s="1" t="s">
        <v>519</v>
      </c>
      <c r="C170" s="5" t="s">
        <v>520</v>
      </c>
      <c r="D170" s="1" t="s">
        <v>304</v>
      </c>
      <c r="E170" s="2">
        <v>6590</v>
      </c>
      <c r="F170" s="2">
        <v>103227</v>
      </c>
      <c r="G170" s="2">
        <v>8577</v>
      </c>
      <c r="H170" s="2">
        <f t="shared" si="0"/>
        <v>118394</v>
      </c>
      <c r="I170" s="2">
        <v>1697858</v>
      </c>
      <c r="J170" s="2">
        <f t="shared" si="1"/>
        <v>6.973139096437983E-2</v>
      </c>
    </row>
    <row r="171" spans="1:10" ht="13" x14ac:dyDescent="0.15">
      <c r="A171" s="1" t="s">
        <v>521</v>
      </c>
      <c r="B171" s="1" t="s">
        <v>522</v>
      </c>
      <c r="C171" s="5" t="s">
        <v>523</v>
      </c>
      <c r="D171" s="1" t="s">
        <v>304</v>
      </c>
      <c r="E171" s="2">
        <v>376</v>
      </c>
      <c r="F171" s="2">
        <v>45019</v>
      </c>
      <c r="G171" s="2">
        <v>12057</v>
      </c>
      <c r="H171" s="2">
        <f t="shared" si="0"/>
        <v>57452</v>
      </c>
      <c r="I171" s="2">
        <v>1590912</v>
      </c>
      <c r="J171" s="2">
        <f t="shared" si="1"/>
        <v>3.6112619679781154E-2</v>
      </c>
    </row>
    <row r="172" spans="1:10" ht="13" x14ac:dyDescent="0.15">
      <c r="A172" s="1" t="s">
        <v>524</v>
      </c>
      <c r="B172" s="1" t="s">
        <v>525</v>
      </c>
      <c r="C172" s="1" t="s">
        <v>526</v>
      </c>
      <c r="D172" s="1" t="s">
        <v>304</v>
      </c>
      <c r="E172" s="2">
        <v>115</v>
      </c>
      <c r="F172" s="2">
        <v>33068</v>
      </c>
      <c r="G172" s="2">
        <v>1276</v>
      </c>
      <c r="H172" s="2">
        <f t="shared" si="0"/>
        <v>34459</v>
      </c>
      <c r="I172" s="2">
        <v>1513814</v>
      </c>
      <c r="J172" s="2">
        <f t="shared" si="1"/>
        <v>2.2763034296155275E-2</v>
      </c>
    </row>
    <row r="173" spans="1:10" ht="13" x14ac:dyDescent="0.15">
      <c r="A173" s="1" t="s">
        <v>527</v>
      </c>
      <c r="B173" s="1" t="s">
        <v>528</v>
      </c>
      <c r="C173" s="5" t="s">
        <v>529</v>
      </c>
      <c r="D173" s="1" t="s">
        <v>304</v>
      </c>
      <c r="E173" s="2">
        <v>1425</v>
      </c>
      <c r="F173" s="2">
        <v>23090</v>
      </c>
      <c r="G173" s="2">
        <v>8897</v>
      </c>
      <c r="H173" s="2">
        <f t="shared" si="0"/>
        <v>33412</v>
      </c>
      <c r="I173" s="2">
        <v>1449382</v>
      </c>
      <c r="J173" s="2">
        <f t="shared" si="1"/>
        <v>2.3052583790884668E-2</v>
      </c>
    </row>
    <row r="174" spans="1:10" ht="13" x14ac:dyDescent="0.15">
      <c r="A174" s="1" t="s">
        <v>530</v>
      </c>
      <c r="B174" s="1" t="s">
        <v>531</v>
      </c>
      <c r="C174" s="5" t="s">
        <v>532</v>
      </c>
      <c r="D174" s="1" t="s">
        <v>304</v>
      </c>
      <c r="E174" s="2">
        <v>29051</v>
      </c>
      <c r="F174" s="2">
        <v>44510</v>
      </c>
      <c r="G174" s="2">
        <v>18844</v>
      </c>
      <c r="H174" s="2">
        <f t="shared" si="0"/>
        <v>92405</v>
      </c>
      <c r="I174" s="2">
        <v>1369302</v>
      </c>
      <c r="J174" s="2">
        <f t="shared" si="1"/>
        <v>6.7483287105401149E-2</v>
      </c>
    </row>
    <row r="175" spans="1:10" ht="13" x14ac:dyDescent="0.15">
      <c r="A175" s="1" t="s">
        <v>533</v>
      </c>
      <c r="B175" s="1" t="s">
        <v>534</v>
      </c>
      <c r="C175" s="5" t="s">
        <v>535</v>
      </c>
      <c r="D175" s="1" t="s">
        <v>304</v>
      </c>
      <c r="E175" s="2">
        <v>1449</v>
      </c>
      <c r="F175" s="2">
        <v>15444</v>
      </c>
      <c r="G175" s="2">
        <v>10956</v>
      </c>
      <c r="H175" s="2">
        <f t="shared" si="0"/>
        <v>27849</v>
      </c>
      <c r="I175" s="2">
        <v>1382928</v>
      </c>
      <c r="J175" s="2">
        <f t="shared" si="1"/>
        <v>2.0137707819929889E-2</v>
      </c>
    </row>
    <row r="176" spans="1:10" ht="13" x14ac:dyDescent="0.15">
      <c r="A176" s="1" t="s">
        <v>536</v>
      </c>
      <c r="B176" s="1" t="s">
        <v>537</v>
      </c>
      <c r="C176" s="1" t="s">
        <v>538</v>
      </c>
      <c r="D176" s="1" t="s">
        <v>304</v>
      </c>
      <c r="E176" s="2">
        <v>1405</v>
      </c>
      <c r="F176" s="2">
        <v>50797</v>
      </c>
      <c r="G176" s="2">
        <v>7133</v>
      </c>
      <c r="H176" s="2">
        <f t="shared" si="0"/>
        <v>59335</v>
      </c>
      <c r="I176" s="2">
        <v>1517992</v>
      </c>
      <c r="J176" s="2">
        <f t="shared" si="1"/>
        <v>3.9087821279690536E-2</v>
      </c>
    </row>
    <row r="177" spans="1:10" ht="13" x14ac:dyDescent="0.15">
      <c r="A177" s="1" t="s">
        <v>539</v>
      </c>
      <c r="B177" s="1" t="s">
        <v>540</v>
      </c>
      <c r="C177" s="1" t="s">
        <v>541</v>
      </c>
      <c r="D177" s="1" t="s">
        <v>304</v>
      </c>
      <c r="E177" s="2">
        <v>22889</v>
      </c>
      <c r="F177" s="2">
        <v>110884</v>
      </c>
      <c r="G177" s="2">
        <v>35912</v>
      </c>
      <c r="H177" s="2">
        <f t="shared" si="0"/>
        <v>169685</v>
      </c>
      <c r="I177" s="2">
        <v>1615775</v>
      </c>
      <c r="J177" s="2">
        <f t="shared" si="1"/>
        <v>0.10501771595673903</v>
      </c>
    </row>
    <row r="178" spans="1:10" ht="13" x14ac:dyDescent="0.15">
      <c r="A178" s="1" t="s">
        <v>542</v>
      </c>
      <c r="B178" s="1" t="s">
        <v>543</v>
      </c>
      <c r="C178" s="5" t="s">
        <v>544</v>
      </c>
      <c r="D178" s="1" t="s">
        <v>304</v>
      </c>
      <c r="E178" s="2">
        <v>10873</v>
      </c>
      <c r="F178" s="2">
        <v>40267</v>
      </c>
      <c r="G178" s="2">
        <v>24023</v>
      </c>
      <c r="H178" s="2">
        <f t="shared" si="0"/>
        <v>75163</v>
      </c>
      <c r="I178" s="2">
        <v>1559723</v>
      </c>
      <c r="J178" s="2">
        <f t="shared" si="1"/>
        <v>4.818996706466469E-2</v>
      </c>
    </row>
    <row r="179" spans="1:10" ht="13" x14ac:dyDescent="0.15">
      <c r="A179" s="1" t="s">
        <v>545</v>
      </c>
      <c r="B179" s="1" t="s">
        <v>546</v>
      </c>
      <c r="C179" s="5" t="s">
        <v>547</v>
      </c>
      <c r="D179" s="1" t="s">
        <v>304</v>
      </c>
      <c r="E179" s="2">
        <v>3545</v>
      </c>
      <c r="F179" s="2">
        <v>81990</v>
      </c>
      <c r="G179" s="2">
        <v>27505</v>
      </c>
      <c r="H179" s="2">
        <f t="shared" si="0"/>
        <v>113040</v>
      </c>
      <c r="I179" s="2">
        <v>1658086</v>
      </c>
      <c r="J179" s="2">
        <f t="shared" si="1"/>
        <v>6.8174992129479417E-2</v>
      </c>
    </row>
    <row r="180" spans="1:10" ht="13" x14ac:dyDescent="0.15">
      <c r="A180" s="1" t="s">
        <v>548</v>
      </c>
      <c r="B180" s="1" t="s">
        <v>549</v>
      </c>
      <c r="C180" s="5" t="s">
        <v>550</v>
      </c>
      <c r="D180" s="1" t="s">
        <v>304</v>
      </c>
      <c r="E180" s="2">
        <v>1857</v>
      </c>
      <c r="F180" s="2">
        <v>52314</v>
      </c>
      <c r="G180" s="2">
        <v>3810</v>
      </c>
      <c r="H180" s="2">
        <f t="shared" si="0"/>
        <v>57981</v>
      </c>
      <c r="I180" s="2">
        <v>1384316</v>
      </c>
      <c r="J180" s="2">
        <f t="shared" si="1"/>
        <v>4.1884222966432523E-2</v>
      </c>
    </row>
    <row r="181" spans="1:10" ht="13" x14ac:dyDescent="0.15">
      <c r="A181" s="1" t="s">
        <v>551</v>
      </c>
      <c r="B181" s="1" t="s">
        <v>552</v>
      </c>
      <c r="C181" s="5" t="s">
        <v>553</v>
      </c>
      <c r="D181" s="1" t="s">
        <v>304</v>
      </c>
      <c r="E181" s="2">
        <v>16558</v>
      </c>
      <c r="F181" s="2">
        <v>40539</v>
      </c>
      <c r="G181" s="2">
        <v>40108</v>
      </c>
      <c r="H181" s="2">
        <f t="shared" si="0"/>
        <v>97205</v>
      </c>
      <c r="I181" s="2">
        <v>1319833</v>
      </c>
      <c r="J181" s="2">
        <f t="shared" si="1"/>
        <v>7.3649469288917607E-2</v>
      </c>
    </row>
    <row r="182" spans="1:10" ht="13" x14ac:dyDescent="0.15">
      <c r="A182" s="1" t="s">
        <v>554</v>
      </c>
      <c r="B182" s="1" t="s">
        <v>555</v>
      </c>
      <c r="C182" s="5" t="s">
        <v>556</v>
      </c>
      <c r="D182" s="1" t="s">
        <v>304</v>
      </c>
      <c r="E182" s="2">
        <v>2363</v>
      </c>
      <c r="F182" s="2">
        <v>9408</v>
      </c>
      <c r="G182" s="2">
        <v>7693</v>
      </c>
      <c r="H182" s="2">
        <f t="shared" si="0"/>
        <v>19464</v>
      </c>
      <c r="I182" s="2">
        <v>1578363</v>
      </c>
      <c r="J182" s="2">
        <f t="shared" si="1"/>
        <v>1.2331763985851164E-2</v>
      </c>
    </row>
    <row r="183" spans="1:10" ht="13" x14ac:dyDescent="0.15">
      <c r="A183" s="1" t="s">
        <v>557</v>
      </c>
      <c r="B183" s="1" t="s">
        <v>558</v>
      </c>
      <c r="C183" s="5" t="s">
        <v>559</v>
      </c>
      <c r="D183" s="1" t="s">
        <v>304</v>
      </c>
      <c r="E183" s="2">
        <v>4122</v>
      </c>
      <c r="F183" s="2">
        <v>28408</v>
      </c>
      <c r="G183" s="2">
        <v>3691</v>
      </c>
      <c r="H183" s="2">
        <f t="shared" si="0"/>
        <v>36221</v>
      </c>
      <c r="I183" s="2">
        <v>1529713</v>
      </c>
      <c r="J183" s="2">
        <f t="shared" si="1"/>
        <v>2.3678297824493877E-2</v>
      </c>
    </row>
    <row r="184" spans="1:10" ht="13" x14ac:dyDescent="0.15">
      <c r="A184" s="1" t="s">
        <v>560</v>
      </c>
      <c r="B184" s="1" t="s">
        <v>561</v>
      </c>
      <c r="C184" s="5" t="s">
        <v>562</v>
      </c>
      <c r="D184" s="1" t="s">
        <v>304</v>
      </c>
      <c r="E184" s="2">
        <v>1900</v>
      </c>
      <c r="F184" s="2">
        <v>7588</v>
      </c>
      <c r="G184" s="2">
        <v>12723</v>
      </c>
      <c r="H184" s="2">
        <f t="shared" si="0"/>
        <v>22211</v>
      </c>
      <c r="I184" s="2">
        <v>1595587</v>
      </c>
      <c r="J184" s="2">
        <f t="shared" si="1"/>
        <v>1.3920268841498457E-2</v>
      </c>
    </row>
    <row r="185" spans="1:10" ht="13" x14ac:dyDescent="0.15">
      <c r="A185" s="1" t="s">
        <v>563</v>
      </c>
      <c r="B185" s="1" t="s">
        <v>564</v>
      </c>
      <c r="C185" s="5" t="s">
        <v>565</v>
      </c>
      <c r="D185" s="1" t="s">
        <v>304</v>
      </c>
      <c r="E185" s="2">
        <v>2445</v>
      </c>
      <c r="F185" s="2">
        <v>21230</v>
      </c>
      <c r="G185" s="2">
        <v>11700</v>
      </c>
      <c r="H185" s="2">
        <f t="shared" si="0"/>
        <v>35375</v>
      </c>
      <c r="I185" s="2">
        <v>1630601</v>
      </c>
      <c r="J185" s="2">
        <f t="shared" si="1"/>
        <v>2.1694454989295359E-2</v>
      </c>
    </row>
    <row r="186" spans="1:10" ht="13" x14ac:dyDescent="0.15">
      <c r="A186" s="1" t="s">
        <v>566</v>
      </c>
      <c r="B186" s="1" t="s">
        <v>567</v>
      </c>
      <c r="C186" s="5" t="s">
        <v>568</v>
      </c>
      <c r="D186" s="1" t="s">
        <v>304</v>
      </c>
      <c r="E186" s="2">
        <v>521</v>
      </c>
      <c r="F186" s="2">
        <v>43966</v>
      </c>
      <c r="G186" s="2">
        <v>13407</v>
      </c>
      <c r="H186" s="2">
        <f t="shared" si="0"/>
        <v>57894</v>
      </c>
      <c r="I186" s="2">
        <v>1488185</v>
      </c>
      <c r="J186" s="2">
        <f t="shared" si="1"/>
        <v>3.8902421405940794E-2</v>
      </c>
    </row>
    <row r="187" spans="1:10" ht="13" x14ac:dyDescent="0.15">
      <c r="A187" s="1" t="s">
        <v>569</v>
      </c>
      <c r="B187" s="1" t="s">
        <v>570</v>
      </c>
      <c r="C187" s="5" t="s">
        <v>571</v>
      </c>
      <c r="D187" s="1" t="s">
        <v>304</v>
      </c>
      <c r="E187" s="2">
        <v>20192</v>
      </c>
      <c r="F187" s="2">
        <v>123059</v>
      </c>
      <c r="G187" s="2">
        <v>28203</v>
      </c>
      <c r="H187" s="2">
        <f t="shared" si="0"/>
        <v>171454</v>
      </c>
      <c r="I187" s="2">
        <v>1667086</v>
      </c>
      <c r="J187" s="2">
        <f t="shared" si="1"/>
        <v>0.10284652381460825</v>
      </c>
    </row>
    <row r="188" spans="1:10" ht="13" x14ac:dyDescent="0.15">
      <c r="A188" s="1" t="s">
        <v>572</v>
      </c>
      <c r="B188" s="1" t="s">
        <v>573</v>
      </c>
      <c r="C188" s="5" t="s">
        <v>574</v>
      </c>
      <c r="D188" s="1" t="s">
        <v>304</v>
      </c>
      <c r="E188" s="2">
        <v>2853</v>
      </c>
      <c r="F188" s="2">
        <v>32237</v>
      </c>
      <c r="G188" s="2">
        <v>4321</v>
      </c>
      <c r="H188" s="2">
        <f t="shared" si="0"/>
        <v>39411</v>
      </c>
      <c r="I188" s="2">
        <v>1438111</v>
      </c>
      <c r="J188" s="2">
        <f t="shared" si="1"/>
        <v>2.7404699637232452E-2</v>
      </c>
    </row>
    <row r="189" spans="1:10" ht="13" x14ac:dyDescent="0.15">
      <c r="A189" s="1" t="s">
        <v>575</v>
      </c>
      <c r="B189" s="1" t="s">
        <v>576</v>
      </c>
      <c r="C189" s="5" t="s">
        <v>577</v>
      </c>
      <c r="D189" s="1" t="s">
        <v>304</v>
      </c>
      <c r="E189" s="2">
        <v>455</v>
      </c>
      <c r="F189" s="2">
        <v>20191</v>
      </c>
      <c r="G189" s="2">
        <v>106</v>
      </c>
      <c r="H189" s="2">
        <f t="shared" si="0"/>
        <v>20752</v>
      </c>
      <c r="I189" s="2">
        <v>1600758</v>
      </c>
      <c r="J189" s="2">
        <f t="shared" si="1"/>
        <v>1.296385837209622E-2</v>
      </c>
    </row>
    <row r="190" spans="1:10" ht="13" x14ac:dyDescent="0.15">
      <c r="A190" s="1" t="s">
        <v>578</v>
      </c>
      <c r="B190" s="1" t="s">
        <v>579</v>
      </c>
      <c r="C190" s="5" t="s">
        <v>580</v>
      </c>
      <c r="D190" s="1" t="s">
        <v>304</v>
      </c>
      <c r="E190" s="2">
        <v>1588</v>
      </c>
      <c r="F190" s="2">
        <v>75783</v>
      </c>
      <c r="G190" s="2">
        <v>6047</v>
      </c>
      <c r="H190" s="2">
        <f t="shared" si="0"/>
        <v>83418</v>
      </c>
      <c r="I190" s="2">
        <v>1552884</v>
      </c>
      <c r="J190" s="2">
        <f t="shared" si="1"/>
        <v>5.3718114166930689E-2</v>
      </c>
    </row>
    <row r="191" spans="1:10" ht="13" x14ac:dyDescent="0.15">
      <c r="A191" s="1" t="s">
        <v>581</v>
      </c>
      <c r="B191" s="1" t="s">
        <v>582</v>
      </c>
      <c r="C191" s="5" t="s">
        <v>583</v>
      </c>
      <c r="D191" s="1" t="s">
        <v>304</v>
      </c>
      <c r="E191" s="2">
        <v>6320</v>
      </c>
      <c r="F191" s="2">
        <v>92222</v>
      </c>
      <c r="G191" s="2">
        <v>40965</v>
      </c>
      <c r="H191" s="2">
        <f t="shared" si="0"/>
        <v>139507</v>
      </c>
      <c r="I191" s="2">
        <v>1414704</v>
      </c>
      <c r="J191" s="2">
        <f t="shared" si="1"/>
        <v>9.8612147841527276E-2</v>
      </c>
    </row>
    <row r="192" spans="1:10" ht="13" x14ac:dyDescent="0.15">
      <c r="A192" s="1" t="s">
        <v>584</v>
      </c>
      <c r="B192" s="1" t="s">
        <v>585</v>
      </c>
      <c r="C192" s="1" t="s">
        <v>586</v>
      </c>
      <c r="D192" s="1" t="s">
        <v>304</v>
      </c>
      <c r="E192" s="2">
        <v>2073</v>
      </c>
      <c r="F192" s="2">
        <v>17075</v>
      </c>
      <c r="G192" s="2">
        <v>5844</v>
      </c>
      <c r="H192" s="2">
        <f t="shared" si="0"/>
        <v>24992</v>
      </c>
      <c r="I192" s="2">
        <v>1374894</v>
      </c>
      <c r="J192" s="2">
        <f t="shared" si="1"/>
        <v>1.8177401312392084E-2</v>
      </c>
    </row>
    <row r="193" spans="1:10" ht="13" x14ac:dyDescent="0.15">
      <c r="A193" s="1" t="s">
        <v>587</v>
      </c>
      <c r="B193" s="1" t="s">
        <v>588</v>
      </c>
      <c r="C193" s="5" t="s">
        <v>589</v>
      </c>
      <c r="D193" s="1" t="s">
        <v>304</v>
      </c>
      <c r="E193" s="2">
        <v>7110</v>
      </c>
      <c r="F193" s="2">
        <v>19290</v>
      </c>
      <c r="G193" s="2">
        <v>406</v>
      </c>
      <c r="H193" s="2">
        <f t="shared" si="0"/>
        <v>26806</v>
      </c>
      <c r="I193" s="2">
        <v>1421246</v>
      </c>
      <c r="J193" s="2">
        <f t="shared" si="1"/>
        <v>1.8860914999936675E-2</v>
      </c>
    </row>
    <row r="194" spans="1:10" ht="15" x14ac:dyDescent="0.2">
      <c r="A194" s="3" t="s">
        <v>590</v>
      </c>
      <c r="B194" s="1" t="s">
        <v>591</v>
      </c>
      <c r="C194" s="5" t="s">
        <v>592</v>
      </c>
      <c r="D194" s="1" t="s">
        <v>304</v>
      </c>
      <c r="E194" s="2">
        <v>7874</v>
      </c>
      <c r="F194" s="2">
        <v>18723</v>
      </c>
      <c r="G194" s="2">
        <v>21452</v>
      </c>
      <c r="H194" s="2">
        <f t="shared" si="0"/>
        <v>48049</v>
      </c>
      <c r="I194" s="2">
        <v>1588525</v>
      </c>
      <c r="J194" s="2">
        <f t="shared" si="1"/>
        <v>3.0247556695676806E-2</v>
      </c>
    </row>
    <row r="195" spans="1:10" ht="15" x14ac:dyDescent="0.2">
      <c r="A195" s="3" t="s">
        <v>593</v>
      </c>
      <c r="B195" s="1" t="s">
        <v>594</v>
      </c>
      <c r="C195" s="1" t="s">
        <v>595</v>
      </c>
      <c r="D195" s="1" t="s">
        <v>304</v>
      </c>
      <c r="E195" s="2">
        <v>15527</v>
      </c>
      <c r="F195" s="2">
        <v>112429</v>
      </c>
      <c r="G195" s="2">
        <v>17168</v>
      </c>
      <c r="H195" s="2">
        <f t="shared" si="0"/>
        <v>145124</v>
      </c>
      <c r="I195" s="2">
        <v>1604028</v>
      </c>
      <c r="J195" s="2">
        <f t="shared" si="1"/>
        <v>9.0474729867558418E-2</v>
      </c>
    </row>
    <row r="196" spans="1:10" ht="13" x14ac:dyDescent="0.15">
      <c r="A196" s="1" t="s">
        <v>596</v>
      </c>
      <c r="B196" s="1" t="s">
        <v>597</v>
      </c>
      <c r="C196" s="5" t="s">
        <v>598</v>
      </c>
      <c r="D196" s="1" t="s">
        <v>304</v>
      </c>
      <c r="E196" s="2">
        <v>6</v>
      </c>
      <c r="F196" s="2">
        <v>107220</v>
      </c>
      <c r="G196" s="2">
        <v>6630</v>
      </c>
      <c r="H196" s="2">
        <f t="shared" si="0"/>
        <v>113856</v>
      </c>
      <c r="I196" s="2">
        <v>1514492</v>
      </c>
      <c r="J196" s="2">
        <f t="shared" si="1"/>
        <v>7.5177683342005114E-2</v>
      </c>
    </row>
    <row r="197" spans="1:10" ht="13" x14ac:dyDescent="0.15">
      <c r="A197" s="1" t="s">
        <v>599</v>
      </c>
      <c r="B197" s="1" t="s">
        <v>600</v>
      </c>
      <c r="C197" s="5" t="s">
        <v>601</v>
      </c>
      <c r="D197" s="1" t="s">
        <v>304</v>
      </c>
      <c r="E197" s="2">
        <v>275</v>
      </c>
      <c r="F197" s="2">
        <v>21890</v>
      </c>
      <c r="G197" s="2">
        <v>10841</v>
      </c>
      <c r="H197" s="2">
        <f t="shared" si="0"/>
        <v>33006</v>
      </c>
      <c r="I197" s="2">
        <v>1585517</v>
      </c>
      <c r="J197" s="2">
        <f t="shared" si="1"/>
        <v>2.0817184552420442E-2</v>
      </c>
    </row>
    <row r="198" spans="1:10" ht="13" x14ac:dyDescent="0.15">
      <c r="A198" s="1" t="s">
        <v>602</v>
      </c>
      <c r="B198" s="1" t="s">
        <v>603</v>
      </c>
      <c r="C198" s="5" t="s">
        <v>604</v>
      </c>
      <c r="D198" s="1" t="s">
        <v>304</v>
      </c>
      <c r="E198" s="2">
        <v>2705</v>
      </c>
      <c r="F198" s="2">
        <v>15226</v>
      </c>
      <c r="G198" s="2">
        <v>6936</v>
      </c>
      <c r="H198" s="2">
        <f t="shared" si="0"/>
        <v>24867</v>
      </c>
      <c r="I198" s="2">
        <v>1304522</v>
      </c>
      <c r="J198" s="2">
        <f t="shared" si="1"/>
        <v>1.9062154566960157E-2</v>
      </c>
    </row>
    <row r="199" spans="1:10" ht="13" x14ac:dyDescent="0.15">
      <c r="A199" s="1" t="s">
        <v>605</v>
      </c>
      <c r="B199" s="1" t="s">
        <v>606</v>
      </c>
      <c r="C199" s="5" t="s">
        <v>607</v>
      </c>
      <c r="D199" s="1" t="s">
        <v>304</v>
      </c>
      <c r="E199" s="2">
        <v>701</v>
      </c>
      <c r="F199" s="2">
        <v>24722</v>
      </c>
      <c r="G199" s="2">
        <v>5219</v>
      </c>
      <c r="H199" s="2">
        <f t="shared" si="0"/>
        <v>30642</v>
      </c>
      <c r="I199" s="2">
        <v>1490182</v>
      </c>
      <c r="J199" s="2">
        <f t="shared" si="1"/>
        <v>2.0562588999196073E-2</v>
      </c>
    </row>
    <row r="200" spans="1:10" ht="13" x14ac:dyDescent="0.15">
      <c r="A200" s="1" t="s">
        <v>608</v>
      </c>
      <c r="B200" s="1" t="s">
        <v>609</v>
      </c>
      <c r="C200" s="5" t="s">
        <v>610</v>
      </c>
      <c r="D200" s="1" t="s">
        <v>304</v>
      </c>
      <c r="E200" s="2">
        <v>309</v>
      </c>
      <c r="F200" s="2">
        <v>37055</v>
      </c>
      <c r="G200" s="2">
        <v>2246</v>
      </c>
      <c r="H200" s="2">
        <f t="shared" si="0"/>
        <v>39610</v>
      </c>
      <c r="I200" s="2">
        <v>1384029</v>
      </c>
      <c r="J200" s="2">
        <f t="shared" si="1"/>
        <v>2.8619342513776808E-2</v>
      </c>
    </row>
    <row r="201" spans="1:10" ht="13" x14ac:dyDescent="0.15">
      <c r="A201" s="1" t="s">
        <v>611</v>
      </c>
      <c r="B201" s="1" t="s">
        <v>612</v>
      </c>
      <c r="C201" s="1" t="s">
        <v>613</v>
      </c>
      <c r="D201" s="1" t="s">
        <v>304</v>
      </c>
      <c r="E201" s="2">
        <v>16504</v>
      </c>
      <c r="F201" s="2">
        <v>50391</v>
      </c>
      <c r="G201" s="2">
        <v>20640</v>
      </c>
      <c r="H201" s="2">
        <f t="shared" si="0"/>
        <v>87535</v>
      </c>
      <c r="I201" s="2">
        <v>1538991</v>
      </c>
      <c r="J201" s="2">
        <f t="shared" si="1"/>
        <v>5.6878175375944369E-2</v>
      </c>
    </row>
    <row r="202" spans="1:10" ht="13" x14ac:dyDescent="0.15">
      <c r="A202" s="1" t="s">
        <v>614</v>
      </c>
      <c r="B202" s="1" t="s">
        <v>615</v>
      </c>
      <c r="C202" s="1" t="s">
        <v>616</v>
      </c>
      <c r="D202" s="1" t="s">
        <v>304</v>
      </c>
      <c r="E202" s="2">
        <v>160</v>
      </c>
      <c r="F202" s="2">
        <v>20734</v>
      </c>
      <c r="G202" s="2">
        <v>1035</v>
      </c>
      <c r="H202" s="2">
        <f t="shared" si="0"/>
        <v>21929</v>
      </c>
      <c r="I202" s="2">
        <v>1422551</v>
      </c>
      <c r="J202" s="2">
        <f t="shared" si="1"/>
        <v>1.5415264549390496E-2</v>
      </c>
    </row>
    <row r="203" spans="1:10" ht="13" x14ac:dyDescent="0.15">
      <c r="A203" s="1" t="s">
        <v>617</v>
      </c>
      <c r="B203" s="1" t="s">
        <v>618</v>
      </c>
      <c r="C203" s="5" t="s">
        <v>619</v>
      </c>
      <c r="D203" s="1" t="s">
        <v>304</v>
      </c>
      <c r="E203" s="2">
        <v>7435</v>
      </c>
      <c r="F203" s="2">
        <v>54326</v>
      </c>
      <c r="G203" s="2">
        <v>29128</v>
      </c>
      <c r="H203" s="2">
        <f t="shared" si="0"/>
        <v>90889</v>
      </c>
      <c r="I203" s="2">
        <v>1343369</v>
      </c>
      <c r="J203" s="2">
        <f t="shared" si="1"/>
        <v>6.7657508845298642E-2</v>
      </c>
    </row>
    <row r="204" spans="1:10" ht="13" x14ac:dyDescent="0.15">
      <c r="A204" s="1" t="s">
        <v>620</v>
      </c>
      <c r="B204" s="1" t="s">
        <v>621</v>
      </c>
      <c r="C204" s="5" t="s">
        <v>622</v>
      </c>
      <c r="D204" s="1" t="s">
        <v>304</v>
      </c>
      <c r="E204" s="2">
        <v>6566</v>
      </c>
      <c r="F204" s="2">
        <v>60974</v>
      </c>
      <c r="G204" s="2">
        <v>35561</v>
      </c>
      <c r="H204" s="2">
        <f t="shared" si="0"/>
        <v>103101</v>
      </c>
      <c r="I204" s="2">
        <v>1657811</v>
      </c>
      <c r="J204" s="2">
        <f t="shared" si="1"/>
        <v>6.2191045903302607E-2</v>
      </c>
    </row>
    <row r="205" spans="1:10" ht="13" x14ac:dyDescent="0.15">
      <c r="A205" s="1" t="s">
        <v>623</v>
      </c>
      <c r="B205" s="1" t="s">
        <v>624</v>
      </c>
      <c r="C205" s="5" t="s">
        <v>625</v>
      </c>
      <c r="D205" s="1" t="s">
        <v>304</v>
      </c>
      <c r="E205" s="2">
        <v>4729</v>
      </c>
      <c r="F205" s="2">
        <v>26686</v>
      </c>
      <c r="G205" s="2">
        <v>12755</v>
      </c>
      <c r="H205" s="2">
        <f t="shared" si="0"/>
        <v>44170</v>
      </c>
      <c r="I205" s="2">
        <v>1269625</v>
      </c>
      <c r="J205" s="2">
        <f t="shared" si="1"/>
        <v>3.4789800137835974E-2</v>
      </c>
    </row>
    <row r="206" spans="1:10" ht="13" x14ac:dyDescent="0.15">
      <c r="A206" s="1" t="s">
        <v>626</v>
      </c>
      <c r="B206" s="1" t="s">
        <v>627</v>
      </c>
      <c r="C206" s="5" t="s">
        <v>628</v>
      </c>
      <c r="D206" s="1" t="s">
        <v>304</v>
      </c>
      <c r="E206" s="2">
        <v>9041</v>
      </c>
      <c r="F206" s="2">
        <v>30217</v>
      </c>
      <c r="G206" s="2">
        <v>40254</v>
      </c>
      <c r="H206" s="2">
        <f t="shared" si="0"/>
        <v>79512</v>
      </c>
      <c r="I206" s="2">
        <v>1529232</v>
      </c>
      <c r="J206" s="2">
        <f t="shared" si="1"/>
        <v>5.1994726764807431E-2</v>
      </c>
    </row>
    <row r="207" spans="1:10" ht="13" x14ac:dyDescent="0.15">
      <c r="A207" s="1" t="s">
        <v>629</v>
      </c>
      <c r="B207" s="1" t="s">
        <v>630</v>
      </c>
      <c r="C207" s="5" t="s">
        <v>631</v>
      </c>
      <c r="D207" s="1" t="s">
        <v>304</v>
      </c>
      <c r="E207" s="2">
        <v>8519</v>
      </c>
      <c r="F207" s="2">
        <v>14785</v>
      </c>
      <c r="G207" s="2">
        <v>11493</v>
      </c>
      <c r="H207" s="2">
        <f t="shared" si="0"/>
        <v>34797</v>
      </c>
      <c r="I207" s="2">
        <v>1323401</v>
      </c>
      <c r="J207" s="2">
        <f t="shared" si="1"/>
        <v>2.6293617731889277E-2</v>
      </c>
    </row>
    <row r="208" spans="1:10" ht="13" x14ac:dyDescent="0.15">
      <c r="A208" s="1" t="s">
        <v>632</v>
      </c>
      <c r="B208" s="1" t="s">
        <v>633</v>
      </c>
      <c r="C208" s="5" t="s">
        <v>634</v>
      </c>
      <c r="D208" s="1" t="s">
        <v>304</v>
      </c>
      <c r="E208" s="2">
        <v>5988</v>
      </c>
      <c r="F208" s="2">
        <v>26319</v>
      </c>
      <c r="G208" s="2">
        <v>46087</v>
      </c>
      <c r="H208" s="2">
        <f t="shared" si="0"/>
        <v>78394</v>
      </c>
      <c r="I208" s="2">
        <v>1418285</v>
      </c>
      <c r="J208" s="2">
        <f t="shared" si="1"/>
        <v>5.5273798989624791E-2</v>
      </c>
    </row>
    <row r="209" spans="1:10" ht="13" x14ac:dyDescent="0.15">
      <c r="A209" s="1" t="s">
        <v>635</v>
      </c>
      <c r="B209" s="1" t="s">
        <v>636</v>
      </c>
      <c r="C209" s="5" t="s">
        <v>637</v>
      </c>
      <c r="D209" s="1" t="s">
        <v>304</v>
      </c>
      <c r="E209" s="2">
        <v>6981</v>
      </c>
      <c r="F209" s="2">
        <v>42758</v>
      </c>
      <c r="G209" s="2">
        <v>24927</v>
      </c>
      <c r="H209" s="2">
        <f t="shared" si="0"/>
        <v>74666</v>
      </c>
      <c r="I209" s="2">
        <v>1370144</v>
      </c>
      <c r="J209" s="2">
        <f t="shared" si="1"/>
        <v>5.4495001985192797E-2</v>
      </c>
    </row>
    <row r="210" spans="1:10" ht="13" x14ac:dyDescent="0.15">
      <c r="A210" s="1" t="s">
        <v>638</v>
      </c>
      <c r="B210" s="1" t="s">
        <v>639</v>
      </c>
      <c r="C210" s="5" t="s">
        <v>640</v>
      </c>
      <c r="D210" s="1" t="s">
        <v>304</v>
      </c>
      <c r="E210" s="2">
        <v>72814</v>
      </c>
      <c r="F210" s="2">
        <v>28402</v>
      </c>
      <c r="G210" s="2">
        <v>1631</v>
      </c>
      <c r="H210" s="2">
        <f t="shared" si="0"/>
        <v>102847</v>
      </c>
      <c r="I210" s="2">
        <v>1348843</v>
      </c>
      <c r="J210" s="2">
        <f t="shared" si="1"/>
        <v>7.6248310589149368E-2</v>
      </c>
    </row>
    <row r="211" spans="1:10" ht="13" x14ac:dyDescent="0.15">
      <c r="A211" s="1" t="s">
        <v>641</v>
      </c>
      <c r="B211" s="1" t="s">
        <v>642</v>
      </c>
      <c r="C211" s="5" t="s">
        <v>643</v>
      </c>
      <c r="D211" s="1" t="s">
        <v>304</v>
      </c>
      <c r="E211" s="2">
        <v>1317</v>
      </c>
      <c r="F211" s="2">
        <v>71407</v>
      </c>
      <c r="G211" s="2">
        <v>15058</v>
      </c>
      <c r="H211" s="2">
        <f t="shared" si="0"/>
        <v>87782</v>
      </c>
      <c r="I211" s="2">
        <v>1632828</v>
      </c>
      <c r="J211" s="2">
        <f t="shared" si="1"/>
        <v>5.37607145394371E-2</v>
      </c>
    </row>
    <row r="212" spans="1:10" ht="13" x14ac:dyDescent="0.15">
      <c r="A212" s="1" t="s">
        <v>644</v>
      </c>
      <c r="B212" s="1" t="s">
        <v>645</v>
      </c>
      <c r="C212" s="5" t="s">
        <v>646</v>
      </c>
      <c r="D212" s="1" t="s">
        <v>304</v>
      </c>
      <c r="E212" s="2">
        <v>5880</v>
      </c>
      <c r="F212" s="2">
        <v>177959</v>
      </c>
      <c r="G212" s="2">
        <v>13794</v>
      </c>
      <c r="H212" s="2">
        <f t="shared" si="0"/>
        <v>197633</v>
      </c>
      <c r="I212" s="2">
        <v>1436885</v>
      </c>
      <c r="J212" s="2">
        <f t="shared" si="1"/>
        <v>0.13754267042943591</v>
      </c>
    </row>
    <row r="213" spans="1:10" ht="13" x14ac:dyDescent="0.15">
      <c r="A213" s="1" t="s">
        <v>647</v>
      </c>
      <c r="B213" s="1" t="s">
        <v>648</v>
      </c>
      <c r="C213" s="5" t="s">
        <v>649</v>
      </c>
      <c r="D213" s="1" t="s">
        <v>304</v>
      </c>
      <c r="E213" s="2">
        <v>21941</v>
      </c>
      <c r="F213" s="2">
        <v>24966</v>
      </c>
      <c r="G213" s="2">
        <v>31176</v>
      </c>
      <c r="H213" s="2">
        <f t="shared" si="0"/>
        <v>78083</v>
      </c>
      <c r="I213" s="2">
        <v>1342776</v>
      </c>
      <c r="J213" s="2">
        <f t="shared" si="1"/>
        <v>5.8150428664200136E-2</v>
      </c>
    </row>
    <row r="214" spans="1:10" ht="13" x14ac:dyDescent="0.15">
      <c r="A214" s="6" t="s">
        <v>650</v>
      </c>
      <c r="B214" s="1" t="s">
        <v>651</v>
      </c>
      <c r="C214" s="1" t="s">
        <v>652</v>
      </c>
      <c r="D214" s="1" t="s">
        <v>304</v>
      </c>
      <c r="E214" s="2">
        <v>103</v>
      </c>
      <c r="F214" s="2">
        <v>9591</v>
      </c>
      <c r="G214" s="2">
        <v>8198</v>
      </c>
      <c r="H214" s="2">
        <f t="shared" si="0"/>
        <v>17892</v>
      </c>
      <c r="I214" s="2">
        <v>1501590</v>
      </c>
      <c r="J214" s="2">
        <f t="shared" si="1"/>
        <v>1.1915369708109405E-2</v>
      </c>
    </row>
    <row r="215" spans="1:10" ht="13" x14ac:dyDescent="0.15">
      <c r="A215" s="1" t="s">
        <v>653</v>
      </c>
      <c r="B215" s="1" t="s">
        <v>654</v>
      </c>
      <c r="C215" s="5" t="s">
        <v>655</v>
      </c>
      <c r="D215" s="1" t="s">
        <v>304</v>
      </c>
      <c r="E215" s="2">
        <v>362</v>
      </c>
      <c r="F215" s="2">
        <v>32015</v>
      </c>
      <c r="G215" s="2">
        <v>2477</v>
      </c>
      <c r="H215" s="2">
        <f t="shared" si="0"/>
        <v>34854</v>
      </c>
      <c r="I215" s="2">
        <v>1705228</v>
      </c>
      <c r="J215" s="2">
        <f t="shared" si="1"/>
        <v>2.0439495480956211E-2</v>
      </c>
    </row>
    <row r="216" spans="1:10" ht="13" x14ac:dyDescent="0.15">
      <c r="A216" s="1" t="s">
        <v>656</v>
      </c>
      <c r="B216" s="1" t="s">
        <v>657</v>
      </c>
      <c r="C216" s="5" t="s">
        <v>658</v>
      </c>
      <c r="D216" s="1" t="s">
        <v>304</v>
      </c>
      <c r="E216" s="2">
        <v>920</v>
      </c>
      <c r="F216" s="2">
        <v>15696</v>
      </c>
      <c r="G216" s="2">
        <v>13986</v>
      </c>
      <c r="H216" s="2">
        <f t="shared" si="0"/>
        <v>30602</v>
      </c>
      <c r="I216" s="2">
        <v>1357000</v>
      </c>
      <c r="J216" s="2">
        <f t="shared" si="1"/>
        <v>2.2551215917464996E-2</v>
      </c>
    </row>
    <row r="217" spans="1:10" ht="13" x14ac:dyDescent="0.15">
      <c r="A217" s="1" t="s">
        <v>659</v>
      </c>
      <c r="B217" s="1" t="s">
        <v>660</v>
      </c>
      <c r="C217" s="5" t="s">
        <v>661</v>
      </c>
      <c r="D217" s="1" t="s">
        <v>304</v>
      </c>
      <c r="E217" s="2">
        <v>943</v>
      </c>
      <c r="F217" s="2">
        <v>33547</v>
      </c>
      <c r="G217" s="2">
        <v>3603</v>
      </c>
      <c r="H217" s="2">
        <f t="shared" si="0"/>
        <v>38093</v>
      </c>
      <c r="I217" s="2">
        <v>1572190</v>
      </c>
      <c r="J217" s="2">
        <f t="shared" si="1"/>
        <v>2.422925982228611E-2</v>
      </c>
    </row>
    <row r="218" spans="1:10" ht="13" x14ac:dyDescent="0.15">
      <c r="A218" s="1" t="s">
        <v>662</v>
      </c>
      <c r="B218" s="1" t="s">
        <v>663</v>
      </c>
      <c r="C218" s="5" t="s">
        <v>664</v>
      </c>
      <c r="D218" s="1" t="s">
        <v>304</v>
      </c>
      <c r="E218" s="2">
        <v>3475</v>
      </c>
      <c r="F218" s="2">
        <v>13261</v>
      </c>
      <c r="G218" s="2">
        <v>5997</v>
      </c>
      <c r="H218" s="2">
        <f t="shared" si="0"/>
        <v>22733</v>
      </c>
      <c r="I218" s="2">
        <v>1412550</v>
      </c>
      <c r="J218" s="2">
        <f t="shared" si="1"/>
        <v>1.6093589607447525E-2</v>
      </c>
    </row>
    <row r="219" spans="1:10" ht="13" x14ac:dyDescent="0.15">
      <c r="A219" s="1" t="s">
        <v>665</v>
      </c>
      <c r="B219" s="1" t="s">
        <v>666</v>
      </c>
      <c r="C219" s="5" t="s">
        <v>667</v>
      </c>
      <c r="D219" s="1" t="s">
        <v>304</v>
      </c>
      <c r="E219" s="2">
        <v>15229</v>
      </c>
      <c r="F219" s="2">
        <v>27675</v>
      </c>
      <c r="G219" s="2">
        <v>10532</v>
      </c>
      <c r="H219" s="2">
        <f t="shared" si="0"/>
        <v>53436</v>
      </c>
      <c r="I219" s="2">
        <v>1618136</v>
      </c>
      <c r="J219" s="2">
        <f t="shared" si="1"/>
        <v>3.3023182229429418E-2</v>
      </c>
    </row>
    <row r="220" spans="1:10" ht="13" x14ac:dyDescent="0.15">
      <c r="A220" s="1" t="s">
        <v>668</v>
      </c>
      <c r="B220" s="1" t="s">
        <v>669</v>
      </c>
      <c r="C220" s="5" t="s">
        <v>670</v>
      </c>
      <c r="D220" s="1" t="s">
        <v>304</v>
      </c>
      <c r="E220" s="2">
        <v>7953</v>
      </c>
      <c r="F220" s="2">
        <v>65764</v>
      </c>
      <c r="G220" s="2">
        <v>15618</v>
      </c>
      <c r="H220" s="2">
        <f t="shared" si="0"/>
        <v>89335</v>
      </c>
      <c r="I220" s="2">
        <v>1408493</v>
      </c>
      <c r="J220" s="2">
        <f t="shared" si="1"/>
        <v>6.3425945318862073E-2</v>
      </c>
    </row>
    <row r="221" spans="1:10" ht="13" x14ac:dyDescent="0.15">
      <c r="A221" s="1" t="s">
        <v>671</v>
      </c>
      <c r="B221" s="1" t="s">
        <v>672</v>
      </c>
      <c r="C221" s="5" t="s">
        <v>673</v>
      </c>
      <c r="D221" s="1" t="s">
        <v>304</v>
      </c>
      <c r="E221" s="2">
        <v>22750</v>
      </c>
      <c r="F221" s="2">
        <v>39176</v>
      </c>
      <c r="G221" s="2">
        <v>10918</v>
      </c>
      <c r="H221" s="2">
        <f t="shared" si="0"/>
        <v>72844</v>
      </c>
      <c r="I221" s="2">
        <v>1543431</v>
      </c>
      <c r="J221" s="2">
        <f t="shared" si="1"/>
        <v>4.7196149358150773E-2</v>
      </c>
    </row>
    <row r="222" spans="1:10" ht="13" x14ac:dyDescent="0.15">
      <c r="A222" s="1" t="s">
        <v>674</v>
      </c>
      <c r="B222" s="1" t="s">
        <v>675</v>
      </c>
      <c r="C222" s="5" t="s">
        <v>676</v>
      </c>
      <c r="D222" s="1" t="s">
        <v>304</v>
      </c>
      <c r="E222" s="2">
        <v>3629</v>
      </c>
      <c r="F222" s="2">
        <v>4729</v>
      </c>
      <c r="G222" s="2">
        <v>11118</v>
      </c>
      <c r="H222" s="2">
        <f t="shared" si="0"/>
        <v>19476</v>
      </c>
      <c r="I222" s="2">
        <v>1234346</v>
      </c>
      <c r="J222" s="2">
        <f t="shared" si="1"/>
        <v>1.5778396008898639E-2</v>
      </c>
    </row>
    <row r="223" spans="1:10" ht="13" x14ac:dyDescent="0.15">
      <c r="A223" s="1" t="s">
        <v>677</v>
      </c>
      <c r="B223" s="1" t="s">
        <v>678</v>
      </c>
      <c r="C223" s="5" t="s">
        <v>679</v>
      </c>
      <c r="D223" s="1" t="s">
        <v>304</v>
      </c>
      <c r="E223" s="2">
        <v>16966</v>
      </c>
      <c r="F223" s="2">
        <v>116633</v>
      </c>
      <c r="G223" s="2">
        <v>50097</v>
      </c>
      <c r="H223" s="2">
        <f t="shared" si="0"/>
        <v>183696</v>
      </c>
      <c r="I223" s="2">
        <v>1502828</v>
      </c>
      <c r="J223" s="2">
        <f t="shared" si="1"/>
        <v>0.12223354901558928</v>
      </c>
    </row>
    <row r="224" spans="1:10" ht="13" x14ac:dyDescent="0.15">
      <c r="A224" s="1" t="s">
        <v>680</v>
      </c>
      <c r="B224" s="1" t="s">
        <v>681</v>
      </c>
      <c r="C224" s="1" t="s">
        <v>682</v>
      </c>
      <c r="D224" s="1" t="s">
        <v>304</v>
      </c>
      <c r="E224" s="2">
        <v>2063</v>
      </c>
      <c r="F224" s="2">
        <v>10911</v>
      </c>
      <c r="G224" s="2">
        <v>3611</v>
      </c>
      <c r="H224" s="2">
        <f t="shared" si="0"/>
        <v>16585</v>
      </c>
      <c r="I224" s="2">
        <v>1382192</v>
      </c>
      <c r="J224" s="2">
        <f t="shared" si="1"/>
        <v>1.1999056571011841E-2</v>
      </c>
    </row>
    <row r="225" spans="1:10" ht="13" x14ac:dyDescent="0.15">
      <c r="A225" s="1" t="s">
        <v>683</v>
      </c>
      <c r="B225" s="1" t="s">
        <v>684</v>
      </c>
      <c r="C225" s="5" t="s">
        <v>685</v>
      </c>
      <c r="D225" s="1" t="s">
        <v>304</v>
      </c>
      <c r="E225" s="2">
        <v>84</v>
      </c>
      <c r="F225" s="2">
        <v>16530</v>
      </c>
      <c r="G225" s="2">
        <v>442</v>
      </c>
      <c r="H225" s="2">
        <f t="shared" si="0"/>
        <v>17056</v>
      </c>
      <c r="I225" s="2">
        <v>1567958</v>
      </c>
      <c r="J225" s="2">
        <f t="shared" si="1"/>
        <v>1.0877842391186499E-2</v>
      </c>
    </row>
    <row r="226" spans="1:10" ht="13" x14ac:dyDescent="0.15">
      <c r="A226" s="1" t="s">
        <v>686</v>
      </c>
      <c r="B226" s="1" t="s">
        <v>687</v>
      </c>
      <c r="C226" s="5" t="s">
        <v>688</v>
      </c>
      <c r="D226" s="1" t="s">
        <v>304</v>
      </c>
      <c r="E226" s="2">
        <v>35661</v>
      </c>
      <c r="F226" s="2">
        <v>14747</v>
      </c>
      <c r="G226" s="2">
        <v>32372</v>
      </c>
      <c r="H226" s="2">
        <f t="shared" si="0"/>
        <v>82780</v>
      </c>
      <c r="I226" s="2">
        <v>1587113</v>
      </c>
      <c r="J226" s="2">
        <f t="shared" si="1"/>
        <v>5.2157596844081049E-2</v>
      </c>
    </row>
    <row r="227" spans="1:10" ht="13" x14ac:dyDescent="0.15">
      <c r="A227" s="1" t="s">
        <v>689</v>
      </c>
      <c r="B227" s="1" t="s">
        <v>690</v>
      </c>
      <c r="C227" s="5" t="s">
        <v>691</v>
      </c>
      <c r="D227" s="1" t="s">
        <v>304</v>
      </c>
      <c r="E227" s="2">
        <v>8617</v>
      </c>
      <c r="F227" s="2">
        <v>66240</v>
      </c>
      <c r="G227" s="2">
        <v>27487</v>
      </c>
      <c r="H227" s="2">
        <f t="shared" si="0"/>
        <v>102344</v>
      </c>
      <c r="I227" s="2">
        <v>1547530</v>
      </c>
      <c r="J227" s="2">
        <f t="shared" si="1"/>
        <v>6.6133774466407766E-2</v>
      </c>
    </row>
    <row r="228" spans="1:10" ht="13" x14ac:dyDescent="0.15">
      <c r="A228" s="1" t="s">
        <v>692</v>
      </c>
      <c r="B228" s="1" t="s">
        <v>693</v>
      </c>
      <c r="C228" s="5" t="s">
        <v>694</v>
      </c>
      <c r="D228" s="1" t="s">
        <v>304</v>
      </c>
      <c r="E228" s="2">
        <v>46351</v>
      </c>
      <c r="F228" s="2">
        <v>52947</v>
      </c>
      <c r="G228" s="2">
        <v>60292</v>
      </c>
      <c r="H228" s="2">
        <f t="shared" si="0"/>
        <v>159590</v>
      </c>
      <c r="I228" s="2">
        <v>1415377</v>
      </c>
      <c r="J228" s="2">
        <f t="shared" si="1"/>
        <v>0.11275441101558101</v>
      </c>
    </row>
    <row r="229" spans="1:10" ht="13" x14ac:dyDescent="0.15">
      <c r="A229" s="1" t="s">
        <v>695</v>
      </c>
      <c r="B229" s="1" t="s">
        <v>696</v>
      </c>
      <c r="C229" s="5" t="s">
        <v>697</v>
      </c>
      <c r="D229" s="1" t="s">
        <v>304</v>
      </c>
      <c r="E229" s="2">
        <v>17692</v>
      </c>
      <c r="F229" s="2">
        <v>25256</v>
      </c>
      <c r="G229" s="2">
        <v>22274</v>
      </c>
      <c r="H229" s="2">
        <f t="shared" si="0"/>
        <v>65222</v>
      </c>
      <c r="I229" s="2">
        <v>1466546</v>
      </c>
      <c r="J229" s="2">
        <f t="shared" si="1"/>
        <v>4.4473204386360876E-2</v>
      </c>
    </row>
    <row r="230" spans="1:10" ht="13" x14ac:dyDescent="0.15">
      <c r="A230" s="1" t="s">
        <v>698</v>
      </c>
      <c r="B230" s="1" t="s">
        <v>699</v>
      </c>
      <c r="C230" s="5" t="s">
        <v>700</v>
      </c>
      <c r="D230" s="1" t="s">
        <v>304</v>
      </c>
      <c r="E230" s="2">
        <v>48292</v>
      </c>
      <c r="F230" s="2">
        <v>60071</v>
      </c>
      <c r="G230" s="2">
        <v>29114</v>
      </c>
      <c r="H230" s="2">
        <f t="shared" si="0"/>
        <v>137477</v>
      </c>
      <c r="I230" s="2">
        <v>1580158</v>
      </c>
      <c r="J230" s="2">
        <f t="shared" si="1"/>
        <v>8.7002059287742115E-2</v>
      </c>
    </row>
    <row r="231" spans="1:10" ht="13" x14ac:dyDescent="0.15">
      <c r="A231" s="1" t="s">
        <v>701</v>
      </c>
      <c r="B231" s="1" t="s">
        <v>702</v>
      </c>
      <c r="C231" s="5" t="s">
        <v>703</v>
      </c>
      <c r="D231" s="1" t="s">
        <v>304</v>
      </c>
      <c r="E231" s="2">
        <v>13251</v>
      </c>
      <c r="F231" s="2">
        <v>147731</v>
      </c>
      <c r="G231" s="2">
        <v>70407</v>
      </c>
      <c r="H231" s="2">
        <f t="shared" si="0"/>
        <v>231389</v>
      </c>
      <c r="I231" s="2">
        <v>1670654</v>
      </c>
      <c r="J231" s="2">
        <f t="shared" si="1"/>
        <v>0.13850204770107993</v>
      </c>
    </row>
    <row r="232" spans="1:10" ht="13" x14ac:dyDescent="0.15">
      <c r="A232" s="1" t="s">
        <v>704</v>
      </c>
      <c r="B232" s="1" t="s">
        <v>705</v>
      </c>
      <c r="C232" s="5" t="s">
        <v>706</v>
      </c>
      <c r="D232" s="1" t="s">
        <v>304</v>
      </c>
      <c r="E232" s="2">
        <v>23188</v>
      </c>
      <c r="F232" s="2">
        <v>93963</v>
      </c>
      <c r="G232" s="2">
        <v>31592</v>
      </c>
      <c r="H232" s="2">
        <f t="shared" si="0"/>
        <v>148743</v>
      </c>
      <c r="I232" s="2">
        <v>1536550</v>
      </c>
      <c r="J232" s="2">
        <f t="shared" si="1"/>
        <v>9.6803228010803419E-2</v>
      </c>
    </row>
    <row r="233" spans="1:10" ht="13" x14ac:dyDescent="0.15">
      <c r="A233" s="1" t="s">
        <v>707</v>
      </c>
      <c r="B233" s="1" t="s">
        <v>708</v>
      </c>
      <c r="C233" s="5" t="s">
        <v>709</v>
      </c>
      <c r="D233" s="1" t="s">
        <v>304</v>
      </c>
      <c r="E233" s="2">
        <v>2391</v>
      </c>
      <c r="F233" s="2">
        <v>113263</v>
      </c>
      <c r="G233" s="2">
        <v>27668</v>
      </c>
      <c r="H233" s="2">
        <f t="shared" si="0"/>
        <v>143322</v>
      </c>
      <c r="I233" s="2">
        <v>1310581</v>
      </c>
      <c r="J233" s="2">
        <f t="shared" si="1"/>
        <v>0.10935760551999457</v>
      </c>
    </row>
    <row r="234" spans="1:10" ht="13" x14ac:dyDescent="0.15">
      <c r="A234" s="1" t="s">
        <v>710</v>
      </c>
      <c r="B234" s="1" t="s">
        <v>711</v>
      </c>
      <c r="C234" s="5" t="s">
        <v>712</v>
      </c>
      <c r="D234" s="1" t="s">
        <v>304</v>
      </c>
      <c r="E234" s="2">
        <v>4449</v>
      </c>
      <c r="F234" s="2">
        <v>104016</v>
      </c>
      <c r="G234" s="2">
        <v>13105</v>
      </c>
      <c r="H234" s="2">
        <f t="shared" si="0"/>
        <v>121570</v>
      </c>
      <c r="I234" s="2">
        <v>1350652</v>
      </c>
      <c r="J234" s="2">
        <f t="shared" si="1"/>
        <v>9.0008381137406224E-2</v>
      </c>
    </row>
    <row r="235" spans="1:10" ht="13" x14ac:dyDescent="0.15">
      <c r="A235" s="1" t="s">
        <v>713</v>
      </c>
      <c r="B235" s="1" t="s">
        <v>714</v>
      </c>
      <c r="C235" s="5" t="s">
        <v>715</v>
      </c>
      <c r="D235" s="1" t="s">
        <v>304</v>
      </c>
      <c r="E235" s="2">
        <v>460</v>
      </c>
      <c r="F235" s="2">
        <v>43273</v>
      </c>
      <c r="G235" s="2">
        <v>8105</v>
      </c>
      <c r="H235" s="2">
        <f t="shared" si="0"/>
        <v>51838</v>
      </c>
      <c r="I235" s="2">
        <v>1363565</v>
      </c>
      <c r="J235" s="2">
        <f t="shared" si="1"/>
        <v>3.8016522864696589E-2</v>
      </c>
    </row>
    <row r="236" spans="1:10" ht="13" x14ac:dyDescent="0.15">
      <c r="A236" s="1" t="s">
        <v>716</v>
      </c>
      <c r="B236" s="1" t="s">
        <v>717</v>
      </c>
      <c r="C236" s="5" t="s">
        <v>718</v>
      </c>
      <c r="D236" s="1" t="s">
        <v>304</v>
      </c>
      <c r="E236" s="2">
        <v>0</v>
      </c>
      <c r="F236" s="2">
        <v>50924</v>
      </c>
      <c r="G236" s="2">
        <v>22</v>
      </c>
      <c r="H236" s="2">
        <f t="shared" si="0"/>
        <v>50946</v>
      </c>
      <c r="I236" s="2">
        <v>1475581</v>
      </c>
      <c r="J236" s="2">
        <f t="shared" si="1"/>
        <v>3.452606125993761E-2</v>
      </c>
    </row>
    <row r="237" spans="1:10" ht="13" x14ac:dyDescent="0.15">
      <c r="A237" s="1" t="s">
        <v>719</v>
      </c>
      <c r="B237" s="1" t="s">
        <v>720</v>
      </c>
      <c r="C237" s="5" t="s">
        <v>721</v>
      </c>
      <c r="D237" s="1" t="s">
        <v>304</v>
      </c>
      <c r="E237" s="2">
        <v>4816</v>
      </c>
      <c r="F237" s="2">
        <v>56136</v>
      </c>
      <c r="G237" s="2">
        <v>29507</v>
      </c>
      <c r="H237" s="2">
        <f t="shared" si="0"/>
        <v>90459</v>
      </c>
      <c r="I237" s="2">
        <v>1258577</v>
      </c>
      <c r="J237" s="2">
        <f t="shared" si="1"/>
        <v>7.1874029161505412E-2</v>
      </c>
    </row>
    <row r="238" spans="1:10" ht="13" x14ac:dyDescent="0.15">
      <c r="A238" s="1" t="s">
        <v>722</v>
      </c>
      <c r="B238" s="1" t="s">
        <v>723</v>
      </c>
      <c r="C238" s="5" t="s">
        <v>724</v>
      </c>
      <c r="D238" s="1" t="s">
        <v>304</v>
      </c>
      <c r="E238" s="2">
        <v>36356</v>
      </c>
      <c r="F238" s="2">
        <v>38560</v>
      </c>
      <c r="G238" s="2">
        <v>31586</v>
      </c>
      <c r="H238" s="2">
        <f t="shared" si="0"/>
        <v>106502</v>
      </c>
      <c r="I238" s="2">
        <v>1681607</v>
      </c>
      <c r="J238" s="2">
        <f t="shared" si="1"/>
        <v>6.3333466142802691E-2</v>
      </c>
    </row>
    <row r="239" spans="1:10" ht="13" x14ac:dyDescent="0.15">
      <c r="A239" s="1" t="s">
        <v>725</v>
      </c>
      <c r="B239" s="1" t="s">
        <v>726</v>
      </c>
      <c r="C239" s="5" t="s">
        <v>727</v>
      </c>
      <c r="D239" s="1" t="s">
        <v>304</v>
      </c>
      <c r="E239" s="2">
        <v>31119</v>
      </c>
      <c r="F239" s="2">
        <v>107584</v>
      </c>
      <c r="G239" s="2">
        <v>68230</v>
      </c>
      <c r="H239" s="2">
        <f t="shared" si="0"/>
        <v>206933</v>
      </c>
      <c r="I239" s="2">
        <v>1684220</v>
      </c>
      <c r="J239" s="2">
        <f t="shared" si="1"/>
        <v>0.12286577763000082</v>
      </c>
    </row>
    <row r="240" spans="1:10" ht="13" x14ac:dyDescent="0.15">
      <c r="A240" s="1" t="s">
        <v>728</v>
      </c>
      <c r="B240" s="1" t="s">
        <v>729</v>
      </c>
      <c r="C240" s="5" t="s">
        <v>730</v>
      </c>
      <c r="D240" s="1" t="s">
        <v>304</v>
      </c>
      <c r="E240" s="2">
        <v>9752</v>
      </c>
      <c r="F240" s="2">
        <v>164048</v>
      </c>
      <c r="G240" s="2">
        <v>15211</v>
      </c>
      <c r="H240" s="2">
        <f t="shared" si="0"/>
        <v>189011</v>
      </c>
      <c r="I240" s="2">
        <v>1394557</v>
      </c>
      <c r="J240" s="2">
        <f t="shared" si="1"/>
        <v>0.13553479707175828</v>
      </c>
    </row>
    <row r="241" spans="1:10" ht="13" x14ac:dyDescent="0.15">
      <c r="A241" s="1" t="s">
        <v>731</v>
      </c>
      <c r="B241" s="1" t="s">
        <v>732</v>
      </c>
      <c r="C241" s="1" t="s">
        <v>733</v>
      </c>
      <c r="D241" s="1" t="s">
        <v>304</v>
      </c>
      <c r="E241" s="2">
        <v>3279</v>
      </c>
      <c r="F241" s="2">
        <v>24445</v>
      </c>
      <c r="G241" s="2">
        <v>4466</v>
      </c>
      <c r="H241" s="2">
        <f t="shared" si="0"/>
        <v>32190</v>
      </c>
      <c r="I241" s="2">
        <v>1499805</v>
      </c>
      <c r="J241" s="2">
        <f t="shared" si="1"/>
        <v>2.1462790162721155E-2</v>
      </c>
    </row>
    <row r="242" spans="1:10" ht="13" x14ac:dyDescent="0.15">
      <c r="A242" s="1" t="s">
        <v>734</v>
      </c>
      <c r="B242" s="1" t="s">
        <v>735</v>
      </c>
      <c r="C242" s="5" t="s">
        <v>736</v>
      </c>
      <c r="D242" s="1" t="s">
        <v>304</v>
      </c>
      <c r="E242" s="2">
        <v>1264</v>
      </c>
      <c r="F242" s="2">
        <v>110060</v>
      </c>
      <c r="G242" s="2">
        <v>14981</v>
      </c>
      <c r="H242" s="2">
        <f t="shared" si="0"/>
        <v>126305</v>
      </c>
      <c r="I242" s="2">
        <v>1568701</v>
      </c>
      <c r="J242" s="2">
        <f t="shared" si="1"/>
        <v>8.0515662321882883E-2</v>
      </c>
    </row>
    <row r="243" spans="1:10" ht="13" x14ac:dyDescent="0.15">
      <c r="A243" s="1" t="s">
        <v>737</v>
      </c>
      <c r="B243" s="1" t="s">
        <v>738</v>
      </c>
      <c r="C243" s="1" t="s">
        <v>739</v>
      </c>
      <c r="D243" s="1" t="s">
        <v>304</v>
      </c>
      <c r="E243" s="2">
        <v>10225</v>
      </c>
      <c r="F243" s="2">
        <v>15560</v>
      </c>
      <c r="G243" s="2">
        <v>32673</v>
      </c>
      <c r="H243" s="2">
        <f t="shared" si="0"/>
        <v>58458</v>
      </c>
      <c r="I243" s="2">
        <v>1560466</v>
      </c>
      <c r="J243" s="2">
        <f t="shared" si="1"/>
        <v>3.7461886385220827E-2</v>
      </c>
    </row>
    <row r="244" spans="1:10" ht="13" x14ac:dyDescent="0.15">
      <c r="A244" s="1" t="s">
        <v>740</v>
      </c>
      <c r="B244" s="1" t="s">
        <v>741</v>
      </c>
      <c r="C244" s="5" t="s">
        <v>742</v>
      </c>
      <c r="D244" s="1" t="s">
        <v>304</v>
      </c>
      <c r="E244" s="2">
        <v>58</v>
      </c>
      <c r="F244" s="2">
        <v>97087</v>
      </c>
      <c r="G244" s="2">
        <v>42422</v>
      </c>
      <c r="H244" s="2">
        <f t="shared" si="0"/>
        <v>139567</v>
      </c>
      <c r="I244" s="2">
        <v>1723303</v>
      </c>
      <c r="J244" s="2">
        <f t="shared" si="1"/>
        <v>8.0988079287275652E-2</v>
      </c>
    </row>
    <row r="245" spans="1:10" ht="13" x14ac:dyDescent="0.15">
      <c r="A245" s="1" t="s">
        <v>743</v>
      </c>
      <c r="B245" s="1" t="s">
        <v>744</v>
      </c>
      <c r="C245" s="5" t="s">
        <v>745</v>
      </c>
      <c r="D245" s="1" t="s">
        <v>304</v>
      </c>
      <c r="E245" s="2">
        <v>3714</v>
      </c>
      <c r="F245" s="2">
        <v>52227</v>
      </c>
      <c r="G245" s="2">
        <v>10911</v>
      </c>
      <c r="H245" s="2">
        <f t="shared" si="0"/>
        <v>66852</v>
      </c>
      <c r="I245" s="2">
        <v>1431130</v>
      </c>
      <c r="J245" s="2">
        <f t="shared" si="1"/>
        <v>4.6712737487160497E-2</v>
      </c>
    </row>
    <row r="246" spans="1:10" ht="13" x14ac:dyDescent="0.15">
      <c r="A246" s="1" t="s">
        <v>746</v>
      </c>
      <c r="B246" s="1" t="s">
        <v>747</v>
      </c>
      <c r="C246" s="5" t="s">
        <v>748</v>
      </c>
      <c r="D246" s="1" t="s">
        <v>304</v>
      </c>
      <c r="E246" s="2">
        <v>471</v>
      </c>
      <c r="F246" s="2">
        <v>13150</v>
      </c>
      <c r="G246" s="2">
        <v>3865</v>
      </c>
      <c r="H246" s="2">
        <f t="shared" si="0"/>
        <v>17486</v>
      </c>
      <c r="I246" s="2">
        <v>1560090</v>
      </c>
      <c r="J246" s="2">
        <f t="shared" si="1"/>
        <v>1.1208327724682551E-2</v>
      </c>
    </row>
    <row r="247" spans="1:10" ht="13" x14ac:dyDescent="0.15">
      <c r="A247" s="1" t="s">
        <v>749</v>
      </c>
      <c r="B247" s="1" t="s">
        <v>750</v>
      </c>
      <c r="C247" s="5" t="s">
        <v>751</v>
      </c>
      <c r="D247" s="1" t="s">
        <v>304</v>
      </c>
      <c r="E247" s="2">
        <v>856</v>
      </c>
      <c r="F247" s="2">
        <v>173008</v>
      </c>
      <c r="G247" s="2">
        <v>2252</v>
      </c>
      <c r="H247" s="2">
        <f t="shared" si="0"/>
        <v>176116</v>
      </c>
      <c r="I247" s="2">
        <v>1501996</v>
      </c>
      <c r="J247" s="2">
        <f t="shared" si="1"/>
        <v>0.11725463982593828</v>
      </c>
    </row>
    <row r="248" spans="1:10" ht="13" x14ac:dyDescent="0.15">
      <c r="A248" s="1" t="s">
        <v>752</v>
      </c>
      <c r="B248" s="1" t="s">
        <v>753</v>
      </c>
      <c r="C248" s="5" t="s">
        <v>754</v>
      </c>
      <c r="D248" s="1" t="s">
        <v>304</v>
      </c>
      <c r="E248" s="2">
        <v>5402</v>
      </c>
      <c r="F248" s="2">
        <v>9461</v>
      </c>
      <c r="G248" s="2">
        <v>18772</v>
      </c>
      <c r="H248" s="2">
        <f t="shared" si="0"/>
        <v>33635</v>
      </c>
      <c r="I248" s="2">
        <v>1546777</v>
      </c>
      <c r="J248" s="2">
        <f t="shared" si="1"/>
        <v>2.1745216020150285E-2</v>
      </c>
    </row>
    <row r="249" spans="1:10" ht="13" x14ac:dyDescent="0.15">
      <c r="A249" s="1" t="s">
        <v>755</v>
      </c>
      <c r="B249" s="1" t="s">
        <v>756</v>
      </c>
      <c r="C249" s="5" t="s">
        <v>757</v>
      </c>
      <c r="D249" s="1" t="s">
        <v>304</v>
      </c>
      <c r="E249" s="2">
        <v>4375</v>
      </c>
      <c r="F249" s="2">
        <v>81792</v>
      </c>
      <c r="G249" s="2">
        <v>7884</v>
      </c>
      <c r="H249" s="2">
        <f t="shared" si="0"/>
        <v>94051</v>
      </c>
      <c r="I249" s="2">
        <v>1529406</v>
      </c>
      <c r="J249" s="2">
        <f t="shared" si="1"/>
        <v>6.1495116404669523E-2</v>
      </c>
    </row>
    <row r="250" spans="1:10" ht="13" x14ac:dyDescent="0.15">
      <c r="A250" s="1" t="s">
        <v>758</v>
      </c>
      <c r="B250" s="1" t="s">
        <v>759</v>
      </c>
      <c r="C250" s="1" t="s">
        <v>760</v>
      </c>
      <c r="D250" s="1" t="s">
        <v>761</v>
      </c>
      <c r="E250" s="2">
        <v>18043</v>
      </c>
      <c r="F250" s="2">
        <v>13945</v>
      </c>
      <c r="G250" s="2">
        <v>12998</v>
      </c>
      <c r="H250" s="2">
        <f t="shared" si="0"/>
        <v>44986</v>
      </c>
      <c r="I250" s="2">
        <v>1542719</v>
      </c>
      <c r="J250" s="2">
        <f t="shared" si="1"/>
        <v>2.9160203510814348E-2</v>
      </c>
    </row>
    <row r="251" spans="1:10" ht="13" x14ac:dyDescent="0.15">
      <c r="A251" s="1" t="s">
        <v>762</v>
      </c>
      <c r="B251" s="1" t="s">
        <v>763</v>
      </c>
      <c r="C251" s="1" t="s">
        <v>764</v>
      </c>
      <c r="D251" s="1" t="s">
        <v>761</v>
      </c>
      <c r="E251" s="2">
        <v>6329</v>
      </c>
      <c r="F251" s="2">
        <v>62808</v>
      </c>
      <c r="G251" s="2">
        <v>34918</v>
      </c>
      <c r="H251" s="2">
        <f t="shared" si="0"/>
        <v>104055</v>
      </c>
      <c r="I251" s="2">
        <v>1455586</v>
      </c>
      <c r="J251" s="2">
        <f t="shared" si="1"/>
        <v>7.1486672721501859E-2</v>
      </c>
    </row>
    <row r="252" spans="1:10" ht="13" x14ac:dyDescent="0.15">
      <c r="A252" s="1" t="s">
        <v>765</v>
      </c>
      <c r="B252" s="1" t="s">
        <v>766</v>
      </c>
      <c r="C252" s="1" t="s">
        <v>767</v>
      </c>
      <c r="D252" s="1" t="s">
        <v>761</v>
      </c>
      <c r="E252" s="2">
        <v>9</v>
      </c>
      <c r="F252" s="2">
        <v>3716</v>
      </c>
      <c r="G252" s="2">
        <v>16741</v>
      </c>
      <c r="H252" s="2">
        <f t="shared" si="0"/>
        <v>20466</v>
      </c>
      <c r="I252" s="2">
        <v>1628889</v>
      </c>
      <c r="J252" s="2">
        <f t="shared" si="1"/>
        <v>1.256439204881364E-2</v>
      </c>
    </row>
    <row r="253" spans="1:10" ht="13" x14ac:dyDescent="0.15">
      <c r="A253" s="1" t="s">
        <v>768</v>
      </c>
      <c r="B253" s="1" t="s">
        <v>769</v>
      </c>
      <c r="C253" s="1" t="s">
        <v>770</v>
      </c>
      <c r="D253" s="1" t="s">
        <v>761</v>
      </c>
      <c r="E253" s="2">
        <v>9616</v>
      </c>
      <c r="F253" s="2">
        <v>103199</v>
      </c>
      <c r="G253" s="2">
        <v>40256</v>
      </c>
      <c r="H253" s="2">
        <f t="shared" si="0"/>
        <v>153071</v>
      </c>
      <c r="I253" s="2">
        <v>1547799</v>
      </c>
      <c r="J253" s="2">
        <f t="shared" si="1"/>
        <v>9.8895916071789686E-2</v>
      </c>
    </row>
    <row r="254" spans="1:10" ht="13" x14ac:dyDescent="0.15">
      <c r="A254" s="1" t="s">
        <v>771</v>
      </c>
      <c r="B254" s="1" t="s">
        <v>772</v>
      </c>
      <c r="C254" s="1" t="s">
        <v>773</v>
      </c>
      <c r="D254" s="1" t="s">
        <v>761</v>
      </c>
      <c r="E254" s="2">
        <v>27339</v>
      </c>
      <c r="F254" s="2">
        <v>114385</v>
      </c>
      <c r="G254" s="2">
        <v>74521</v>
      </c>
      <c r="H254" s="2">
        <f t="shared" si="0"/>
        <v>216245</v>
      </c>
      <c r="I254" s="2">
        <v>1538269</v>
      </c>
      <c r="J254" s="2">
        <f t="shared" si="1"/>
        <v>0.14057684319192548</v>
      </c>
    </row>
    <row r="255" spans="1:10" ht="13" x14ac:dyDescent="0.15">
      <c r="A255" s="1" t="s">
        <v>774</v>
      </c>
      <c r="B255" s="1" t="s">
        <v>775</v>
      </c>
      <c r="C255" s="1" t="s">
        <v>776</v>
      </c>
      <c r="D255" s="1" t="s">
        <v>761</v>
      </c>
      <c r="E255" s="2">
        <v>12971</v>
      </c>
      <c r="F255" s="2">
        <v>52785</v>
      </c>
      <c r="G255" s="2">
        <v>23747</v>
      </c>
      <c r="H255" s="2">
        <f t="shared" si="0"/>
        <v>89503</v>
      </c>
      <c r="I255" s="2">
        <v>1406245</v>
      </c>
      <c r="J255" s="2">
        <f t="shared" si="1"/>
        <v>6.3646804077525612E-2</v>
      </c>
    </row>
    <row r="256" spans="1:10" ht="13" x14ac:dyDescent="0.15">
      <c r="A256" s="1" t="s">
        <v>777</v>
      </c>
      <c r="B256" s="1" t="s">
        <v>778</v>
      </c>
      <c r="C256" s="1" t="s">
        <v>779</v>
      </c>
      <c r="D256" s="1" t="s">
        <v>761</v>
      </c>
      <c r="E256" s="2">
        <v>17440</v>
      </c>
      <c r="F256" s="2">
        <v>138519</v>
      </c>
      <c r="G256" s="2">
        <v>64617</v>
      </c>
      <c r="H256" s="2">
        <f t="shared" si="0"/>
        <v>220576</v>
      </c>
      <c r="I256" s="2">
        <v>1528388</v>
      </c>
      <c r="J256" s="2">
        <f t="shared" si="1"/>
        <v>0.14431937439969431</v>
      </c>
    </row>
    <row r="257" spans="1:10" ht="13" x14ac:dyDescent="0.15">
      <c r="A257" s="1" t="s">
        <v>780</v>
      </c>
      <c r="B257" s="1" t="s">
        <v>781</v>
      </c>
      <c r="C257" s="1" t="s">
        <v>782</v>
      </c>
      <c r="D257" s="1" t="s">
        <v>761</v>
      </c>
      <c r="E257" s="2">
        <v>16459</v>
      </c>
      <c r="F257" s="2">
        <v>61457</v>
      </c>
      <c r="G257" s="2">
        <v>68524</v>
      </c>
      <c r="H257" s="2">
        <f t="shared" ref="H257:H462" si="2">SUM(E257:G257)</f>
        <v>146440</v>
      </c>
      <c r="I257" s="2">
        <v>1373800</v>
      </c>
      <c r="J257" s="2">
        <f t="shared" ref="J257:J462" si="3">H257/I257</f>
        <v>0.10659484641141359</v>
      </c>
    </row>
    <row r="258" spans="1:10" ht="13" x14ac:dyDescent="0.15">
      <c r="A258" s="1" t="s">
        <v>783</v>
      </c>
      <c r="B258" s="1" t="s">
        <v>784</v>
      </c>
      <c r="C258" s="1" t="s">
        <v>785</v>
      </c>
      <c r="D258" s="1" t="s">
        <v>761</v>
      </c>
      <c r="E258" s="2">
        <v>7623</v>
      </c>
      <c r="F258" s="2">
        <v>23440</v>
      </c>
      <c r="G258" s="2">
        <v>40569</v>
      </c>
      <c r="H258" s="2">
        <f t="shared" si="2"/>
        <v>71632</v>
      </c>
      <c r="I258" s="2">
        <v>1337933</v>
      </c>
      <c r="J258" s="2">
        <f t="shared" si="3"/>
        <v>5.3539302790199507E-2</v>
      </c>
    </row>
    <row r="259" spans="1:10" ht="13" x14ac:dyDescent="0.15">
      <c r="A259" s="1" t="s">
        <v>786</v>
      </c>
      <c r="B259" s="1" t="s">
        <v>787</v>
      </c>
      <c r="C259" s="1" t="s">
        <v>788</v>
      </c>
      <c r="D259" s="1" t="s">
        <v>761</v>
      </c>
      <c r="E259" s="2">
        <v>32119</v>
      </c>
      <c r="F259" s="2">
        <v>87094</v>
      </c>
      <c r="G259" s="2">
        <v>38201</v>
      </c>
      <c r="H259" s="2">
        <f t="shared" si="2"/>
        <v>157414</v>
      </c>
      <c r="I259" s="2">
        <v>1316623</v>
      </c>
      <c r="J259" s="2">
        <f t="shared" si="3"/>
        <v>0.11955890182687072</v>
      </c>
    </row>
    <row r="260" spans="1:10" ht="13" x14ac:dyDescent="0.15">
      <c r="A260" s="1" t="s">
        <v>789</v>
      </c>
      <c r="B260" s="1" t="s">
        <v>790</v>
      </c>
      <c r="C260" s="1" t="s">
        <v>791</v>
      </c>
      <c r="D260" s="1" t="s">
        <v>761</v>
      </c>
      <c r="E260" s="2">
        <v>10200</v>
      </c>
      <c r="F260" s="2">
        <v>37705</v>
      </c>
      <c r="G260" s="2">
        <v>35658</v>
      </c>
      <c r="H260" s="2">
        <f t="shared" si="2"/>
        <v>83563</v>
      </c>
      <c r="I260" s="2">
        <v>1621569</v>
      </c>
      <c r="J260" s="2">
        <f t="shared" si="3"/>
        <v>5.1532188886196026E-2</v>
      </c>
    </row>
    <row r="261" spans="1:10" ht="13" x14ac:dyDescent="0.15">
      <c r="A261" s="1" t="s">
        <v>792</v>
      </c>
      <c r="B261" s="1" t="s">
        <v>793</v>
      </c>
      <c r="C261" s="4" t="s">
        <v>794</v>
      </c>
      <c r="D261" s="1" t="s">
        <v>14</v>
      </c>
      <c r="E261" s="2">
        <v>569</v>
      </c>
      <c r="F261" s="2">
        <v>3256</v>
      </c>
      <c r="G261" s="2">
        <v>9168</v>
      </c>
      <c r="H261" s="2">
        <f t="shared" si="2"/>
        <v>12993</v>
      </c>
      <c r="I261" s="2">
        <v>1742949</v>
      </c>
      <c r="J261" s="2">
        <f t="shared" si="3"/>
        <v>7.454607105543536E-3</v>
      </c>
    </row>
    <row r="262" spans="1:10" ht="13" x14ac:dyDescent="0.15">
      <c r="A262" s="1" t="s">
        <v>795</v>
      </c>
      <c r="B262" s="1" t="s">
        <v>796</v>
      </c>
      <c r="C262" s="4" t="s">
        <v>797</v>
      </c>
      <c r="D262" s="1" t="s">
        <v>14</v>
      </c>
      <c r="E262" s="2">
        <v>5819</v>
      </c>
      <c r="F262" s="2">
        <v>103161</v>
      </c>
      <c r="G262" s="2">
        <v>29651</v>
      </c>
      <c r="H262" s="2">
        <f t="shared" si="2"/>
        <v>138631</v>
      </c>
      <c r="I262" s="2">
        <v>1555840</v>
      </c>
      <c r="J262" s="2">
        <f t="shared" si="3"/>
        <v>8.9103635335252979E-2</v>
      </c>
    </row>
    <row r="263" spans="1:10" ht="13" x14ac:dyDescent="0.15">
      <c r="A263" s="1" t="s">
        <v>798</v>
      </c>
      <c r="B263" s="1" t="s">
        <v>799</v>
      </c>
      <c r="C263" s="4" t="s">
        <v>800</v>
      </c>
      <c r="D263" s="1" t="s">
        <v>14</v>
      </c>
      <c r="E263" s="2">
        <v>21448</v>
      </c>
      <c r="F263" s="2">
        <v>100769</v>
      </c>
      <c r="G263" s="2">
        <v>52092</v>
      </c>
      <c r="H263" s="2">
        <f t="shared" si="2"/>
        <v>174309</v>
      </c>
      <c r="I263" s="2">
        <v>1415164</v>
      </c>
      <c r="J263" s="2">
        <f t="shared" si="3"/>
        <v>0.12317229663841081</v>
      </c>
    </row>
    <row r="264" spans="1:10" ht="13" x14ac:dyDescent="0.15">
      <c r="A264" s="1" t="s">
        <v>801</v>
      </c>
      <c r="B264" s="1" t="s">
        <v>802</v>
      </c>
      <c r="C264" s="4" t="s">
        <v>803</v>
      </c>
      <c r="D264" s="1" t="s">
        <v>14</v>
      </c>
      <c r="E264" s="2">
        <v>7175</v>
      </c>
      <c r="F264" s="2">
        <v>66590</v>
      </c>
      <c r="G264" s="2">
        <v>7981</v>
      </c>
      <c r="H264" s="2">
        <f t="shared" si="2"/>
        <v>81746</v>
      </c>
      <c r="I264" s="2">
        <v>1482809</v>
      </c>
      <c r="J264" s="2">
        <f t="shared" si="3"/>
        <v>5.512915014678222E-2</v>
      </c>
    </row>
    <row r="265" spans="1:10" ht="13" x14ac:dyDescent="0.15">
      <c r="A265" s="1" t="s">
        <v>804</v>
      </c>
      <c r="B265" s="1" t="s">
        <v>805</v>
      </c>
      <c r="C265" s="4" t="s">
        <v>806</v>
      </c>
      <c r="D265" s="1" t="s">
        <v>14</v>
      </c>
      <c r="E265" s="2">
        <v>16250</v>
      </c>
      <c r="F265" s="2">
        <v>62162</v>
      </c>
      <c r="G265" s="2">
        <v>26383</v>
      </c>
      <c r="H265" s="2">
        <f t="shared" si="2"/>
        <v>104795</v>
      </c>
      <c r="I265" s="2">
        <v>1591017</v>
      </c>
      <c r="J265" s="2">
        <f t="shared" si="3"/>
        <v>6.5866675214658291E-2</v>
      </c>
    </row>
    <row r="266" spans="1:10" ht="13" x14ac:dyDescent="0.15">
      <c r="A266" s="1" t="s">
        <v>807</v>
      </c>
      <c r="B266" s="1" t="s">
        <v>808</v>
      </c>
      <c r="C266" s="4" t="s">
        <v>809</v>
      </c>
      <c r="D266" s="1" t="s">
        <v>14</v>
      </c>
      <c r="E266" s="2">
        <v>8842</v>
      </c>
      <c r="F266" s="2">
        <v>60468</v>
      </c>
      <c r="G266" s="2">
        <v>11140</v>
      </c>
      <c r="H266" s="2">
        <f t="shared" si="2"/>
        <v>80450</v>
      </c>
      <c r="I266" s="2">
        <v>1669653</v>
      </c>
      <c r="J266" s="2">
        <f t="shared" si="3"/>
        <v>4.8183664509931105E-2</v>
      </c>
    </row>
    <row r="267" spans="1:10" ht="13" x14ac:dyDescent="0.15">
      <c r="A267" s="1" t="s">
        <v>810</v>
      </c>
      <c r="B267" s="1" t="s">
        <v>811</v>
      </c>
      <c r="C267" s="4" t="s">
        <v>812</v>
      </c>
      <c r="D267" s="1" t="s">
        <v>14</v>
      </c>
      <c r="E267" s="2">
        <v>12320</v>
      </c>
      <c r="F267" s="2">
        <v>134636</v>
      </c>
      <c r="G267" s="2">
        <v>46160</v>
      </c>
      <c r="H267" s="2">
        <f t="shared" si="2"/>
        <v>193116</v>
      </c>
      <c r="I267" s="2">
        <v>1669293</v>
      </c>
      <c r="J267" s="2">
        <f t="shared" si="3"/>
        <v>0.11568729995273448</v>
      </c>
    </row>
    <row r="268" spans="1:10" ht="13" x14ac:dyDescent="0.15">
      <c r="A268" s="1" t="s">
        <v>813</v>
      </c>
      <c r="B268" s="1" t="s">
        <v>814</v>
      </c>
      <c r="C268" s="4" t="s">
        <v>815</v>
      </c>
      <c r="D268" s="1" t="s">
        <v>14</v>
      </c>
      <c r="E268" s="2">
        <v>5393</v>
      </c>
      <c r="F268" s="2">
        <v>53073</v>
      </c>
      <c r="G268" s="2">
        <v>22742</v>
      </c>
      <c r="H268" s="2">
        <f t="shared" si="2"/>
        <v>81208</v>
      </c>
      <c r="I268" s="2">
        <v>1492875</v>
      </c>
      <c r="J268" s="2">
        <f t="shared" si="3"/>
        <v>5.4397052666834131E-2</v>
      </c>
    </row>
    <row r="269" spans="1:10" ht="13" x14ac:dyDescent="0.15">
      <c r="A269" s="1" t="s">
        <v>816</v>
      </c>
      <c r="B269" s="1" t="s">
        <v>817</v>
      </c>
      <c r="C269" s="4" t="s">
        <v>818</v>
      </c>
      <c r="D269" s="1" t="s">
        <v>14</v>
      </c>
      <c r="E269" s="2">
        <v>16219</v>
      </c>
      <c r="F269" s="2">
        <v>7351</v>
      </c>
      <c r="G269" s="2">
        <v>21451</v>
      </c>
      <c r="H269" s="2">
        <f t="shared" si="2"/>
        <v>45021</v>
      </c>
      <c r="I269" s="2">
        <v>1478532</v>
      </c>
      <c r="J269" s="2">
        <f t="shared" si="3"/>
        <v>3.0449797501846426E-2</v>
      </c>
    </row>
    <row r="270" spans="1:10" ht="13" x14ac:dyDescent="0.15">
      <c r="A270" s="1" t="s">
        <v>819</v>
      </c>
      <c r="B270" s="1" t="s">
        <v>820</v>
      </c>
      <c r="C270" s="4" t="s">
        <v>821</v>
      </c>
      <c r="D270" s="1" t="s">
        <v>14</v>
      </c>
      <c r="E270" s="2">
        <v>24662</v>
      </c>
      <c r="F270" s="2">
        <v>14727</v>
      </c>
      <c r="G270" s="2">
        <v>45292</v>
      </c>
      <c r="H270" s="2">
        <f t="shared" si="2"/>
        <v>84681</v>
      </c>
      <c r="I270" s="2">
        <v>1558740</v>
      </c>
      <c r="J270" s="2">
        <f t="shared" si="3"/>
        <v>5.432657146156511E-2</v>
      </c>
    </row>
    <row r="271" spans="1:10" ht="13" x14ac:dyDescent="0.15">
      <c r="A271" s="1" t="s">
        <v>822</v>
      </c>
      <c r="B271" s="1" t="s">
        <v>823</v>
      </c>
      <c r="C271" s="4" t="s">
        <v>824</v>
      </c>
      <c r="D271" s="1" t="s">
        <v>14</v>
      </c>
      <c r="E271" s="2">
        <v>9650</v>
      </c>
      <c r="F271" s="2">
        <v>107468</v>
      </c>
      <c r="G271" s="2">
        <v>31479</v>
      </c>
      <c r="H271" s="2">
        <f t="shared" si="2"/>
        <v>148597</v>
      </c>
      <c r="I271" s="2">
        <v>1471923</v>
      </c>
      <c r="J271" s="2">
        <f t="shared" si="3"/>
        <v>0.10095432981208935</v>
      </c>
    </row>
    <row r="272" spans="1:10" ht="13" x14ac:dyDescent="0.15">
      <c r="A272" s="1" t="s">
        <v>825</v>
      </c>
      <c r="B272" s="1" t="s">
        <v>826</v>
      </c>
      <c r="C272" s="4" t="s">
        <v>827</v>
      </c>
      <c r="D272" s="1" t="s">
        <v>14</v>
      </c>
      <c r="E272" s="2">
        <v>14763</v>
      </c>
      <c r="F272" s="2">
        <v>129745</v>
      </c>
      <c r="G272" s="2">
        <v>30438</v>
      </c>
      <c r="H272" s="2">
        <f t="shared" si="2"/>
        <v>174946</v>
      </c>
      <c r="I272" s="2">
        <v>1660769</v>
      </c>
      <c r="J272" s="2">
        <f t="shared" si="3"/>
        <v>0.10534035738865549</v>
      </c>
    </row>
    <row r="273" spans="1:10" ht="13" x14ac:dyDescent="0.15">
      <c r="A273" s="1" t="s">
        <v>828</v>
      </c>
      <c r="B273" s="1" t="s">
        <v>829</v>
      </c>
      <c r="C273" s="4" t="s">
        <v>830</v>
      </c>
      <c r="D273" s="1" t="s">
        <v>14</v>
      </c>
      <c r="E273" s="2">
        <v>0</v>
      </c>
      <c r="F273" s="2">
        <v>27508</v>
      </c>
      <c r="G273" s="2">
        <v>2055</v>
      </c>
      <c r="H273" s="2">
        <f t="shared" si="2"/>
        <v>29563</v>
      </c>
      <c r="I273" s="2">
        <v>1343883</v>
      </c>
      <c r="J273" s="2">
        <f t="shared" si="3"/>
        <v>2.1998194783325632E-2</v>
      </c>
    </row>
    <row r="274" spans="1:10" ht="13" x14ac:dyDescent="0.15">
      <c r="A274" s="1" t="s">
        <v>831</v>
      </c>
      <c r="B274" s="1" t="s">
        <v>832</v>
      </c>
      <c r="C274" s="4" t="s">
        <v>833</v>
      </c>
      <c r="D274" s="1" t="s">
        <v>14</v>
      </c>
      <c r="E274" s="2">
        <v>12128</v>
      </c>
      <c r="F274" s="2">
        <v>20792</v>
      </c>
      <c r="G274" s="2">
        <v>22898</v>
      </c>
      <c r="H274" s="2">
        <f t="shared" si="2"/>
        <v>55818</v>
      </c>
      <c r="I274" s="2">
        <v>1516526</v>
      </c>
      <c r="J274" s="2">
        <f t="shared" si="3"/>
        <v>3.6806490623965564E-2</v>
      </c>
    </row>
    <row r="275" spans="1:10" ht="13" x14ac:dyDescent="0.15">
      <c r="A275" s="1" t="s">
        <v>834</v>
      </c>
      <c r="B275" s="1" t="s">
        <v>835</v>
      </c>
      <c r="C275" s="4" t="s">
        <v>836</v>
      </c>
      <c r="D275" s="1" t="s">
        <v>14</v>
      </c>
      <c r="E275" s="2">
        <v>18988</v>
      </c>
      <c r="F275" s="2">
        <v>60232</v>
      </c>
      <c r="G275" s="2">
        <v>20614</v>
      </c>
      <c r="H275" s="2">
        <f t="shared" si="2"/>
        <v>99834</v>
      </c>
      <c r="I275" s="2">
        <v>1643125</v>
      </c>
      <c r="J275" s="2">
        <f t="shared" si="3"/>
        <v>6.0758615443134274E-2</v>
      </c>
    </row>
    <row r="276" spans="1:10" ht="13" x14ac:dyDescent="0.15">
      <c r="A276" s="1" t="s">
        <v>837</v>
      </c>
      <c r="B276" s="1" t="s">
        <v>838</v>
      </c>
      <c r="C276" s="4" t="s">
        <v>839</v>
      </c>
      <c r="D276" s="1" t="s">
        <v>14</v>
      </c>
      <c r="E276" s="2">
        <v>1120</v>
      </c>
      <c r="F276" s="2">
        <v>28009</v>
      </c>
      <c r="G276" s="2">
        <v>5322</v>
      </c>
      <c r="H276" s="2">
        <f t="shared" si="2"/>
        <v>34451</v>
      </c>
      <c r="I276" s="2">
        <v>1350679</v>
      </c>
      <c r="J276" s="2">
        <f t="shared" si="3"/>
        <v>2.5506430469415753E-2</v>
      </c>
    </row>
    <row r="277" spans="1:10" ht="13" x14ac:dyDescent="0.15">
      <c r="A277" s="1" t="s">
        <v>840</v>
      </c>
      <c r="B277" s="1" t="s">
        <v>841</v>
      </c>
      <c r="C277" s="4" t="s">
        <v>842</v>
      </c>
      <c r="D277" s="1" t="s">
        <v>14</v>
      </c>
      <c r="E277" s="2">
        <v>22075</v>
      </c>
      <c r="F277" s="2">
        <v>130686</v>
      </c>
      <c r="G277" s="2">
        <v>21589</v>
      </c>
      <c r="H277" s="2">
        <f t="shared" si="2"/>
        <v>174350</v>
      </c>
      <c r="I277" s="2">
        <v>1551965</v>
      </c>
      <c r="J277" s="2">
        <f t="shared" si="3"/>
        <v>0.11234145099921712</v>
      </c>
    </row>
    <row r="278" spans="1:10" ht="13" x14ac:dyDescent="0.15">
      <c r="A278" s="1" t="s">
        <v>843</v>
      </c>
      <c r="B278" s="1" t="s">
        <v>844</v>
      </c>
      <c r="C278" s="4" t="s">
        <v>845</v>
      </c>
      <c r="D278" s="1" t="s">
        <v>14</v>
      </c>
      <c r="E278" s="2">
        <v>20808</v>
      </c>
      <c r="F278" s="2">
        <v>46447</v>
      </c>
      <c r="G278" s="2">
        <v>32047</v>
      </c>
      <c r="H278" s="2">
        <f t="shared" si="2"/>
        <v>99302</v>
      </c>
      <c r="I278" s="2">
        <v>1472960</v>
      </c>
      <c r="J278" s="2">
        <f t="shared" si="3"/>
        <v>6.7416630458396701E-2</v>
      </c>
    </row>
    <row r="279" spans="1:10" ht="13" x14ac:dyDescent="0.15">
      <c r="A279" s="1" t="s">
        <v>846</v>
      </c>
      <c r="B279" s="1" t="s">
        <v>847</v>
      </c>
      <c r="C279" s="4" t="s">
        <v>848</v>
      </c>
      <c r="D279" s="1" t="s">
        <v>14</v>
      </c>
      <c r="E279" s="2">
        <v>33</v>
      </c>
      <c r="F279" s="2">
        <v>44829</v>
      </c>
      <c r="G279" s="2">
        <v>666</v>
      </c>
      <c r="H279" s="2">
        <f t="shared" si="2"/>
        <v>45528</v>
      </c>
      <c r="I279" s="2">
        <v>1566760</v>
      </c>
      <c r="J279" s="2">
        <f t="shared" si="3"/>
        <v>2.9058694375654216E-2</v>
      </c>
    </row>
    <row r="280" spans="1:10" ht="13" x14ac:dyDescent="0.15">
      <c r="A280" s="1" t="s">
        <v>849</v>
      </c>
      <c r="B280" s="1" t="s">
        <v>850</v>
      </c>
      <c r="C280" s="4" t="s">
        <v>851</v>
      </c>
      <c r="D280" s="1" t="s">
        <v>14</v>
      </c>
      <c r="E280" s="2">
        <v>5578</v>
      </c>
      <c r="F280" s="2">
        <v>103028</v>
      </c>
      <c r="G280" s="2">
        <v>11657</v>
      </c>
      <c r="H280" s="2">
        <f t="shared" si="2"/>
        <v>120263</v>
      </c>
      <c r="I280" s="2">
        <v>1624535</v>
      </c>
      <c r="J280" s="2">
        <f t="shared" si="3"/>
        <v>7.4029183735653592E-2</v>
      </c>
    </row>
    <row r="281" spans="1:10" ht="13" x14ac:dyDescent="0.15">
      <c r="A281" s="1" t="s">
        <v>852</v>
      </c>
      <c r="B281" s="1" t="s">
        <v>853</v>
      </c>
      <c r="C281" s="4" t="s">
        <v>854</v>
      </c>
      <c r="D281" s="1" t="s">
        <v>14</v>
      </c>
      <c r="E281" s="2">
        <v>18960</v>
      </c>
      <c r="F281" s="2">
        <v>47406</v>
      </c>
      <c r="G281" s="2">
        <v>39560</v>
      </c>
      <c r="H281" s="2">
        <f t="shared" si="2"/>
        <v>105926</v>
      </c>
      <c r="I281" s="2">
        <v>1749756</v>
      </c>
      <c r="J281" s="2">
        <f t="shared" si="3"/>
        <v>6.0537583525931617E-2</v>
      </c>
    </row>
    <row r="282" spans="1:10" ht="13" x14ac:dyDescent="0.15">
      <c r="A282" s="1" t="s">
        <v>855</v>
      </c>
      <c r="B282" s="1" t="s">
        <v>856</v>
      </c>
      <c r="C282" s="4" t="s">
        <v>857</v>
      </c>
      <c r="D282" s="1" t="s">
        <v>14</v>
      </c>
      <c r="E282" s="2">
        <v>2160</v>
      </c>
      <c r="F282" s="2">
        <v>36069</v>
      </c>
      <c r="G282" s="2">
        <v>16854</v>
      </c>
      <c r="H282" s="2">
        <f t="shared" si="2"/>
        <v>55083</v>
      </c>
      <c r="I282" s="2">
        <v>1553447</v>
      </c>
      <c r="J282" s="2">
        <f t="shared" si="3"/>
        <v>3.5458564083615342E-2</v>
      </c>
    </row>
    <row r="283" spans="1:10" ht="13" x14ac:dyDescent="0.15">
      <c r="A283" s="1" t="s">
        <v>858</v>
      </c>
      <c r="B283" s="1" t="s">
        <v>859</v>
      </c>
      <c r="C283" s="4" t="s">
        <v>860</v>
      </c>
      <c r="D283" s="1" t="s">
        <v>14</v>
      </c>
      <c r="E283" s="2">
        <v>3837</v>
      </c>
      <c r="F283" s="2">
        <v>181776</v>
      </c>
      <c r="G283" s="2">
        <v>8537</v>
      </c>
      <c r="H283" s="2">
        <f t="shared" si="2"/>
        <v>194150</v>
      </c>
      <c r="I283" s="2">
        <v>1428056</v>
      </c>
      <c r="J283" s="2">
        <f t="shared" si="3"/>
        <v>0.13595405222204171</v>
      </c>
    </row>
    <row r="284" spans="1:10" ht="13" x14ac:dyDescent="0.15">
      <c r="A284" s="1" t="s">
        <v>861</v>
      </c>
      <c r="B284" s="1" t="s">
        <v>862</v>
      </c>
      <c r="C284" s="4" t="s">
        <v>863</v>
      </c>
      <c r="D284" s="1" t="s">
        <v>14</v>
      </c>
      <c r="E284" s="2">
        <v>12143</v>
      </c>
      <c r="F284" s="2">
        <v>53073</v>
      </c>
      <c r="G284" s="2">
        <v>30331</v>
      </c>
      <c r="H284" s="2">
        <f t="shared" si="2"/>
        <v>95547</v>
      </c>
      <c r="I284" s="2">
        <v>1611977</v>
      </c>
      <c r="J284" s="2">
        <f t="shared" si="3"/>
        <v>5.927317821532193E-2</v>
      </c>
    </row>
    <row r="285" spans="1:10" ht="13" x14ac:dyDescent="0.15">
      <c r="A285" s="1" t="s">
        <v>864</v>
      </c>
      <c r="B285" s="1" t="s">
        <v>865</v>
      </c>
      <c r="C285" s="4" t="s">
        <v>866</v>
      </c>
      <c r="D285" s="1" t="s">
        <v>14</v>
      </c>
      <c r="E285" s="2">
        <v>968</v>
      </c>
      <c r="F285" s="2">
        <v>93295</v>
      </c>
      <c r="G285" s="2">
        <v>13597</v>
      </c>
      <c r="H285" s="2">
        <f t="shared" si="2"/>
        <v>107860</v>
      </c>
      <c r="I285" s="2">
        <v>1581947</v>
      </c>
      <c r="J285" s="2">
        <f t="shared" si="3"/>
        <v>6.8181803815172068E-2</v>
      </c>
    </row>
    <row r="286" spans="1:10" ht="13" x14ac:dyDescent="0.15">
      <c r="A286" s="1" t="s">
        <v>867</v>
      </c>
      <c r="B286" s="1" t="s">
        <v>868</v>
      </c>
      <c r="C286" s="4" t="s">
        <v>869</v>
      </c>
      <c r="D286" s="1" t="s">
        <v>14</v>
      </c>
      <c r="E286" s="2">
        <v>27639</v>
      </c>
      <c r="F286" s="2">
        <v>23880</v>
      </c>
      <c r="G286" s="2">
        <v>35305</v>
      </c>
      <c r="H286" s="2">
        <f t="shared" si="2"/>
        <v>86824</v>
      </c>
      <c r="I286" s="2">
        <v>1455829</v>
      </c>
      <c r="J286" s="2">
        <f t="shared" si="3"/>
        <v>5.9638872422516656E-2</v>
      </c>
    </row>
    <row r="287" spans="1:10" ht="13" x14ac:dyDescent="0.15">
      <c r="A287" s="1" t="s">
        <v>870</v>
      </c>
      <c r="B287" s="1" t="s">
        <v>871</v>
      </c>
      <c r="C287" s="4" t="s">
        <v>872</v>
      </c>
      <c r="D287" s="1" t="s">
        <v>14</v>
      </c>
      <c r="E287" s="2">
        <v>36376</v>
      </c>
      <c r="F287" s="2">
        <v>28171</v>
      </c>
      <c r="G287" s="2">
        <v>23737</v>
      </c>
      <c r="H287" s="2">
        <f t="shared" si="2"/>
        <v>88284</v>
      </c>
      <c r="I287" s="2">
        <v>1617119</v>
      </c>
      <c r="J287" s="2">
        <f t="shared" si="3"/>
        <v>5.4593384902409781E-2</v>
      </c>
    </row>
    <row r="288" spans="1:10" ht="13" x14ac:dyDescent="0.15">
      <c r="A288" s="1" t="s">
        <v>873</v>
      </c>
      <c r="B288" s="1" t="s">
        <v>874</v>
      </c>
      <c r="C288" s="4" t="s">
        <v>875</v>
      </c>
      <c r="D288" s="1" t="s">
        <v>14</v>
      </c>
      <c r="E288" s="2">
        <v>7418</v>
      </c>
      <c r="F288" s="2">
        <v>123707</v>
      </c>
      <c r="G288" s="2">
        <v>30446</v>
      </c>
      <c r="H288" s="2">
        <f t="shared" si="2"/>
        <v>161571</v>
      </c>
      <c r="I288" s="2">
        <v>1364700</v>
      </c>
      <c r="J288" s="2">
        <f t="shared" si="3"/>
        <v>0.1183930534183337</v>
      </c>
    </row>
    <row r="289" spans="1:10" ht="13" x14ac:dyDescent="0.15">
      <c r="A289" s="1" t="s">
        <v>876</v>
      </c>
      <c r="B289" s="1" t="s">
        <v>877</v>
      </c>
      <c r="C289" s="4" t="s">
        <v>878</v>
      </c>
      <c r="D289" s="1" t="s">
        <v>14</v>
      </c>
      <c r="E289" s="2">
        <v>22127</v>
      </c>
      <c r="F289" s="2">
        <v>42559</v>
      </c>
      <c r="G289" s="2">
        <v>36255</v>
      </c>
      <c r="H289" s="2">
        <f t="shared" si="2"/>
        <v>100941</v>
      </c>
      <c r="I289" s="2">
        <v>1537902</v>
      </c>
      <c r="J289" s="2">
        <f t="shared" si="3"/>
        <v>6.5635521639220179E-2</v>
      </c>
    </row>
    <row r="290" spans="1:10" ht="13" x14ac:dyDescent="0.15">
      <c r="A290" s="1" t="s">
        <v>879</v>
      </c>
      <c r="B290" s="1" t="s">
        <v>880</v>
      </c>
      <c r="C290" s="4" t="s">
        <v>881</v>
      </c>
      <c r="D290" s="1" t="s">
        <v>14</v>
      </c>
      <c r="E290" s="2">
        <v>19743</v>
      </c>
      <c r="F290" s="2">
        <v>51601</v>
      </c>
      <c r="G290" s="2">
        <v>19033</v>
      </c>
      <c r="H290" s="2">
        <f t="shared" si="2"/>
        <v>90377</v>
      </c>
      <c r="I290" s="2">
        <v>1693946</v>
      </c>
      <c r="J290" s="2">
        <f t="shared" si="3"/>
        <v>5.3352940412504296E-2</v>
      </c>
    </row>
    <row r="291" spans="1:10" ht="13" x14ac:dyDescent="0.15">
      <c r="A291" s="1" t="s">
        <v>882</v>
      </c>
      <c r="B291" s="1" t="s">
        <v>883</v>
      </c>
      <c r="C291" s="4" t="s">
        <v>884</v>
      </c>
      <c r="D291" s="1" t="s">
        <v>14</v>
      </c>
      <c r="E291" s="2">
        <v>11677</v>
      </c>
      <c r="F291" s="2">
        <v>111057</v>
      </c>
      <c r="G291" s="2">
        <v>41068</v>
      </c>
      <c r="H291" s="2">
        <f t="shared" si="2"/>
        <v>163802</v>
      </c>
      <c r="I291" s="2">
        <v>1397694</v>
      </c>
      <c r="J291" s="2">
        <f t="shared" si="3"/>
        <v>0.11719446459668569</v>
      </c>
    </row>
    <row r="292" spans="1:10" ht="13" x14ac:dyDescent="0.15">
      <c r="A292" s="1" t="s">
        <v>885</v>
      </c>
      <c r="B292" s="1" t="s">
        <v>886</v>
      </c>
      <c r="C292" s="4" t="s">
        <v>887</v>
      </c>
      <c r="D292" s="1" t="s">
        <v>14</v>
      </c>
      <c r="E292" s="2">
        <v>35095</v>
      </c>
      <c r="F292" s="2">
        <v>94436</v>
      </c>
      <c r="G292" s="2">
        <v>52904</v>
      </c>
      <c r="H292" s="2">
        <f t="shared" si="2"/>
        <v>182435</v>
      </c>
      <c r="I292" s="2">
        <v>1699663</v>
      </c>
      <c r="J292" s="2">
        <f t="shared" si="3"/>
        <v>0.10733598366264371</v>
      </c>
    </row>
    <row r="293" spans="1:10" ht="13" x14ac:dyDescent="0.15">
      <c r="A293" s="1" t="s">
        <v>888</v>
      </c>
      <c r="B293" s="1" t="s">
        <v>889</v>
      </c>
      <c r="C293" s="4" t="s">
        <v>890</v>
      </c>
      <c r="D293" s="1" t="s">
        <v>14</v>
      </c>
      <c r="E293" s="2">
        <v>255</v>
      </c>
      <c r="F293" s="2">
        <v>31063</v>
      </c>
      <c r="G293" s="2">
        <v>9032</v>
      </c>
      <c r="H293" s="2">
        <f t="shared" si="2"/>
        <v>40350</v>
      </c>
      <c r="I293" s="2">
        <v>1476768</v>
      </c>
      <c r="J293" s="2">
        <f t="shared" si="3"/>
        <v>2.7323181434050575E-2</v>
      </c>
    </row>
    <row r="294" spans="1:10" ht="13" x14ac:dyDescent="0.15">
      <c r="A294" s="1" t="s">
        <v>891</v>
      </c>
      <c r="B294" s="1" t="s">
        <v>892</v>
      </c>
      <c r="C294" s="4" t="s">
        <v>893</v>
      </c>
      <c r="D294" s="1" t="s">
        <v>14</v>
      </c>
      <c r="E294" s="2">
        <v>34099</v>
      </c>
      <c r="F294" s="2">
        <v>74206</v>
      </c>
      <c r="G294" s="2">
        <v>64203</v>
      </c>
      <c r="H294" s="2">
        <f t="shared" si="2"/>
        <v>172508</v>
      </c>
      <c r="I294" s="2">
        <v>1349324</v>
      </c>
      <c r="J294" s="2">
        <f t="shared" si="3"/>
        <v>0.12784772226685362</v>
      </c>
    </row>
    <row r="295" spans="1:10" ht="13" x14ac:dyDescent="0.15">
      <c r="A295" s="1" t="s">
        <v>894</v>
      </c>
      <c r="B295" s="1" t="s">
        <v>895</v>
      </c>
      <c r="C295" s="4" t="s">
        <v>896</v>
      </c>
      <c r="D295" s="1" t="s">
        <v>14</v>
      </c>
      <c r="E295" s="2">
        <v>321</v>
      </c>
      <c r="F295" s="2">
        <v>129118</v>
      </c>
      <c r="G295" s="2">
        <v>13165</v>
      </c>
      <c r="H295" s="2">
        <f t="shared" si="2"/>
        <v>142604</v>
      </c>
      <c r="I295" s="2">
        <v>1723982</v>
      </c>
      <c r="J295" s="2">
        <f t="shared" si="3"/>
        <v>8.2717800997922253E-2</v>
      </c>
    </row>
    <row r="296" spans="1:10" ht="13" x14ac:dyDescent="0.15">
      <c r="A296" s="1" t="s">
        <v>897</v>
      </c>
      <c r="B296" s="1" t="s">
        <v>898</v>
      </c>
      <c r="C296" s="4" t="s">
        <v>899</v>
      </c>
      <c r="D296" s="1" t="s">
        <v>14</v>
      </c>
      <c r="E296" s="2">
        <v>6072</v>
      </c>
      <c r="F296" s="2">
        <v>39964</v>
      </c>
      <c r="G296" s="2">
        <v>10279</v>
      </c>
      <c r="H296" s="2">
        <f t="shared" si="2"/>
        <v>56315</v>
      </c>
      <c r="I296" s="2">
        <v>1589952</v>
      </c>
      <c r="J296" s="2">
        <f t="shared" si="3"/>
        <v>3.5419308255846715E-2</v>
      </c>
    </row>
    <row r="297" spans="1:10" ht="13" x14ac:dyDescent="0.15">
      <c r="A297" s="1" t="s">
        <v>900</v>
      </c>
      <c r="B297" s="1" t="s">
        <v>901</v>
      </c>
      <c r="C297" s="4" t="s">
        <v>902</v>
      </c>
      <c r="D297" s="1" t="s">
        <v>14</v>
      </c>
      <c r="E297" s="2">
        <v>2936</v>
      </c>
      <c r="F297" s="2">
        <v>47186</v>
      </c>
      <c r="G297" s="2">
        <v>13436</v>
      </c>
      <c r="H297" s="2">
        <f t="shared" si="2"/>
        <v>63558</v>
      </c>
      <c r="I297" s="2">
        <v>1602379</v>
      </c>
      <c r="J297" s="2">
        <f t="shared" si="3"/>
        <v>3.9664773439991412E-2</v>
      </c>
    </row>
    <row r="298" spans="1:10" ht="13" x14ac:dyDescent="0.15">
      <c r="A298" s="1" t="s">
        <v>903</v>
      </c>
      <c r="B298" s="1" t="s">
        <v>904</v>
      </c>
      <c r="C298" s="4" t="s">
        <v>905</v>
      </c>
      <c r="D298" s="1" t="s">
        <v>14</v>
      </c>
      <c r="E298" s="2">
        <v>3357</v>
      </c>
      <c r="F298" s="2">
        <v>31394</v>
      </c>
      <c r="G298" s="2">
        <v>6279</v>
      </c>
      <c r="H298" s="2">
        <f t="shared" si="2"/>
        <v>41030</v>
      </c>
      <c r="I298" s="2">
        <v>1436008</v>
      </c>
      <c r="J298" s="2">
        <f t="shared" si="3"/>
        <v>2.8572264221369239E-2</v>
      </c>
    </row>
    <row r="299" spans="1:10" ht="13" x14ac:dyDescent="0.15">
      <c r="A299" s="1" t="s">
        <v>906</v>
      </c>
      <c r="B299" s="1" t="s">
        <v>907</v>
      </c>
      <c r="C299" s="4" t="s">
        <v>908</v>
      </c>
      <c r="D299" s="1" t="s">
        <v>14</v>
      </c>
      <c r="E299" s="2">
        <v>72</v>
      </c>
      <c r="F299" s="2">
        <v>54419</v>
      </c>
      <c r="G299" s="2">
        <v>1317</v>
      </c>
      <c r="H299" s="2">
        <f t="shared" si="2"/>
        <v>55808</v>
      </c>
      <c r="I299" s="2">
        <v>1371429</v>
      </c>
      <c r="J299" s="2">
        <f t="shared" si="3"/>
        <v>4.0693320616670643E-2</v>
      </c>
    </row>
    <row r="300" spans="1:10" ht="13" x14ac:dyDescent="0.15">
      <c r="A300" s="1" t="s">
        <v>909</v>
      </c>
      <c r="B300" s="1" t="s">
        <v>910</v>
      </c>
      <c r="C300" s="4" t="s">
        <v>911</v>
      </c>
      <c r="D300" s="1" t="s">
        <v>14</v>
      </c>
      <c r="E300" s="2">
        <v>30208</v>
      </c>
      <c r="F300" s="2">
        <v>29728</v>
      </c>
      <c r="G300" s="2">
        <v>19821</v>
      </c>
      <c r="H300" s="2">
        <f t="shared" si="2"/>
        <v>79757</v>
      </c>
      <c r="I300" s="2">
        <v>1373356</v>
      </c>
      <c r="J300" s="2">
        <f t="shared" si="3"/>
        <v>5.8074526925283761E-2</v>
      </c>
    </row>
    <row r="301" spans="1:10" ht="13" x14ac:dyDescent="0.15">
      <c r="A301" s="1" t="s">
        <v>912</v>
      </c>
      <c r="B301" s="1" t="s">
        <v>913</v>
      </c>
      <c r="C301" s="4" t="s">
        <v>914</v>
      </c>
      <c r="D301" s="1" t="s">
        <v>14</v>
      </c>
      <c r="E301" s="2">
        <v>188</v>
      </c>
      <c r="F301" s="2">
        <v>93779</v>
      </c>
      <c r="G301" s="2">
        <v>1231</v>
      </c>
      <c r="H301" s="2">
        <f t="shared" si="2"/>
        <v>95198</v>
      </c>
      <c r="I301" s="2">
        <v>1629722</v>
      </c>
      <c r="J301" s="2">
        <f t="shared" si="3"/>
        <v>5.8413643553931284E-2</v>
      </c>
    </row>
    <row r="302" spans="1:10" ht="13" x14ac:dyDescent="0.15">
      <c r="A302" s="1" t="s">
        <v>915</v>
      </c>
      <c r="B302" s="1" t="s">
        <v>916</v>
      </c>
      <c r="C302" s="4" t="s">
        <v>917</v>
      </c>
      <c r="D302" s="1" t="s">
        <v>14</v>
      </c>
      <c r="E302" s="2">
        <v>15191</v>
      </c>
      <c r="F302" s="2">
        <v>114588</v>
      </c>
      <c r="G302" s="2">
        <v>33037</v>
      </c>
      <c r="H302" s="2">
        <f t="shared" si="2"/>
        <v>162816</v>
      </c>
      <c r="I302" s="2">
        <v>1828945</v>
      </c>
      <c r="J302" s="2">
        <f t="shared" si="3"/>
        <v>8.9021813121772389E-2</v>
      </c>
    </row>
    <row r="303" spans="1:10" ht="13" x14ac:dyDescent="0.15">
      <c r="A303" s="1" t="s">
        <v>918</v>
      </c>
      <c r="B303" s="1" t="s">
        <v>919</v>
      </c>
      <c r="C303" s="4" t="s">
        <v>920</v>
      </c>
      <c r="D303" s="1" t="s">
        <v>14</v>
      </c>
      <c r="E303" s="2">
        <v>6342</v>
      </c>
      <c r="F303" s="2">
        <v>166968</v>
      </c>
      <c r="G303" s="2">
        <v>53410</v>
      </c>
      <c r="H303" s="2">
        <f t="shared" si="2"/>
        <v>226720</v>
      </c>
      <c r="I303" s="2">
        <v>1924508</v>
      </c>
      <c r="J303" s="2">
        <f t="shared" si="3"/>
        <v>0.11780673294161417</v>
      </c>
    </row>
    <row r="304" spans="1:10" ht="13" x14ac:dyDescent="0.15">
      <c r="A304" s="1" t="s">
        <v>921</v>
      </c>
      <c r="B304" s="1" t="s">
        <v>922</v>
      </c>
      <c r="C304" s="4" t="s">
        <v>923</v>
      </c>
      <c r="D304" s="1" t="s">
        <v>14</v>
      </c>
      <c r="E304" s="2">
        <v>9005</v>
      </c>
      <c r="F304" s="2">
        <v>33031</v>
      </c>
      <c r="G304" s="2">
        <v>13106</v>
      </c>
      <c r="H304" s="2">
        <f t="shared" si="2"/>
        <v>55142</v>
      </c>
      <c r="I304" s="2">
        <v>1609606</v>
      </c>
      <c r="J304" s="2">
        <f t="shared" si="3"/>
        <v>3.4258073093663917E-2</v>
      </c>
    </row>
    <row r="305" spans="1:10" ht="13" x14ac:dyDescent="0.15">
      <c r="A305" s="1" t="s">
        <v>924</v>
      </c>
      <c r="B305" s="1" t="s">
        <v>925</v>
      </c>
      <c r="C305" s="4" t="s">
        <v>926</v>
      </c>
      <c r="D305" s="1" t="s">
        <v>14</v>
      </c>
      <c r="E305" s="2">
        <v>2396</v>
      </c>
      <c r="F305" s="2">
        <v>3059</v>
      </c>
      <c r="G305" s="2">
        <v>2769</v>
      </c>
      <c r="H305" s="2">
        <f t="shared" si="2"/>
        <v>8224</v>
      </c>
      <c r="I305" s="2">
        <v>1717457</v>
      </c>
      <c r="J305" s="2">
        <f t="shared" si="3"/>
        <v>4.7884750535239018E-3</v>
      </c>
    </row>
    <row r="306" spans="1:10" ht="13" x14ac:dyDescent="0.15">
      <c r="A306" s="1" t="s">
        <v>927</v>
      </c>
      <c r="B306" s="1" t="s">
        <v>928</v>
      </c>
      <c r="C306" s="4" t="s">
        <v>929</v>
      </c>
      <c r="D306" s="1" t="s">
        <v>14</v>
      </c>
      <c r="E306" s="2">
        <v>16448</v>
      </c>
      <c r="F306" s="2">
        <v>124768</v>
      </c>
      <c r="G306" s="2">
        <v>27841</v>
      </c>
      <c r="H306" s="2">
        <f t="shared" si="2"/>
        <v>169057</v>
      </c>
      <c r="I306" s="2">
        <v>1526710</v>
      </c>
      <c r="J306" s="2">
        <f t="shared" si="3"/>
        <v>0.11073288312777148</v>
      </c>
    </row>
    <row r="307" spans="1:10" ht="13" x14ac:dyDescent="0.15">
      <c r="A307" s="1" t="s">
        <v>930</v>
      </c>
      <c r="B307" s="1" t="s">
        <v>931</v>
      </c>
      <c r="C307" s="4" t="s">
        <v>932</v>
      </c>
      <c r="D307" s="1" t="s">
        <v>14</v>
      </c>
      <c r="E307" s="2">
        <v>15803</v>
      </c>
      <c r="F307" s="2">
        <v>34426</v>
      </c>
      <c r="G307" s="2">
        <v>26030</v>
      </c>
      <c r="H307" s="2">
        <f t="shared" si="2"/>
        <v>76259</v>
      </c>
      <c r="I307" s="2">
        <v>1560049</v>
      </c>
      <c r="J307" s="2">
        <f t="shared" si="3"/>
        <v>4.8882438949033012E-2</v>
      </c>
    </row>
    <row r="308" spans="1:10" ht="13" x14ac:dyDescent="0.15">
      <c r="A308" s="1" t="s">
        <v>933</v>
      </c>
      <c r="B308" s="1" t="s">
        <v>934</v>
      </c>
      <c r="C308" s="4" t="s">
        <v>935</v>
      </c>
      <c r="D308" s="1" t="s">
        <v>14</v>
      </c>
      <c r="E308" s="2">
        <v>1999</v>
      </c>
      <c r="F308" s="2">
        <v>69702</v>
      </c>
      <c r="G308" s="2">
        <v>21698</v>
      </c>
      <c r="H308" s="2">
        <f t="shared" si="2"/>
        <v>93399</v>
      </c>
      <c r="I308" s="2">
        <v>1673461</v>
      </c>
      <c r="J308" s="2">
        <f t="shared" si="3"/>
        <v>5.5811877300994767E-2</v>
      </c>
    </row>
    <row r="309" spans="1:10" ht="13" x14ac:dyDescent="0.15">
      <c r="A309" s="1" t="s">
        <v>936</v>
      </c>
      <c r="B309" s="1" t="s">
        <v>937</v>
      </c>
      <c r="C309" s="4" t="s">
        <v>938</v>
      </c>
      <c r="D309" s="1" t="s">
        <v>14</v>
      </c>
      <c r="E309" s="2">
        <v>7797</v>
      </c>
      <c r="F309" s="2">
        <v>193226</v>
      </c>
      <c r="G309" s="2">
        <v>10542</v>
      </c>
      <c r="H309" s="2">
        <f t="shared" si="2"/>
        <v>211565</v>
      </c>
      <c r="I309" s="2">
        <v>1421313</v>
      </c>
      <c r="J309" s="2">
        <f t="shared" si="3"/>
        <v>0.14885180111629176</v>
      </c>
    </row>
    <row r="310" spans="1:10" ht="13" x14ac:dyDescent="0.15">
      <c r="A310" s="1" t="s">
        <v>939</v>
      </c>
      <c r="B310" s="1" t="s">
        <v>940</v>
      </c>
      <c r="C310" s="4" t="s">
        <v>941</v>
      </c>
      <c r="D310" s="1" t="s">
        <v>14</v>
      </c>
      <c r="E310" s="2">
        <v>31705</v>
      </c>
      <c r="F310" s="2">
        <v>67607</v>
      </c>
      <c r="G310" s="2">
        <v>31773</v>
      </c>
      <c r="H310" s="2">
        <f t="shared" si="2"/>
        <v>131085</v>
      </c>
      <c r="I310" s="2">
        <v>1486027</v>
      </c>
      <c r="J310" s="2">
        <f t="shared" si="3"/>
        <v>8.8211721590522915E-2</v>
      </c>
    </row>
    <row r="311" spans="1:10" ht="13" x14ac:dyDescent="0.15">
      <c r="A311" s="1" t="s">
        <v>942</v>
      </c>
      <c r="B311" s="1" t="s">
        <v>943</v>
      </c>
      <c r="C311" s="4" t="s">
        <v>944</v>
      </c>
      <c r="D311" s="1" t="s">
        <v>14</v>
      </c>
      <c r="E311" s="2">
        <v>0</v>
      </c>
      <c r="F311" s="2">
        <v>12329</v>
      </c>
      <c r="G311" s="2">
        <v>157</v>
      </c>
      <c r="H311" s="2">
        <f t="shared" si="2"/>
        <v>12486</v>
      </c>
      <c r="I311" s="2">
        <v>1566559</v>
      </c>
      <c r="J311" s="2">
        <f t="shared" si="3"/>
        <v>7.9703349825956116E-3</v>
      </c>
    </row>
    <row r="312" spans="1:10" ht="13" x14ac:dyDescent="0.15">
      <c r="A312" s="1" t="s">
        <v>945</v>
      </c>
      <c r="B312" s="1" t="s">
        <v>946</v>
      </c>
      <c r="C312" s="4" t="s">
        <v>947</v>
      </c>
      <c r="D312" s="1" t="s">
        <v>14</v>
      </c>
      <c r="E312" s="2">
        <v>9464</v>
      </c>
      <c r="F312" s="2">
        <v>34029</v>
      </c>
      <c r="G312" s="2">
        <v>43011</v>
      </c>
      <c r="H312" s="2">
        <f t="shared" si="2"/>
        <v>86504</v>
      </c>
      <c r="I312" s="2">
        <v>1431673</v>
      </c>
      <c r="J312" s="2">
        <f t="shared" si="3"/>
        <v>6.0421618623805858E-2</v>
      </c>
    </row>
    <row r="313" spans="1:10" ht="13" x14ac:dyDescent="0.15">
      <c r="A313" s="1" t="s">
        <v>948</v>
      </c>
      <c r="B313" s="1" t="s">
        <v>949</v>
      </c>
      <c r="C313" s="4" t="s">
        <v>950</v>
      </c>
      <c r="D313" s="1" t="s">
        <v>14</v>
      </c>
      <c r="E313" s="2">
        <v>1637</v>
      </c>
      <c r="F313" s="2">
        <v>108994</v>
      </c>
      <c r="G313" s="2">
        <v>9759</v>
      </c>
      <c r="H313" s="2">
        <f t="shared" si="2"/>
        <v>120390</v>
      </c>
      <c r="I313" s="2">
        <v>1564372</v>
      </c>
      <c r="J313" s="2">
        <f t="shared" si="3"/>
        <v>7.6957398879550387E-2</v>
      </c>
    </row>
    <row r="314" spans="1:10" ht="13" x14ac:dyDescent="0.15">
      <c r="A314" s="1" t="s">
        <v>951</v>
      </c>
      <c r="B314" s="1" t="s">
        <v>952</v>
      </c>
      <c r="C314" s="4" t="s">
        <v>953</v>
      </c>
      <c r="D314" s="1" t="s">
        <v>14</v>
      </c>
      <c r="E314" s="2">
        <v>8099</v>
      </c>
      <c r="F314" s="2">
        <v>9678</v>
      </c>
      <c r="G314" s="2">
        <v>10473</v>
      </c>
      <c r="H314" s="2">
        <f t="shared" si="2"/>
        <v>28250</v>
      </c>
      <c r="I314" s="2">
        <v>1591271</v>
      </c>
      <c r="J314" s="2">
        <f t="shared" si="3"/>
        <v>1.775310427953504E-2</v>
      </c>
    </row>
    <row r="315" spans="1:10" ht="13" x14ac:dyDescent="0.15">
      <c r="A315" s="1" t="s">
        <v>954</v>
      </c>
      <c r="B315" s="1" t="s">
        <v>955</v>
      </c>
      <c r="C315" s="4" t="s">
        <v>956</v>
      </c>
      <c r="D315" s="1" t="s">
        <v>14</v>
      </c>
      <c r="E315" s="2">
        <v>9811</v>
      </c>
      <c r="F315" s="2">
        <v>49062</v>
      </c>
      <c r="G315" s="2">
        <v>14413</v>
      </c>
      <c r="H315" s="2">
        <f t="shared" si="2"/>
        <v>73286</v>
      </c>
      <c r="I315" s="2">
        <v>1458110</v>
      </c>
      <c r="J315" s="2">
        <f t="shared" si="3"/>
        <v>5.0260954248993558E-2</v>
      </c>
    </row>
    <row r="316" spans="1:10" ht="13" x14ac:dyDescent="0.15">
      <c r="A316" s="1" t="s">
        <v>957</v>
      </c>
      <c r="B316" s="1" t="s">
        <v>958</v>
      </c>
      <c r="C316" s="4" t="s">
        <v>959</v>
      </c>
      <c r="D316" s="1" t="s">
        <v>14</v>
      </c>
      <c r="E316" s="2">
        <v>1628</v>
      </c>
      <c r="F316" s="2">
        <v>26224</v>
      </c>
      <c r="G316" s="2">
        <v>5908</v>
      </c>
      <c r="H316" s="2">
        <f t="shared" si="2"/>
        <v>33760</v>
      </c>
      <c r="I316" s="2">
        <v>1615402</v>
      </c>
      <c r="J316" s="2">
        <f t="shared" si="3"/>
        <v>2.0898822707908001E-2</v>
      </c>
    </row>
    <row r="317" spans="1:10" ht="13" x14ac:dyDescent="0.15">
      <c r="A317" s="1" t="s">
        <v>960</v>
      </c>
      <c r="B317" s="1" t="s">
        <v>961</v>
      </c>
      <c r="C317" s="4" t="s">
        <v>962</v>
      </c>
      <c r="D317" s="1" t="s">
        <v>14</v>
      </c>
      <c r="E317" s="2">
        <v>24382</v>
      </c>
      <c r="F317" s="2">
        <v>167382</v>
      </c>
      <c r="G317" s="2">
        <v>33064</v>
      </c>
      <c r="H317" s="2">
        <f t="shared" si="2"/>
        <v>224828</v>
      </c>
      <c r="I317" s="2">
        <v>1591641</v>
      </c>
      <c r="J317" s="2">
        <f t="shared" si="3"/>
        <v>0.14125547155420098</v>
      </c>
    </row>
    <row r="318" spans="1:10" ht="13" x14ac:dyDescent="0.15">
      <c r="A318" s="1" t="s">
        <v>963</v>
      </c>
      <c r="B318" s="1" t="s">
        <v>964</v>
      </c>
      <c r="C318" s="4" t="s">
        <v>965</v>
      </c>
      <c r="D318" s="1" t="s">
        <v>14</v>
      </c>
      <c r="E318" s="2">
        <v>3003</v>
      </c>
      <c r="F318" s="2">
        <v>96733</v>
      </c>
      <c r="G318" s="2">
        <v>7359</v>
      </c>
      <c r="H318" s="2">
        <f t="shared" si="2"/>
        <v>107095</v>
      </c>
      <c r="I318" s="2">
        <v>1491153</v>
      </c>
      <c r="J318" s="2">
        <f t="shared" si="3"/>
        <v>7.1820262575335997E-2</v>
      </c>
    </row>
    <row r="319" spans="1:10" ht="13" x14ac:dyDescent="0.15">
      <c r="A319" s="1" t="s">
        <v>966</v>
      </c>
      <c r="B319" s="1" t="s">
        <v>967</v>
      </c>
      <c r="C319" s="4" t="s">
        <v>968</v>
      </c>
      <c r="D319" s="1" t="s">
        <v>14</v>
      </c>
      <c r="E319" s="2">
        <v>1469</v>
      </c>
      <c r="F319" s="2">
        <v>19476</v>
      </c>
      <c r="G319" s="2">
        <v>9895</v>
      </c>
      <c r="H319" s="2">
        <f t="shared" si="2"/>
        <v>30840</v>
      </c>
      <c r="I319" s="2">
        <v>1411942</v>
      </c>
      <c r="J319" s="2">
        <f t="shared" si="3"/>
        <v>2.184225697656136E-2</v>
      </c>
    </row>
    <row r="320" spans="1:10" ht="13" x14ac:dyDescent="0.15">
      <c r="A320" s="1" t="s">
        <v>969</v>
      </c>
      <c r="B320" s="1" t="s">
        <v>970</v>
      </c>
      <c r="C320" s="4" t="s">
        <v>971</v>
      </c>
      <c r="D320" s="1" t="s">
        <v>14</v>
      </c>
      <c r="E320" s="2">
        <v>7018</v>
      </c>
      <c r="F320" s="2">
        <v>83152</v>
      </c>
      <c r="G320" s="2">
        <v>19960</v>
      </c>
      <c r="H320" s="2">
        <f t="shared" si="2"/>
        <v>110130</v>
      </c>
      <c r="I320" s="2">
        <v>1590444</v>
      </c>
      <c r="J320" s="2">
        <f t="shared" si="3"/>
        <v>6.924481465553016E-2</v>
      </c>
    </row>
    <row r="321" spans="1:10" ht="13" x14ac:dyDescent="0.15">
      <c r="A321" s="1" t="s">
        <v>972</v>
      </c>
      <c r="B321" s="1" t="s">
        <v>973</v>
      </c>
      <c r="C321" s="4" t="s">
        <v>974</v>
      </c>
      <c r="D321" s="1" t="s">
        <v>14</v>
      </c>
      <c r="E321" s="2">
        <v>4007</v>
      </c>
      <c r="F321" s="2">
        <v>117484</v>
      </c>
      <c r="G321" s="2">
        <v>24519</v>
      </c>
      <c r="H321" s="2">
        <f t="shared" si="2"/>
        <v>146010</v>
      </c>
      <c r="I321" s="2">
        <v>1628820</v>
      </c>
      <c r="J321" s="2">
        <f t="shared" si="3"/>
        <v>8.9641581021844038E-2</v>
      </c>
    </row>
    <row r="322" spans="1:10" ht="13" x14ac:dyDescent="0.15">
      <c r="A322" s="1" t="s">
        <v>975</v>
      </c>
      <c r="B322" s="1" t="s">
        <v>976</v>
      </c>
      <c r="C322" s="4" t="s">
        <v>977</v>
      </c>
      <c r="D322" s="1" t="s">
        <v>14</v>
      </c>
      <c r="E322" s="2">
        <v>24378</v>
      </c>
      <c r="F322" s="2">
        <v>97836</v>
      </c>
      <c r="G322" s="2">
        <v>20141</v>
      </c>
      <c r="H322" s="2">
        <f t="shared" si="2"/>
        <v>142355</v>
      </c>
      <c r="I322" s="2">
        <v>1580700</v>
      </c>
      <c r="J322" s="2">
        <f t="shared" si="3"/>
        <v>9.0058202062377427E-2</v>
      </c>
    </row>
    <row r="323" spans="1:10" ht="13" x14ac:dyDescent="0.15">
      <c r="A323" s="1" t="s">
        <v>978</v>
      </c>
      <c r="B323" s="1" t="s">
        <v>979</v>
      </c>
      <c r="C323" s="4" t="s">
        <v>980</v>
      </c>
      <c r="D323" s="1" t="s">
        <v>14</v>
      </c>
      <c r="E323" s="2">
        <v>2899</v>
      </c>
      <c r="F323" s="2">
        <v>24525</v>
      </c>
      <c r="G323" s="2">
        <v>17130</v>
      </c>
      <c r="H323" s="2">
        <f t="shared" si="2"/>
        <v>44554</v>
      </c>
      <c r="I323" s="2">
        <v>1334462</v>
      </c>
      <c r="J323" s="2">
        <f t="shared" si="3"/>
        <v>3.3387237703284167E-2</v>
      </c>
    </row>
    <row r="324" spans="1:10" ht="13" x14ac:dyDescent="0.15">
      <c r="A324" s="1" t="s">
        <v>981</v>
      </c>
      <c r="B324" s="1" t="s">
        <v>982</v>
      </c>
      <c r="C324" s="4" t="s">
        <v>983</v>
      </c>
      <c r="D324" s="1" t="s">
        <v>14</v>
      </c>
      <c r="E324" s="2">
        <v>1831</v>
      </c>
      <c r="F324" s="2">
        <v>38403</v>
      </c>
      <c r="G324" s="2">
        <v>5273</v>
      </c>
      <c r="H324" s="2">
        <f t="shared" si="2"/>
        <v>45507</v>
      </c>
      <c r="I324" s="2">
        <v>1474337</v>
      </c>
      <c r="J324" s="2">
        <f t="shared" si="3"/>
        <v>3.0866077430058394E-2</v>
      </c>
    </row>
    <row r="325" spans="1:10" ht="13" x14ac:dyDescent="0.15">
      <c r="A325" s="1" t="s">
        <v>984</v>
      </c>
      <c r="B325" s="1" t="s">
        <v>985</v>
      </c>
      <c r="C325" s="4" t="s">
        <v>986</v>
      </c>
      <c r="D325" s="1" t="s">
        <v>14</v>
      </c>
      <c r="E325" s="2">
        <v>45458</v>
      </c>
      <c r="F325" s="2">
        <v>103690</v>
      </c>
      <c r="G325" s="2">
        <v>40110</v>
      </c>
      <c r="H325" s="2">
        <f t="shared" si="2"/>
        <v>189258</v>
      </c>
      <c r="I325" s="2">
        <v>1731671</v>
      </c>
      <c r="J325" s="2">
        <f t="shared" si="3"/>
        <v>0.10929212304184802</v>
      </c>
    </row>
    <row r="326" spans="1:10" ht="13" x14ac:dyDescent="0.15">
      <c r="A326" s="1" t="s">
        <v>987</v>
      </c>
      <c r="B326" s="1" t="s">
        <v>988</v>
      </c>
      <c r="C326" s="4" t="s">
        <v>989</v>
      </c>
      <c r="D326" s="1" t="s">
        <v>14</v>
      </c>
      <c r="E326" s="2">
        <v>29208</v>
      </c>
      <c r="F326" s="2">
        <v>84041</v>
      </c>
      <c r="G326" s="2">
        <v>45584</v>
      </c>
      <c r="H326" s="2">
        <f t="shared" si="2"/>
        <v>158833</v>
      </c>
      <c r="I326" s="2">
        <v>1523501</v>
      </c>
      <c r="J326" s="2">
        <f t="shared" si="3"/>
        <v>0.10425526468312131</v>
      </c>
    </row>
    <row r="327" spans="1:10" ht="13" x14ac:dyDescent="0.15">
      <c r="A327" s="1" t="s">
        <v>990</v>
      </c>
      <c r="B327" s="1" t="s">
        <v>991</v>
      </c>
      <c r="C327" s="4" t="s">
        <v>992</v>
      </c>
      <c r="D327" s="1" t="s">
        <v>14</v>
      </c>
      <c r="E327" s="2">
        <v>6199</v>
      </c>
      <c r="F327" s="2">
        <v>49999</v>
      </c>
      <c r="G327" s="2">
        <v>29782</v>
      </c>
      <c r="H327" s="2">
        <f t="shared" si="2"/>
        <v>85980</v>
      </c>
      <c r="I327" s="2">
        <v>1570222</v>
      </c>
      <c r="J327" s="2">
        <f t="shared" si="3"/>
        <v>5.4756588558815253E-2</v>
      </c>
    </row>
    <row r="328" spans="1:10" ht="13" x14ac:dyDescent="0.15">
      <c r="A328" s="1" t="s">
        <v>993</v>
      </c>
      <c r="B328" s="1" t="s">
        <v>994</v>
      </c>
      <c r="C328" s="4" t="s">
        <v>995</v>
      </c>
      <c r="D328" s="1" t="s">
        <v>14</v>
      </c>
      <c r="E328" s="2">
        <v>118</v>
      </c>
      <c r="F328" s="2">
        <v>14524</v>
      </c>
      <c r="G328" s="2">
        <v>21449</v>
      </c>
      <c r="H328" s="2">
        <f t="shared" si="2"/>
        <v>36091</v>
      </c>
      <c r="I328" s="2">
        <v>1239924</v>
      </c>
      <c r="J328" s="2">
        <f t="shared" si="3"/>
        <v>2.910742916501334E-2</v>
      </c>
    </row>
    <row r="329" spans="1:10" ht="13" x14ac:dyDescent="0.15">
      <c r="A329" s="1" t="s">
        <v>996</v>
      </c>
      <c r="B329" s="1" t="s">
        <v>997</v>
      </c>
      <c r="C329" s="4" t="s">
        <v>998</v>
      </c>
      <c r="D329" s="1" t="s">
        <v>14</v>
      </c>
      <c r="E329" s="2">
        <v>27206</v>
      </c>
      <c r="F329" s="2">
        <v>59503</v>
      </c>
      <c r="G329" s="2">
        <v>63077</v>
      </c>
      <c r="H329" s="2">
        <f t="shared" si="2"/>
        <v>149786</v>
      </c>
      <c r="I329" s="2">
        <v>1637181</v>
      </c>
      <c r="J329" s="2">
        <f t="shared" si="3"/>
        <v>9.1490189539214048E-2</v>
      </c>
    </row>
    <row r="330" spans="1:10" ht="13" x14ac:dyDescent="0.15">
      <c r="A330" s="1" t="s">
        <v>999</v>
      </c>
      <c r="B330" s="1" t="s">
        <v>1000</v>
      </c>
      <c r="C330" s="4" t="s">
        <v>1001</v>
      </c>
      <c r="D330" s="1" t="s">
        <v>14</v>
      </c>
      <c r="E330" s="2">
        <v>23498</v>
      </c>
      <c r="F330" s="2">
        <v>171556</v>
      </c>
      <c r="G330" s="2">
        <v>57240</v>
      </c>
      <c r="H330" s="2">
        <f t="shared" si="2"/>
        <v>252294</v>
      </c>
      <c r="I330" s="2">
        <v>1543404</v>
      </c>
      <c r="J330" s="2">
        <f t="shared" si="3"/>
        <v>0.16346594929130676</v>
      </c>
    </row>
    <row r="331" spans="1:10" ht="13" x14ac:dyDescent="0.15">
      <c r="A331" s="1" t="s">
        <v>1002</v>
      </c>
      <c r="B331" s="1" t="s">
        <v>1003</v>
      </c>
      <c r="C331" s="4" t="s">
        <v>1004</v>
      </c>
      <c r="D331" s="1" t="s">
        <v>14</v>
      </c>
      <c r="E331" s="2">
        <v>57189</v>
      </c>
      <c r="F331" s="2">
        <v>35715</v>
      </c>
      <c r="G331" s="2">
        <v>84287</v>
      </c>
      <c r="H331" s="2">
        <f t="shared" si="2"/>
        <v>177191</v>
      </c>
      <c r="I331" s="2">
        <v>1718770</v>
      </c>
      <c r="J331" s="2">
        <f t="shared" si="3"/>
        <v>0.10309174584150294</v>
      </c>
    </row>
    <row r="332" spans="1:10" ht="13" x14ac:dyDescent="0.15">
      <c r="A332" s="1" t="s">
        <v>1005</v>
      </c>
      <c r="B332" s="1" t="s">
        <v>1006</v>
      </c>
      <c r="C332" s="4" t="s">
        <v>1007</v>
      </c>
      <c r="D332" s="1" t="s">
        <v>14</v>
      </c>
      <c r="E332" s="2">
        <v>74</v>
      </c>
      <c r="F332" s="2">
        <v>85909</v>
      </c>
      <c r="G332" s="2">
        <v>5145</v>
      </c>
      <c r="H332" s="2">
        <f t="shared" si="2"/>
        <v>91128</v>
      </c>
      <c r="I332" s="2">
        <v>1558674</v>
      </c>
      <c r="J332" s="2">
        <f t="shared" si="3"/>
        <v>5.8465079933327946E-2</v>
      </c>
    </row>
    <row r="333" spans="1:10" ht="13" x14ac:dyDescent="0.15">
      <c r="A333" s="1" t="s">
        <v>1008</v>
      </c>
      <c r="B333" s="1" t="s">
        <v>1009</v>
      </c>
      <c r="C333" s="4" t="s">
        <v>1010</v>
      </c>
      <c r="D333" s="1" t="s">
        <v>14</v>
      </c>
      <c r="E333" s="2">
        <v>40786</v>
      </c>
      <c r="F333" s="2">
        <v>22693</v>
      </c>
      <c r="G333" s="2">
        <v>44157</v>
      </c>
      <c r="H333" s="2">
        <f t="shared" si="2"/>
        <v>107636</v>
      </c>
      <c r="I333" s="2">
        <v>1540522</v>
      </c>
      <c r="J333" s="2">
        <f t="shared" si="3"/>
        <v>6.9869823345593246E-2</v>
      </c>
    </row>
    <row r="334" spans="1:10" ht="13" x14ac:dyDescent="0.15">
      <c r="A334" s="1" t="s">
        <v>1011</v>
      </c>
      <c r="B334" s="1" t="s">
        <v>1012</v>
      </c>
      <c r="C334" s="4" t="s">
        <v>1013</v>
      </c>
      <c r="D334" s="1" t="s">
        <v>14</v>
      </c>
      <c r="E334" s="2">
        <v>1427</v>
      </c>
      <c r="F334" s="2">
        <v>61463</v>
      </c>
      <c r="G334" s="2">
        <v>7356</v>
      </c>
      <c r="H334" s="2">
        <f t="shared" si="2"/>
        <v>70246</v>
      </c>
      <c r="I334" s="2">
        <v>1549537</v>
      </c>
      <c r="J334" s="2">
        <f t="shared" si="3"/>
        <v>4.5333541567577927E-2</v>
      </c>
    </row>
    <row r="335" spans="1:10" ht="13" x14ac:dyDescent="0.15">
      <c r="A335" s="1" t="s">
        <v>1014</v>
      </c>
      <c r="B335" s="1" t="s">
        <v>1015</v>
      </c>
      <c r="C335" s="4" t="s">
        <v>1016</v>
      </c>
      <c r="D335" s="1" t="s">
        <v>14</v>
      </c>
      <c r="E335" s="2">
        <v>11063</v>
      </c>
      <c r="F335" s="2">
        <v>64684</v>
      </c>
      <c r="G335" s="2">
        <v>13721</v>
      </c>
      <c r="H335" s="2">
        <f t="shared" si="2"/>
        <v>89468</v>
      </c>
      <c r="I335" s="2">
        <v>1360674</v>
      </c>
      <c r="J335" s="2">
        <f t="shared" si="3"/>
        <v>6.5752707849198261E-2</v>
      </c>
    </row>
    <row r="336" spans="1:10" ht="13" x14ac:dyDescent="0.15">
      <c r="A336" s="1" t="s">
        <v>1017</v>
      </c>
      <c r="B336" s="1" t="s">
        <v>1018</v>
      </c>
      <c r="C336" s="4" t="s">
        <v>1019</v>
      </c>
      <c r="D336" s="1" t="s">
        <v>14</v>
      </c>
      <c r="E336" s="2">
        <v>6003</v>
      </c>
      <c r="F336" s="2">
        <v>121707</v>
      </c>
      <c r="G336" s="2">
        <v>22243</v>
      </c>
      <c r="H336" s="2">
        <f t="shared" si="2"/>
        <v>149953</v>
      </c>
      <c r="I336" s="2">
        <v>1452677</v>
      </c>
      <c r="J336" s="2">
        <f t="shared" si="3"/>
        <v>0.10322528683251679</v>
      </c>
    </row>
    <row r="337" spans="1:10" ht="13" x14ac:dyDescent="0.15">
      <c r="A337" s="1" t="s">
        <v>1020</v>
      </c>
      <c r="B337" s="1" t="s">
        <v>1021</v>
      </c>
      <c r="C337" s="4" t="s">
        <v>1022</v>
      </c>
      <c r="D337" s="1" t="s">
        <v>14</v>
      </c>
      <c r="E337" s="2">
        <v>4921</v>
      </c>
      <c r="F337" s="2">
        <v>51788</v>
      </c>
      <c r="G337" s="2">
        <v>20788</v>
      </c>
      <c r="H337" s="2">
        <f t="shared" si="2"/>
        <v>77497</v>
      </c>
      <c r="I337" s="2">
        <v>1344770</v>
      </c>
      <c r="J337" s="2">
        <f t="shared" si="3"/>
        <v>5.7628442038415488E-2</v>
      </c>
    </row>
    <row r="338" spans="1:10" ht="13" x14ac:dyDescent="0.15">
      <c r="A338" s="1" t="s">
        <v>1023</v>
      </c>
      <c r="B338" s="1" t="s">
        <v>1024</v>
      </c>
      <c r="C338" s="4" t="s">
        <v>1025</v>
      </c>
      <c r="D338" s="1" t="s">
        <v>14</v>
      </c>
      <c r="E338" s="2">
        <v>953</v>
      </c>
      <c r="F338" s="2">
        <v>20779</v>
      </c>
      <c r="G338" s="2">
        <v>4845</v>
      </c>
      <c r="H338" s="2">
        <f t="shared" si="2"/>
        <v>26577</v>
      </c>
      <c r="I338" s="2">
        <v>1475048</v>
      </c>
      <c r="J338" s="2">
        <f t="shared" si="3"/>
        <v>1.8017718745423877E-2</v>
      </c>
    </row>
    <row r="339" spans="1:10" ht="13" x14ac:dyDescent="0.15">
      <c r="A339" s="1" t="s">
        <v>1026</v>
      </c>
      <c r="B339" s="1" t="s">
        <v>1027</v>
      </c>
      <c r="C339" s="4" t="s">
        <v>1028</v>
      </c>
      <c r="D339" s="1" t="s">
        <v>14</v>
      </c>
      <c r="E339" s="2">
        <v>21366</v>
      </c>
      <c r="F339" s="2">
        <v>92423</v>
      </c>
      <c r="G339" s="2">
        <v>18926</v>
      </c>
      <c r="H339" s="2">
        <f t="shared" si="2"/>
        <v>132715</v>
      </c>
      <c r="I339" s="2">
        <v>1535798</v>
      </c>
      <c r="J339" s="2">
        <f t="shared" si="3"/>
        <v>8.6414359180048417E-2</v>
      </c>
    </row>
    <row r="340" spans="1:10" ht="13" x14ac:dyDescent="0.15">
      <c r="A340" s="1" t="s">
        <v>1029</v>
      </c>
      <c r="B340" s="1" t="s">
        <v>1030</v>
      </c>
      <c r="C340" s="4" t="s">
        <v>1031</v>
      </c>
      <c r="D340" s="1" t="s">
        <v>14</v>
      </c>
      <c r="E340" s="2">
        <v>21324</v>
      </c>
      <c r="F340" s="2">
        <v>47465</v>
      </c>
      <c r="G340" s="2">
        <v>32576</v>
      </c>
      <c r="H340" s="2">
        <f t="shared" si="2"/>
        <v>101365</v>
      </c>
      <c r="I340" s="2">
        <v>1655086</v>
      </c>
      <c r="J340" s="2">
        <f t="shared" si="3"/>
        <v>6.1244551642633677E-2</v>
      </c>
    </row>
    <row r="341" spans="1:10" ht="13" x14ac:dyDescent="0.15">
      <c r="A341" s="1" t="s">
        <v>1032</v>
      </c>
      <c r="B341" s="1" t="s">
        <v>1033</v>
      </c>
      <c r="C341" s="4" t="s">
        <v>1034</v>
      </c>
      <c r="D341" s="1" t="s">
        <v>14</v>
      </c>
      <c r="E341" s="2">
        <v>10879</v>
      </c>
      <c r="F341" s="2">
        <v>78356</v>
      </c>
      <c r="G341" s="2">
        <v>39664</v>
      </c>
      <c r="H341" s="2">
        <f t="shared" si="2"/>
        <v>128899</v>
      </c>
      <c r="I341" s="2">
        <v>1464820</v>
      </c>
      <c r="J341" s="2">
        <f t="shared" si="3"/>
        <v>8.7996477382886629E-2</v>
      </c>
    </row>
    <row r="342" spans="1:10" ht="13" x14ac:dyDescent="0.15">
      <c r="A342" s="1" t="s">
        <v>1035</v>
      </c>
      <c r="B342" s="1" t="s">
        <v>1036</v>
      </c>
      <c r="C342" s="4" t="s">
        <v>1037</v>
      </c>
      <c r="D342" s="1" t="s">
        <v>14</v>
      </c>
      <c r="E342" s="2">
        <v>1603</v>
      </c>
      <c r="F342" s="2">
        <v>86231</v>
      </c>
      <c r="G342" s="2">
        <v>16884</v>
      </c>
      <c r="H342" s="2">
        <f t="shared" si="2"/>
        <v>104718</v>
      </c>
      <c r="I342" s="2">
        <v>1483800</v>
      </c>
      <c r="J342" s="2">
        <f t="shared" si="3"/>
        <v>7.0574201374848364E-2</v>
      </c>
    </row>
    <row r="343" spans="1:10" ht="13" x14ac:dyDescent="0.15">
      <c r="A343" s="1" t="s">
        <v>1038</v>
      </c>
      <c r="B343" s="1" t="s">
        <v>1039</v>
      </c>
      <c r="C343" s="4" t="s">
        <v>1040</v>
      </c>
      <c r="D343" s="1" t="s">
        <v>14</v>
      </c>
      <c r="E343" s="2">
        <v>0</v>
      </c>
      <c r="F343" s="2">
        <v>23043</v>
      </c>
      <c r="G343" s="2">
        <v>3792</v>
      </c>
      <c r="H343" s="2">
        <f t="shared" si="2"/>
        <v>26835</v>
      </c>
      <c r="I343" s="2">
        <v>1557221</v>
      </c>
      <c r="J343" s="2">
        <f t="shared" si="3"/>
        <v>1.7232621445510944E-2</v>
      </c>
    </row>
    <row r="344" spans="1:10" ht="13" x14ac:dyDescent="0.15">
      <c r="A344" s="1" t="s">
        <v>1041</v>
      </c>
      <c r="B344" s="1" t="s">
        <v>1042</v>
      </c>
      <c r="C344" s="4" t="s">
        <v>1043</v>
      </c>
      <c r="D344" s="1" t="s">
        <v>14</v>
      </c>
      <c r="E344" s="2">
        <v>484</v>
      </c>
      <c r="F344" s="2">
        <v>28005</v>
      </c>
      <c r="G344" s="2">
        <v>6645</v>
      </c>
      <c r="H344" s="2">
        <f t="shared" si="2"/>
        <v>35134</v>
      </c>
      <c r="I344" s="2">
        <v>1395295</v>
      </c>
      <c r="J344" s="2">
        <f t="shared" si="3"/>
        <v>2.5180338208049192E-2</v>
      </c>
    </row>
    <row r="345" spans="1:10" ht="13" x14ac:dyDescent="0.15">
      <c r="A345" s="1" t="s">
        <v>1044</v>
      </c>
      <c r="B345" s="1" t="s">
        <v>1045</v>
      </c>
      <c r="C345" s="4" t="s">
        <v>1046</v>
      </c>
      <c r="D345" s="1" t="s">
        <v>14</v>
      </c>
      <c r="E345" s="2">
        <v>6878</v>
      </c>
      <c r="F345" s="2">
        <v>139863</v>
      </c>
      <c r="G345" s="2">
        <v>19086</v>
      </c>
      <c r="H345" s="2">
        <f t="shared" si="2"/>
        <v>165827</v>
      </c>
      <c r="I345" s="2">
        <v>1614633</v>
      </c>
      <c r="J345" s="2">
        <f t="shared" si="3"/>
        <v>0.10270259557435034</v>
      </c>
    </row>
    <row r="346" spans="1:10" ht="13" x14ac:dyDescent="0.15">
      <c r="A346" s="1" t="s">
        <v>1047</v>
      </c>
      <c r="B346" s="1" t="s">
        <v>1048</v>
      </c>
      <c r="C346" s="4" t="s">
        <v>1049</v>
      </c>
      <c r="D346" s="1" t="s">
        <v>14</v>
      </c>
      <c r="E346" s="2">
        <v>16285</v>
      </c>
      <c r="F346" s="2">
        <v>45218</v>
      </c>
      <c r="G346" s="2">
        <v>14367</v>
      </c>
      <c r="H346" s="2">
        <f t="shared" si="2"/>
        <v>75870</v>
      </c>
      <c r="I346" s="2">
        <v>1633977</v>
      </c>
      <c r="J346" s="2">
        <f t="shared" si="3"/>
        <v>4.6432722125219636E-2</v>
      </c>
    </row>
    <row r="347" spans="1:10" ht="13" x14ac:dyDescent="0.15">
      <c r="A347" s="1" t="s">
        <v>1050</v>
      </c>
      <c r="B347" s="1" t="s">
        <v>1051</v>
      </c>
      <c r="C347" s="4" t="s">
        <v>1052</v>
      </c>
      <c r="D347" s="1" t="s">
        <v>14</v>
      </c>
      <c r="E347" s="2">
        <v>40282</v>
      </c>
      <c r="F347" s="2">
        <v>84536</v>
      </c>
      <c r="G347" s="2">
        <v>28868</v>
      </c>
      <c r="H347" s="2">
        <f t="shared" si="2"/>
        <v>153686</v>
      </c>
      <c r="I347" s="2">
        <v>1972933</v>
      </c>
      <c r="J347" s="2">
        <f t="shared" si="3"/>
        <v>7.7897222054676973E-2</v>
      </c>
    </row>
    <row r="348" spans="1:10" ht="13" x14ac:dyDescent="0.15">
      <c r="A348" s="1" t="s">
        <v>1053</v>
      </c>
      <c r="B348" s="1" t="s">
        <v>1054</v>
      </c>
      <c r="C348" s="4" t="s">
        <v>1055</v>
      </c>
      <c r="D348" s="1" t="s">
        <v>14</v>
      </c>
      <c r="E348" s="2">
        <v>763</v>
      </c>
      <c r="F348" s="2">
        <v>11280</v>
      </c>
      <c r="G348" s="2">
        <v>8147</v>
      </c>
      <c r="H348" s="2">
        <f t="shared" si="2"/>
        <v>20190</v>
      </c>
      <c r="I348" s="2">
        <v>1734355</v>
      </c>
      <c r="J348" s="2">
        <f t="shared" si="3"/>
        <v>1.1641215322122634E-2</v>
      </c>
    </row>
    <row r="349" spans="1:10" ht="13" x14ac:dyDescent="0.15">
      <c r="A349" s="1" t="s">
        <v>1056</v>
      </c>
      <c r="B349" s="1" t="s">
        <v>1057</v>
      </c>
      <c r="C349" s="4" t="s">
        <v>1058</v>
      </c>
      <c r="D349" s="1" t="s">
        <v>14</v>
      </c>
      <c r="E349" s="2">
        <v>217</v>
      </c>
      <c r="F349" s="2">
        <v>47135</v>
      </c>
      <c r="G349" s="2">
        <v>7801</v>
      </c>
      <c r="H349" s="2">
        <f t="shared" si="2"/>
        <v>55153</v>
      </c>
      <c r="I349" s="2">
        <v>1460749</v>
      </c>
      <c r="J349" s="2">
        <f t="shared" si="3"/>
        <v>3.7756657714638174E-2</v>
      </c>
    </row>
    <row r="350" spans="1:10" ht="13" x14ac:dyDescent="0.15">
      <c r="A350" s="1" t="s">
        <v>1059</v>
      </c>
      <c r="B350" s="1" t="s">
        <v>1060</v>
      </c>
      <c r="C350" s="4" t="s">
        <v>1061</v>
      </c>
      <c r="D350" s="1" t="s">
        <v>14</v>
      </c>
      <c r="E350" s="2">
        <v>1107</v>
      </c>
      <c r="F350" s="2">
        <v>41148</v>
      </c>
      <c r="G350" s="2">
        <v>19303</v>
      </c>
      <c r="H350" s="2">
        <f t="shared" si="2"/>
        <v>61558</v>
      </c>
      <c r="I350" s="2">
        <v>1542381</v>
      </c>
      <c r="J350" s="2">
        <f t="shared" si="3"/>
        <v>3.9911020688143853E-2</v>
      </c>
    </row>
    <row r="351" spans="1:10" ht="13" x14ac:dyDescent="0.15">
      <c r="A351" s="1" t="s">
        <v>1062</v>
      </c>
      <c r="B351" s="1" t="s">
        <v>1063</v>
      </c>
      <c r="C351" s="4" t="s">
        <v>1064</v>
      </c>
      <c r="D351" s="1" t="s">
        <v>14</v>
      </c>
      <c r="E351" s="2">
        <v>46498</v>
      </c>
      <c r="F351" s="2">
        <v>55456</v>
      </c>
      <c r="G351" s="2">
        <v>25556</v>
      </c>
      <c r="H351" s="2">
        <f t="shared" si="2"/>
        <v>127510</v>
      </c>
      <c r="I351" s="2">
        <v>1626024</v>
      </c>
      <c r="J351" s="2">
        <f t="shared" si="3"/>
        <v>7.841827672900277E-2</v>
      </c>
    </row>
    <row r="352" spans="1:10" ht="13" x14ac:dyDescent="0.15">
      <c r="A352" s="1" t="s">
        <v>1065</v>
      </c>
      <c r="B352" s="1" t="s">
        <v>1066</v>
      </c>
      <c r="C352" s="4" t="s">
        <v>1067</v>
      </c>
      <c r="D352" s="1" t="s">
        <v>14</v>
      </c>
      <c r="E352" s="2">
        <v>1729</v>
      </c>
      <c r="F352" s="2">
        <v>20460</v>
      </c>
      <c r="G352" s="2">
        <v>9735</v>
      </c>
      <c r="H352" s="2">
        <f t="shared" si="2"/>
        <v>31924</v>
      </c>
      <c r="I352" s="2">
        <v>1514808</v>
      </c>
      <c r="J352" s="2">
        <f t="shared" si="3"/>
        <v>2.1074618037401439E-2</v>
      </c>
    </row>
    <row r="353" spans="1:10" ht="13" x14ac:dyDescent="0.15">
      <c r="A353" s="1" t="s">
        <v>1068</v>
      </c>
      <c r="B353" s="1" t="s">
        <v>1069</v>
      </c>
      <c r="C353" s="4" t="s">
        <v>1070</v>
      </c>
      <c r="D353" s="1" t="s">
        <v>14</v>
      </c>
      <c r="E353" s="2">
        <v>128</v>
      </c>
      <c r="F353" s="2">
        <v>133725</v>
      </c>
      <c r="G353" s="2">
        <v>8510</v>
      </c>
      <c r="H353" s="2">
        <f t="shared" si="2"/>
        <v>142363</v>
      </c>
      <c r="I353" s="2">
        <v>1640069</v>
      </c>
      <c r="J353" s="2">
        <f t="shared" si="3"/>
        <v>8.6803055237310134E-2</v>
      </c>
    </row>
    <row r="354" spans="1:10" ht="13" x14ac:dyDescent="0.15">
      <c r="A354" s="1" t="s">
        <v>1071</v>
      </c>
      <c r="B354" s="1" t="s">
        <v>1072</v>
      </c>
      <c r="C354" s="4" t="s">
        <v>1073</v>
      </c>
      <c r="D354" s="1" t="s">
        <v>14</v>
      </c>
      <c r="E354" s="2">
        <v>1519</v>
      </c>
      <c r="F354" s="2">
        <v>36799</v>
      </c>
      <c r="G354" s="2">
        <v>6651</v>
      </c>
      <c r="H354" s="2">
        <f t="shared" si="2"/>
        <v>44969</v>
      </c>
      <c r="I354" s="2">
        <v>1436353</v>
      </c>
      <c r="J354" s="2">
        <f t="shared" si="3"/>
        <v>3.1307763481539706E-2</v>
      </c>
    </row>
    <row r="355" spans="1:10" ht="13" x14ac:dyDescent="0.15">
      <c r="A355" s="1" t="s">
        <v>1074</v>
      </c>
      <c r="B355" s="1" t="s">
        <v>1075</v>
      </c>
      <c r="C355" s="4" t="s">
        <v>1076</v>
      </c>
      <c r="D355" s="1" t="s">
        <v>14</v>
      </c>
      <c r="E355" s="2">
        <v>49901</v>
      </c>
      <c r="F355" s="2">
        <v>19205</v>
      </c>
      <c r="G355" s="2">
        <v>37353</v>
      </c>
      <c r="H355" s="2">
        <f t="shared" si="2"/>
        <v>106459</v>
      </c>
      <c r="I355" s="2">
        <v>1570266</v>
      </c>
      <c r="J355" s="2">
        <f t="shared" si="3"/>
        <v>6.7796793664258156E-2</v>
      </c>
    </row>
    <row r="356" spans="1:10" ht="13" x14ac:dyDescent="0.15">
      <c r="A356" s="1" t="s">
        <v>1077</v>
      </c>
      <c r="B356" s="1" t="s">
        <v>1078</v>
      </c>
      <c r="C356" s="4" t="s">
        <v>1079</v>
      </c>
      <c r="D356" s="1" t="s">
        <v>14</v>
      </c>
      <c r="E356" s="2">
        <v>9459</v>
      </c>
      <c r="F356" s="2">
        <v>55</v>
      </c>
      <c r="G356" s="2">
        <v>23527</v>
      </c>
      <c r="H356" s="2">
        <f t="shared" si="2"/>
        <v>33041</v>
      </c>
      <c r="I356" s="2">
        <v>1631377</v>
      </c>
      <c r="J356" s="2">
        <f t="shared" si="3"/>
        <v>2.0253442337362853E-2</v>
      </c>
    </row>
    <row r="357" spans="1:10" ht="13" x14ac:dyDescent="0.15">
      <c r="A357" s="1" t="s">
        <v>1080</v>
      </c>
      <c r="B357" s="1" t="s">
        <v>1081</v>
      </c>
      <c r="C357" s="4" t="s">
        <v>1082</v>
      </c>
      <c r="D357" s="1" t="s">
        <v>14</v>
      </c>
      <c r="E357" s="2">
        <v>1266</v>
      </c>
      <c r="F357" s="2">
        <v>12742</v>
      </c>
      <c r="G357" s="2">
        <v>5530</v>
      </c>
      <c r="H357" s="2">
        <f t="shared" si="2"/>
        <v>19538</v>
      </c>
      <c r="I357" s="2">
        <v>1359592</v>
      </c>
      <c r="J357" s="2">
        <f t="shared" si="3"/>
        <v>1.4370487616873297E-2</v>
      </c>
    </row>
    <row r="358" spans="1:10" ht="13" x14ac:dyDescent="0.15">
      <c r="A358" s="1" t="s">
        <v>1083</v>
      </c>
      <c r="B358" s="1" t="s">
        <v>1084</v>
      </c>
      <c r="C358" s="4" t="s">
        <v>1085</v>
      </c>
      <c r="D358" s="1" t="s">
        <v>14</v>
      </c>
      <c r="E358" s="2">
        <v>1704</v>
      </c>
      <c r="F358" s="2">
        <v>6521</v>
      </c>
      <c r="G358" s="2">
        <v>9477</v>
      </c>
      <c r="H358" s="2">
        <f t="shared" si="2"/>
        <v>17702</v>
      </c>
      <c r="I358" s="2">
        <v>1515979</v>
      </c>
      <c r="J358" s="2">
        <f t="shared" si="3"/>
        <v>1.1676942754484066E-2</v>
      </c>
    </row>
    <row r="359" spans="1:10" ht="13" x14ac:dyDescent="0.15">
      <c r="A359" s="1" t="s">
        <v>1086</v>
      </c>
      <c r="B359" s="1" t="s">
        <v>1087</v>
      </c>
      <c r="C359" s="4" t="s">
        <v>1088</v>
      </c>
      <c r="D359" s="1" t="s">
        <v>14</v>
      </c>
      <c r="E359" s="2">
        <v>13922</v>
      </c>
      <c r="F359" s="2">
        <v>55857</v>
      </c>
      <c r="G359" s="2">
        <v>55416</v>
      </c>
      <c r="H359" s="2">
        <f t="shared" si="2"/>
        <v>125195</v>
      </c>
      <c r="I359" s="2">
        <v>1565617</v>
      </c>
      <c r="J359" s="2">
        <f t="shared" si="3"/>
        <v>7.9965278864498793E-2</v>
      </c>
    </row>
    <row r="360" spans="1:10" ht="13" x14ac:dyDescent="0.15">
      <c r="A360" s="1" t="s">
        <v>1089</v>
      </c>
      <c r="B360" s="1" t="s">
        <v>1090</v>
      </c>
      <c r="C360" s="4" t="s">
        <v>1091</v>
      </c>
      <c r="D360" s="1" t="s">
        <v>14</v>
      </c>
      <c r="E360" s="2">
        <v>59689</v>
      </c>
      <c r="F360" s="2">
        <v>69047</v>
      </c>
      <c r="G360" s="2">
        <v>28232</v>
      </c>
      <c r="H360" s="2">
        <f t="shared" si="2"/>
        <v>156968</v>
      </c>
      <c r="I360" s="2">
        <v>1544919</v>
      </c>
      <c r="J360" s="2">
        <f t="shared" si="3"/>
        <v>0.10160273774871045</v>
      </c>
    </row>
    <row r="361" spans="1:10" ht="13" x14ac:dyDescent="0.15">
      <c r="A361" s="1" t="s">
        <v>1092</v>
      </c>
      <c r="B361" s="1" t="s">
        <v>1093</v>
      </c>
      <c r="C361" s="4" t="s">
        <v>1094</v>
      </c>
      <c r="D361" s="1" t="s">
        <v>14</v>
      </c>
      <c r="E361" s="2">
        <v>594</v>
      </c>
      <c r="F361" s="2">
        <v>67005</v>
      </c>
      <c r="G361" s="2">
        <v>18012</v>
      </c>
      <c r="H361" s="2">
        <f t="shared" si="2"/>
        <v>85611</v>
      </c>
      <c r="I361" s="2">
        <v>1489095</v>
      </c>
      <c r="J361" s="2">
        <f t="shared" si="3"/>
        <v>5.7491966597161361E-2</v>
      </c>
    </row>
    <row r="362" spans="1:10" ht="13" x14ac:dyDescent="0.15">
      <c r="A362" s="1" t="s">
        <v>1095</v>
      </c>
      <c r="B362" s="1" t="s">
        <v>1096</v>
      </c>
      <c r="C362" s="4" t="s">
        <v>1097</v>
      </c>
      <c r="D362" s="1" t="s">
        <v>14</v>
      </c>
      <c r="E362" s="2">
        <v>6781</v>
      </c>
      <c r="F362" s="2">
        <v>2783</v>
      </c>
      <c r="G362" s="2">
        <v>10544</v>
      </c>
      <c r="H362" s="2">
        <f t="shared" si="2"/>
        <v>20108</v>
      </c>
      <c r="I362" s="2">
        <v>1595676</v>
      </c>
      <c r="J362" s="2">
        <f t="shared" si="3"/>
        <v>1.2601555704290847E-2</v>
      </c>
    </row>
    <row r="363" spans="1:10" ht="13" x14ac:dyDescent="0.15">
      <c r="A363" s="1" t="s">
        <v>1098</v>
      </c>
      <c r="B363" s="1" t="s">
        <v>1099</v>
      </c>
      <c r="C363" s="4" t="s">
        <v>1100</v>
      </c>
      <c r="D363" s="1" t="s">
        <v>14</v>
      </c>
      <c r="E363" s="2">
        <v>16218</v>
      </c>
      <c r="F363" s="2">
        <v>139570</v>
      </c>
      <c r="G363" s="2">
        <v>25787</v>
      </c>
      <c r="H363" s="2">
        <f t="shared" si="2"/>
        <v>181575</v>
      </c>
      <c r="I363" s="2">
        <v>1625485</v>
      </c>
      <c r="J363" s="2">
        <f t="shared" si="3"/>
        <v>0.11170512185593838</v>
      </c>
    </row>
    <row r="364" spans="1:10" ht="13" x14ac:dyDescent="0.15">
      <c r="A364" s="1" t="s">
        <v>1101</v>
      </c>
      <c r="B364" s="1" t="s">
        <v>1102</v>
      </c>
      <c r="C364" s="4" t="s">
        <v>1103</v>
      </c>
      <c r="D364" s="1" t="s">
        <v>14</v>
      </c>
      <c r="E364" s="2">
        <v>20612</v>
      </c>
      <c r="F364" s="2">
        <v>51347</v>
      </c>
      <c r="G364" s="2">
        <v>25474</v>
      </c>
      <c r="H364" s="2">
        <f t="shared" si="2"/>
        <v>97433</v>
      </c>
      <c r="I364" s="2">
        <v>1395418</v>
      </c>
      <c r="J364" s="2">
        <f t="shared" si="3"/>
        <v>6.9823522414072345E-2</v>
      </c>
    </row>
    <row r="365" spans="1:10" ht="13" x14ac:dyDescent="0.15">
      <c r="A365" s="1" t="s">
        <v>1104</v>
      </c>
      <c r="B365" s="1" t="s">
        <v>1105</v>
      </c>
      <c r="C365" s="4" t="s">
        <v>1106</v>
      </c>
      <c r="D365" s="1" t="s">
        <v>14</v>
      </c>
      <c r="E365" s="2">
        <v>9040</v>
      </c>
      <c r="F365" s="2">
        <v>106443</v>
      </c>
      <c r="G365" s="2">
        <v>29598</v>
      </c>
      <c r="H365" s="2">
        <f t="shared" si="2"/>
        <v>145081</v>
      </c>
      <c r="I365" s="2">
        <v>1777306</v>
      </c>
      <c r="J365" s="2">
        <f t="shared" si="3"/>
        <v>8.1629724988268759E-2</v>
      </c>
    </row>
    <row r="366" spans="1:10" ht="13" x14ac:dyDescent="0.15">
      <c r="A366" s="1" t="s">
        <v>1107</v>
      </c>
      <c r="B366" s="1" t="s">
        <v>1108</v>
      </c>
      <c r="C366" s="4" t="s">
        <v>1109</v>
      </c>
      <c r="D366" s="1" t="s">
        <v>14</v>
      </c>
      <c r="E366" s="2">
        <v>779</v>
      </c>
      <c r="F366" s="2">
        <v>119969</v>
      </c>
      <c r="G366" s="2">
        <v>4795</v>
      </c>
      <c r="H366" s="2">
        <f t="shared" si="2"/>
        <v>125543</v>
      </c>
      <c r="I366" s="2">
        <v>1524055</v>
      </c>
      <c r="J366" s="2">
        <f t="shared" si="3"/>
        <v>8.2374323761281579E-2</v>
      </c>
    </row>
    <row r="367" spans="1:10" ht="13" x14ac:dyDescent="0.15">
      <c r="A367" s="1" t="s">
        <v>1110</v>
      </c>
      <c r="B367" s="1" t="s">
        <v>1111</v>
      </c>
      <c r="C367" s="4" t="s">
        <v>1112</v>
      </c>
      <c r="D367" s="1" t="s">
        <v>14</v>
      </c>
      <c r="E367" s="2">
        <v>58276</v>
      </c>
      <c r="F367" s="2">
        <v>125200</v>
      </c>
      <c r="G367" s="2">
        <v>62014</v>
      </c>
      <c r="H367" s="2">
        <f t="shared" si="2"/>
        <v>245490</v>
      </c>
      <c r="I367" s="2">
        <v>1620859</v>
      </c>
      <c r="J367" s="2">
        <f t="shared" si="3"/>
        <v>0.15145672757469958</v>
      </c>
    </row>
    <row r="368" spans="1:10" ht="13" x14ac:dyDescent="0.15">
      <c r="A368" s="1" t="s">
        <v>1113</v>
      </c>
      <c r="B368" s="1" t="s">
        <v>1114</v>
      </c>
      <c r="C368" s="4" t="s">
        <v>1115</v>
      </c>
      <c r="D368" s="1" t="s">
        <v>14</v>
      </c>
      <c r="E368" s="2">
        <v>16824</v>
      </c>
      <c r="F368" s="2">
        <v>30132</v>
      </c>
      <c r="G368" s="2">
        <v>24605</v>
      </c>
      <c r="H368" s="2">
        <f t="shared" si="2"/>
        <v>71561</v>
      </c>
      <c r="I368" s="2">
        <v>1710787</v>
      </c>
      <c r="J368" s="2">
        <f t="shared" si="3"/>
        <v>4.1829286755160053E-2</v>
      </c>
    </row>
    <row r="369" spans="1:10" ht="13" x14ac:dyDescent="0.15">
      <c r="A369" s="1" t="s">
        <v>1116</v>
      </c>
      <c r="B369" s="1" t="s">
        <v>1117</v>
      </c>
      <c r="C369" s="4" t="s">
        <v>1118</v>
      </c>
      <c r="D369" s="1" t="s">
        <v>14</v>
      </c>
      <c r="E369" s="2">
        <v>1800</v>
      </c>
      <c r="F369" s="2">
        <v>22141</v>
      </c>
      <c r="G369" s="2">
        <v>6152</v>
      </c>
      <c r="H369" s="2">
        <f t="shared" si="2"/>
        <v>30093</v>
      </c>
      <c r="I369" s="2">
        <v>1412200</v>
      </c>
      <c r="J369" s="2">
        <f t="shared" si="3"/>
        <v>2.1309304631072085E-2</v>
      </c>
    </row>
    <row r="370" spans="1:10" ht="13" x14ac:dyDescent="0.15">
      <c r="A370" s="1" t="s">
        <v>1119</v>
      </c>
      <c r="B370" s="1" t="s">
        <v>1120</v>
      </c>
      <c r="C370" s="4" t="s">
        <v>1121</v>
      </c>
      <c r="D370" s="1" t="s">
        <v>14</v>
      </c>
      <c r="E370" s="2">
        <v>7029</v>
      </c>
      <c r="F370" s="2">
        <v>82532</v>
      </c>
      <c r="G370" s="2">
        <v>27642</v>
      </c>
      <c r="H370" s="2">
        <f t="shared" si="2"/>
        <v>117203</v>
      </c>
      <c r="I370" s="2">
        <v>1498254</v>
      </c>
      <c r="J370" s="2">
        <f t="shared" si="3"/>
        <v>7.8226388849954684E-2</v>
      </c>
    </row>
    <row r="371" spans="1:10" ht="13" x14ac:dyDescent="0.15">
      <c r="A371" s="1" t="s">
        <v>1122</v>
      </c>
      <c r="B371" s="1" t="s">
        <v>1123</v>
      </c>
      <c r="C371" s="4" t="s">
        <v>1124</v>
      </c>
      <c r="D371" s="1" t="s">
        <v>14</v>
      </c>
      <c r="E371" s="2">
        <v>12445</v>
      </c>
      <c r="F371" s="2">
        <v>145794</v>
      </c>
      <c r="G371" s="2">
        <v>25344</v>
      </c>
      <c r="H371" s="2">
        <f t="shared" si="2"/>
        <v>183583</v>
      </c>
      <c r="I371" s="2">
        <v>1627962</v>
      </c>
      <c r="J371" s="2">
        <f t="shared" si="3"/>
        <v>0.11276860270694279</v>
      </c>
    </row>
    <row r="372" spans="1:10" ht="13" x14ac:dyDescent="0.15">
      <c r="A372" s="1" t="s">
        <v>1125</v>
      </c>
      <c r="B372" s="1" t="s">
        <v>1126</v>
      </c>
      <c r="C372" s="4" t="s">
        <v>1127</v>
      </c>
      <c r="D372" s="1" t="s">
        <v>14</v>
      </c>
      <c r="E372" s="2">
        <v>4679</v>
      </c>
      <c r="F372" s="2">
        <v>73548</v>
      </c>
      <c r="G372" s="2">
        <v>8378</v>
      </c>
      <c r="H372" s="2">
        <f t="shared" si="2"/>
        <v>86605</v>
      </c>
      <c r="I372" s="2">
        <v>1601298</v>
      </c>
      <c r="J372" s="2">
        <f t="shared" si="3"/>
        <v>5.4084249152874728E-2</v>
      </c>
    </row>
    <row r="373" spans="1:10" ht="13" x14ac:dyDescent="0.15">
      <c r="A373" s="1" t="s">
        <v>1128</v>
      </c>
      <c r="B373" s="1" t="s">
        <v>1129</v>
      </c>
      <c r="C373" s="4" t="s">
        <v>1130</v>
      </c>
      <c r="D373" s="1" t="s">
        <v>14</v>
      </c>
      <c r="E373" s="2">
        <v>0</v>
      </c>
      <c r="F373" s="2">
        <v>189048</v>
      </c>
      <c r="G373" s="2">
        <v>159</v>
      </c>
      <c r="H373" s="2">
        <f t="shared" si="2"/>
        <v>189207</v>
      </c>
      <c r="I373" s="2">
        <v>1533490</v>
      </c>
      <c r="J373" s="2">
        <f t="shared" si="3"/>
        <v>0.12338326301443113</v>
      </c>
    </row>
    <row r="374" spans="1:10" ht="13" x14ac:dyDescent="0.15">
      <c r="A374" s="1" t="s">
        <v>1131</v>
      </c>
      <c r="B374" s="1" t="s">
        <v>1132</v>
      </c>
      <c r="C374" s="4" t="s">
        <v>1133</v>
      </c>
      <c r="D374" s="1" t="s">
        <v>14</v>
      </c>
      <c r="E374" s="2">
        <v>15105</v>
      </c>
      <c r="F374" s="2">
        <v>75489</v>
      </c>
      <c r="G374" s="2">
        <v>21058</v>
      </c>
      <c r="H374" s="2">
        <f t="shared" si="2"/>
        <v>111652</v>
      </c>
      <c r="I374" s="2">
        <v>1447132</v>
      </c>
      <c r="J374" s="2">
        <f t="shared" si="3"/>
        <v>7.7153984570861533E-2</v>
      </c>
    </row>
    <row r="375" spans="1:10" ht="13" x14ac:dyDescent="0.15">
      <c r="A375" s="1" t="s">
        <v>1134</v>
      </c>
      <c r="B375" s="1" t="s">
        <v>1135</v>
      </c>
      <c r="C375" s="4" t="s">
        <v>1136</v>
      </c>
      <c r="D375" s="1" t="s">
        <v>14</v>
      </c>
      <c r="E375" s="2">
        <v>816</v>
      </c>
      <c r="F375" s="2">
        <v>7727</v>
      </c>
      <c r="G375" s="2">
        <v>11483</v>
      </c>
      <c r="H375" s="2">
        <f t="shared" si="2"/>
        <v>20026</v>
      </c>
      <c r="I375" s="2">
        <v>1707198</v>
      </c>
      <c r="J375" s="2">
        <f t="shared" si="3"/>
        <v>1.1730332392610582E-2</v>
      </c>
    </row>
    <row r="376" spans="1:10" ht="13" x14ac:dyDescent="0.15">
      <c r="A376" s="1" t="s">
        <v>1137</v>
      </c>
      <c r="B376" s="1" t="s">
        <v>1138</v>
      </c>
      <c r="C376" s="4" t="s">
        <v>1139</v>
      </c>
      <c r="D376" s="1" t="s">
        <v>14</v>
      </c>
      <c r="E376" s="2">
        <v>25231</v>
      </c>
      <c r="F376" s="2">
        <v>24317</v>
      </c>
      <c r="G376" s="2">
        <v>26455</v>
      </c>
      <c r="H376" s="2">
        <f t="shared" si="2"/>
        <v>76003</v>
      </c>
      <c r="I376" s="2">
        <v>1489063</v>
      </c>
      <c r="J376" s="2">
        <f t="shared" si="3"/>
        <v>5.1040822315778445E-2</v>
      </c>
    </row>
    <row r="377" spans="1:10" ht="13" x14ac:dyDescent="0.15">
      <c r="A377" s="1" t="s">
        <v>1140</v>
      </c>
      <c r="B377" s="1" t="s">
        <v>1141</v>
      </c>
      <c r="C377" s="4" t="s">
        <v>1142</v>
      </c>
      <c r="D377" s="1" t="s">
        <v>14</v>
      </c>
      <c r="E377" s="2">
        <v>5795</v>
      </c>
      <c r="F377" s="2">
        <v>147854</v>
      </c>
      <c r="G377" s="2">
        <v>27542</v>
      </c>
      <c r="H377" s="2">
        <f t="shared" si="2"/>
        <v>181191</v>
      </c>
      <c r="I377" s="2">
        <v>1738430</v>
      </c>
      <c r="J377" s="2">
        <f t="shared" si="3"/>
        <v>0.10422680234464431</v>
      </c>
    </row>
    <row r="378" spans="1:10" ht="13" x14ac:dyDescent="0.15">
      <c r="A378" s="1" t="s">
        <v>1143</v>
      </c>
      <c r="B378" s="1" t="s">
        <v>1144</v>
      </c>
      <c r="C378" s="4" t="s">
        <v>1145</v>
      </c>
      <c r="D378" s="1" t="s">
        <v>14</v>
      </c>
      <c r="E378" s="2">
        <v>4688</v>
      </c>
      <c r="F378" s="2">
        <v>134237</v>
      </c>
      <c r="G378" s="2">
        <v>34578</v>
      </c>
      <c r="H378" s="2">
        <f t="shared" si="2"/>
        <v>173503</v>
      </c>
      <c r="I378" s="2">
        <v>1394703</v>
      </c>
      <c r="J378" s="2">
        <f t="shared" si="3"/>
        <v>0.1244013958527371</v>
      </c>
    </row>
    <row r="379" spans="1:10" ht="13" x14ac:dyDescent="0.15">
      <c r="A379" s="1" t="s">
        <v>1146</v>
      </c>
      <c r="B379" s="1" t="s">
        <v>1147</v>
      </c>
      <c r="C379" s="4" t="s">
        <v>1148</v>
      </c>
      <c r="D379" s="1" t="s">
        <v>14</v>
      </c>
      <c r="E379" s="2">
        <v>968</v>
      </c>
      <c r="F379" s="2">
        <v>55239</v>
      </c>
      <c r="G379" s="2">
        <v>16495</v>
      </c>
      <c r="H379" s="2">
        <f t="shared" si="2"/>
        <v>72702</v>
      </c>
      <c r="I379" s="2">
        <v>1802338</v>
      </c>
      <c r="J379" s="2">
        <f t="shared" si="3"/>
        <v>4.0337605931850741E-2</v>
      </c>
    </row>
    <row r="380" spans="1:10" ht="13" x14ac:dyDescent="0.15">
      <c r="A380" s="1" t="s">
        <v>1149</v>
      </c>
      <c r="B380" s="1" t="s">
        <v>1150</v>
      </c>
      <c r="C380" s="4" t="s">
        <v>1151</v>
      </c>
      <c r="D380" s="1" t="s">
        <v>14</v>
      </c>
      <c r="E380" s="2">
        <v>7364</v>
      </c>
      <c r="F380" s="2">
        <v>62030</v>
      </c>
      <c r="G380" s="2">
        <v>12396</v>
      </c>
      <c r="H380" s="2">
        <f t="shared" si="2"/>
        <v>81790</v>
      </c>
      <c r="I380" s="2">
        <v>1660725</v>
      </c>
      <c r="J380" s="2">
        <f t="shared" si="3"/>
        <v>4.9249574733926445E-2</v>
      </c>
    </row>
    <row r="381" spans="1:10" ht="13" x14ac:dyDescent="0.15">
      <c r="A381" s="1" t="s">
        <v>1152</v>
      </c>
      <c r="B381" s="1" t="s">
        <v>1153</v>
      </c>
      <c r="C381" s="4" t="s">
        <v>1154</v>
      </c>
      <c r="D381" s="1" t="s">
        <v>14</v>
      </c>
      <c r="E381" s="2">
        <v>37534</v>
      </c>
      <c r="F381" s="2">
        <v>36865</v>
      </c>
      <c r="G381" s="2">
        <v>45294</v>
      </c>
      <c r="H381" s="2">
        <f t="shared" si="2"/>
        <v>119693</v>
      </c>
      <c r="I381" s="2">
        <v>1697851</v>
      </c>
      <c r="J381" s="2">
        <f t="shared" si="3"/>
        <v>7.049676326132269E-2</v>
      </c>
    </row>
    <row r="382" spans="1:10" ht="13" x14ac:dyDescent="0.15">
      <c r="A382" s="1" t="s">
        <v>1155</v>
      </c>
      <c r="B382" s="1" t="s">
        <v>1156</v>
      </c>
      <c r="C382" s="4" t="s">
        <v>1157</v>
      </c>
      <c r="D382" s="1" t="s">
        <v>14</v>
      </c>
      <c r="E382" s="2">
        <v>0</v>
      </c>
      <c r="F382" s="2">
        <v>20404</v>
      </c>
      <c r="G382" s="2">
        <v>2925</v>
      </c>
      <c r="H382" s="2">
        <f t="shared" si="2"/>
        <v>23329</v>
      </c>
      <c r="I382" s="2">
        <v>1369025</v>
      </c>
      <c r="J382" s="2">
        <f t="shared" si="3"/>
        <v>1.70405945837366E-2</v>
      </c>
    </row>
    <row r="383" spans="1:10" ht="13" x14ac:dyDescent="0.15">
      <c r="A383" s="1" t="s">
        <v>1158</v>
      </c>
      <c r="B383" s="1" t="s">
        <v>1159</v>
      </c>
      <c r="C383" s="4" t="s">
        <v>1160</v>
      </c>
      <c r="D383" s="1" t="s">
        <v>14</v>
      </c>
      <c r="E383" s="2">
        <v>21538</v>
      </c>
      <c r="F383" s="2">
        <v>49227</v>
      </c>
      <c r="G383" s="2">
        <v>18568</v>
      </c>
      <c r="H383" s="2">
        <f t="shared" si="2"/>
        <v>89333</v>
      </c>
      <c r="I383" s="2">
        <v>1604464</v>
      </c>
      <c r="J383" s="2">
        <f t="shared" si="3"/>
        <v>5.56777839826883E-2</v>
      </c>
    </row>
    <row r="384" spans="1:10" ht="13" x14ac:dyDescent="0.15">
      <c r="A384" s="1" t="s">
        <v>1161</v>
      </c>
      <c r="B384" s="1" t="s">
        <v>1162</v>
      </c>
      <c r="C384" s="4" t="s">
        <v>1163</v>
      </c>
      <c r="D384" s="1" t="s">
        <v>14</v>
      </c>
      <c r="E384" s="2">
        <v>27967</v>
      </c>
      <c r="F384" s="2">
        <v>174436</v>
      </c>
      <c r="G384" s="2">
        <v>52705</v>
      </c>
      <c r="H384" s="2">
        <f t="shared" si="2"/>
        <v>255108</v>
      </c>
      <c r="I384" s="2">
        <v>1695904</v>
      </c>
      <c r="J384" s="2">
        <f t="shared" si="3"/>
        <v>0.15042596750759477</v>
      </c>
    </row>
    <row r="385" spans="1:10" ht="13" x14ac:dyDescent="0.15">
      <c r="A385" s="1" t="s">
        <v>1164</v>
      </c>
      <c r="B385" s="1" t="s">
        <v>1165</v>
      </c>
      <c r="C385" s="4" t="s">
        <v>1166</v>
      </c>
      <c r="D385" s="1" t="s">
        <v>14</v>
      </c>
      <c r="E385" s="2">
        <v>9328</v>
      </c>
      <c r="F385" s="2">
        <v>64277</v>
      </c>
      <c r="G385" s="2">
        <v>18938</v>
      </c>
      <c r="H385" s="2">
        <f t="shared" si="2"/>
        <v>92543</v>
      </c>
      <c r="I385" s="2">
        <v>1465393</v>
      </c>
      <c r="J385" s="2">
        <f t="shared" si="3"/>
        <v>6.3152342067964023E-2</v>
      </c>
    </row>
    <row r="386" spans="1:10" ht="13" x14ac:dyDescent="0.15">
      <c r="A386" s="1" t="s">
        <v>1167</v>
      </c>
      <c r="B386" s="1" t="s">
        <v>1168</v>
      </c>
      <c r="C386" s="4" t="s">
        <v>1169</v>
      </c>
      <c r="D386" s="1" t="s">
        <v>14</v>
      </c>
      <c r="E386" s="2">
        <v>4963</v>
      </c>
      <c r="F386" s="2">
        <v>13003</v>
      </c>
      <c r="G386" s="2">
        <v>6311</v>
      </c>
      <c r="H386" s="2">
        <f t="shared" si="2"/>
        <v>24277</v>
      </c>
      <c r="I386" s="2">
        <v>1690430</v>
      </c>
      <c r="J386" s="2">
        <f t="shared" si="3"/>
        <v>1.4361434664552806E-2</v>
      </c>
    </row>
    <row r="387" spans="1:10" ht="13" x14ac:dyDescent="0.15">
      <c r="A387" s="1" t="s">
        <v>1170</v>
      </c>
      <c r="B387" s="1" t="s">
        <v>1171</v>
      </c>
      <c r="C387" s="4" t="s">
        <v>1172</v>
      </c>
      <c r="D387" s="1" t="s">
        <v>14</v>
      </c>
      <c r="E387" s="2">
        <v>56886</v>
      </c>
      <c r="F387" s="2">
        <v>48882</v>
      </c>
      <c r="G387" s="2">
        <v>36199</v>
      </c>
      <c r="H387" s="2">
        <f t="shared" si="2"/>
        <v>141967</v>
      </c>
      <c r="I387" s="2">
        <v>1430118</v>
      </c>
      <c r="J387" s="2">
        <f t="shared" si="3"/>
        <v>9.9269430914092405E-2</v>
      </c>
    </row>
    <row r="388" spans="1:10" ht="13" x14ac:dyDescent="0.15">
      <c r="A388" s="1" t="s">
        <v>1173</v>
      </c>
      <c r="B388" s="1" t="s">
        <v>1174</v>
      </c>
      <c r="C388" s="4" t="s">
        <v>1175</v>
      </c>
      <c r="D388" s="1" t="s">
        <v>14</v>
      </c>
      <c r="E388" s="2">
        <v>3611</v>
      </c>
      <c r="F388" s="2">
        <v>38403</v>
      </c>
      <c r="G388" s="2">
        <v>8703</v>
      </c>
      <c r="H388" s="2">
        <f t="shared" si="2"/>
        <v>50717</v>
      </c>
      <c r="I388" s="2">
        <v>1534071</v>
      </c>
      <c r="J388" s="2">
        <f t="shared" si="3"/>
        <v>3.3060399420887301E-2</v>
      </c>
    </row>
    <row r="389" spans="1:10" ht="13" x14ac:dyDescent="0.15">
      <c r="A389" s="1" t="s">
        <v>1176</v>
      </c>
      <c r="B389" s="1" t="s">
        <v>1177</v>
      </c>
      <c r="C389" s="4" t="s">
        <v>1178</v>
      </c>
      <c r="D389" s="1" t="s">
        <v>14</v>
      </c>
      <c r="E389" s="2">
        <v>20813</v>
      </c>
      <c r="F389" s="2">
        <v>24169</v>
      </c>
      <c r="G389" s="2">
        <v>20687</v>
      </c>
      <c r="H389" s="2">
        <f t="shared" si="2"/>
        <v>65669</v>
      </c>
      <c r="I389" s="2">
        <v>1285672</v>
      </c>
      <c r="J389" s="2">
        <f t="shared" si="3"/>
        <v>5.1077568773372994E-2</v>
      </c>
    </row>
    <row r="390" spans="1:10" ht="13" x14ac:dyDescent="0.15">
      <c r="A390" s="1" t="s">
        <v>1179</v>
      </c>
      <c r="B390" s="1" t="s">
        <v>1180</v>
      </c>
      <c r="C390" s="4" t="s">
        <v>1181</v>
      </c>
      <c r="D390" s="1" t="s">
        <v>14</v>
      </c>
      <c r="E390" s="2">
        <v>4896</v>
      </c>
      <c r="F390" s="2">
        <v>46780</v>
      </c>
      <c r="G390" s="2">
        <v>16151</v>
      </c>
      <c r="H390" s="2">
        <f t="shared" si="2"/>
        <v>67827</v>
      </c>
      <c r="I390" s="2">
        <v>1882486</v>
      </c>
      <c r="J390" s="2">
        <f t="shared" si="3"/>
        <v>3.6030546840720198E-2</v>
      </c>
    </row>
    <row r="391" spans="1:10" ht="13" x14ac:dyDescent="0.15">
      <c r="A391" s="1" t="s">
        <v>1182</v>
      </c>
      <c r="B391" s="1" t="s">
        <v>1183</v>
      </c>
      <c r="C391" s="4" t="s">
        <v>1184</v>
      </c>
      <c r="D391" s="1" t="s">
        <v>14</v>
      </c>
      <c r="E391" s="2">
        <v>1541</v>
      </c>
      <c r="F391" s="2">
        <v>116572</v>
      </c>
      <c r="G391" s="2">
        <v>13541</v>
      </c>
      <c r="H391" s="2">
        <f t="shared" si="2"/>
        <v>131654</v>
      </c>
      <c r="I391" s="2">
        <v>1394800</v>
      </c>
      <c r="J391" s="2">
        <f t="shared" si="3"/>
        <v>9.4389159736162895E-2</v>
      </c>
    </row>
    <row r="392" spans="1:10" ht="13" x14ac:dyDescent="0.15">
      <c r="A392" s="1" t="s">
        <v>1185</v>
      </c>
      <c r="B392" s="1" t="s">
        <v>1186</v>
      </c>
      <c r="C392" s="4" t="s">
        <v>1187</v>
      </c>
      <c r="D392" s="1" t="s">
        <v>14</v>
      </c>
      <c r="E392" s="2">
        <v>188</v>
      </c>
      <c r="F392" s="2">
        <v>68718</v>
      </c>
      <c r="G392" s="2">
        <v>1562</v>
      </c>
      <c r="H392" s="2">
        <f t="shared" si="2"/>
        <v>70468</v>
      </c>
      <c r="I392" s="2">
        <v>1382730</v>
      </c>
      <c r="J392" s="2">
        <f t="shared" si="3"/>
        <v>5.0962950105949825E-2</v>
      </c>
    </row>
    <row r="393" spans="1:10" ht="13" x14ac:dyDescent="0.15">
      <c r="A393" s="1" t="s">
        <v>1188</v>
      </c>
      <c r="B393" s="1" t="s">
        <v>1189</v>
      </c>
      <c r="C393" s="4" t="s">
        <v>1190</v>
      </c>
      <c r="D393" s="1" t="s">
        <v>14</v>
      </c>
      <c r="E393" s="2">
        <v>27150</v>
      </c>
      <c r="F393" s="2">
        <v>66891</v>
      </c>
      <c r="G393" s="2">
        <v>45699</v>
      </c>
      <c r="H393" s="2">
        <f t="shared" si="2"/>
        <v>139740</v>
      </c>
      <c r="I393" s="2">
        <v>1493997</v>
      </c>
      <c r="J393" s="2">
        <f t="shared" si="3"/>
        <v>9.3534324366113183E-2</v>
      </c>
    </row>
    <row r="394" spans="1:10" ht="13" x14ac:dyDescent="0.15">
      <c r="A394" s="1" t="s">
        <v>1191</v>
      </c>
      <c r="B394" s="1" t="s">
        <v>1192</v>
      </c>
      <c r="C394" s="4" t="s">
        <v>1193</v>
      </c>
      <c r="D394" s="1" t="s">
        <v>14</v>
      </c>
      <c r="E394" s="2">
        <v>17619</v>
      </c>
      <c r="F394" s="2">
        <v>68622</v>
      </c>
      <c r="G394" s="2">
        <v>42880</v>
      </c>
      <c r="H394" s="2">
        <f t="shared" si="2"/>
        <v>129121</v>
      </c>
      <c r="I394" s="2">
        <v>1844478</v>
      </c>
      <c r="J394" s="2">
        <f t="shared" si="3"/>
        <v>7.0004087877437407E-2</v>
      </c>
    </row>
    <row r="395" spans="1:10" ht="13" x14ac:dyDescent="0.15">
      <c r="A395" s="1" t="s">
        <v>1194</v>
      </c>
      <c r="B395" s="1" t="s">
        <v>1195</v>
      </c>
      <c r="C395" s="4" t="s">
        <v>1196</v>
      </c>
      <c r="D395" s="1" t="s">
        <v>14</v>
      </c>
      <c r="E395" s="2">
        <v>19376</v>
      </c>
      <c r="F395" s="2">
        <v>47470</v>
      </c>
      <c r="G395" s="2">
        <v>31298</v>
      </c>
      <c r="H395" s="2">
        <f t="shared" si="2"/>
        <v>98144</v>
      </c>
      <c r="I395" s="2">
        <v>1823218</v>
      </c>
      <c r="J395" s="2">
        <f t="shared" si="3"/>
        <v>5.3830096017042396E-2</v>
      </c>
    </row>
    <row r="396" spans="1:10" ht="13" x14ac:dyDescent="0.15">
      <c r="A396" s="1" t="s">
        <v>1197</v>
      </c>
      <c r="B396" s="1" t="s">
        <v>1198</v>
      </c>
      <c r="C396" s="4" t="s">
        <v>1199</v>
      </c>
      <c r="D396" s="1" t="s">
        <v>14</v>
      </c>
      <c r="E396" s="2">
        <v>38605</v>
      </c>
      <c r="F396" s="2">
        <v>6324</v>
      </c>
      <c r="G396" s="2">
        <v>21217</v>
      </c>
      <c r="H396" s="2">
        <f t="shared" si="2"/>
        <v>66146</v>
      </c>
      <c r="I396" s="2">
        <v>1288715</v>
      </c>
      <c r="J396" s="2">
        <f t="shared" si="3"/>
        <v>5.1327097147158218E-2</v>
      </c>
    </row>
    <row r="397" spans="1:10" ht="13" x14ac:dyDescent="0.15">
      <c r="A397" s="1" t="s">
        <v>1200</v>
      </c>
      <c r="B397" s="1" t="s">
        <v>1201</v>
      </c>
      <c r="C397" s="4" t="s">
        <v>1202</v>
      </c>
      <c r="D397" s="1" t="s">
        <v>14</v>
      </c>
      <c r="E397" s="2">
        <v>554</v>
      </c>
      <c r="F397" s="2">
        <v>12597</v>
      </c>
      <c r="G397" s="2">
        <v>4178</v>
      </c>
      <c r="H397" s="2">
        <f t="shared" si="2"/>
        <v>17329</v>
      </c>
      <c r="I397" s="2">
        <v>1799129</v>
      </c>
      <c r="J397" s="2">
        <f t="shared" si="3"/>
        <v>9.6318829833769559E-3</v>
      </c>
    </row>
    <row r="398" spans="1:10" ht="13" x14ac:dyDescent="0.15">
      <c r="A398" s="1" t="s">
        <v>1203</v>
      </c>
      <c r="B398" s="1" t="s">
        <v>1204</v>
      </c>
      <c r="C398" s="4" t="s">
        <v>1205</v>
      </c>
      <c r="D398" s="1" t="s">
        <v>14</v>
      </c>
      <c r="E398" s="2">
        <v>27547</v>
      </c>
      <c r="F398" s="2">
        <v>68355</v>
      </c>
      <c r="G398" s="2">
        <v>52446</v>
      </c>
      <c r="H398" s="2">
        <f t="shared" si="2"/>
        <v>148348</v>
      </c>
      <c r="I398" s="2">
        <v>1765605</v>
      </c>
      <c r="J398" s="2">
        <f t="shared" si="3"/>
        <v>8.4021057937647442E-2</v>
      </c>
    </row>
    <row r="399" spans="1:10" ht="13" x14ac:dyDescent="0.15">
      <c r="A399" s="1" t="s">
        <v>1206</v>
      </c>
      <c r="B399" s="1" t="s">
        <v>1207</v>
      </c>
      <c r="C399" s="4" t="s">
        <v>1208</v>
      </c>
      <c r="D399" s="1" t="s">
        <v>14</v>
      </c>
      <c r="E399" s="2">
        <v>3009</v>
      </c>
      <c r="F399" s="2">
        <v>81197</v>
      </c>
      <c r="G399" s="2">
        <v>19700</v>
      </c>
      <c r="H399" s="2">
        <f t="shared" si="2"/>
        <v>103906</v>
      </c>
      <c r="I399" s="2">
        <v>1634599</v>
      </c>
      <c r="J399" s="2">
        <f t="shared" si="3"/>
        <v>6.3566660691704815E-2</v>
      </c>
    </row>
    <row r="400" spans="1:10" ht="13" x14ac:dyDescent="0.15">
      <c r="A400" s="1" t="s">
        <v>1209</v>
      </c>
      <c r="B400" s="1" t="s">
        <v>1210</v>
      </c>
      <c r="C400" s="4" t="s">
        <v>1211</v>
      </c>
      <c r="D400" s="1" t="s">
        <v>14</v>
      </c>
      <c r="E400" s="2">
        <v>1662</v>
      </c>
      <c r="F400" s="2">
        <v>7632</v>
      </c>
      <c r="G400" s="2">
        <v>7236</v>
      </c>
      <c r="H400" s="2">
        <f t="shared" si="2"/>
        <v>16530</v>
      </c>
      <c r="I400" s="2">
        <v>1469184</v>
      </c>
      <c r="J400" s="2">
        <f t="shared" si="3"/>
        <v>1.1251143491897543E-2</v>
      </c>
    </row>
    <row r="401" spans="1:10" ht="13" x14ac:dyDescent="0.15">
      <c r="A401" s="1" t="s">
        <v>1212</v>
      </c>
      <c r="B401" s="1" t="s">
        <v>1213</v>
      </c>
      <c r="C401" s="4" t="s">
        <v>1214</v>
      </c>
      <c r="D401" s="1" t="s">
        <v>14</v>
      </c>
      <c r="E401" s="2">
        <v>2437</v>
      </c>
      <c r="F401" s="2">
        <v>86663</v>
      </c>
      <c r="G401" s="2">
        <v>12490</v>
      </c>
      <c r="H401" s="2">
        <f t="shared" si="2"/>
        <v>101590</v>
      </c>
      <c r="I401" s="2">
        <v>1414832</v>
      </c>
      <c r="J401" s="2">
        <f t="shared" si="3"/>
        <v>7.1803578092664008E-2</v>
      </c>
    </row>
    <row r="402" spans="1:10" ht="13" x14ac:dyDescent="0.15">
      <c r="A402" s="1" t="s">
        <v>1215</v>
      </c>
      <c r="B402" s="1" t="s">
        <v>1216</v>
      </c>
      <c r="C402" s="4" t="s">
        <v>1217</v>
      </c>
      <c r="D402" s="1" t="s">
        <v>14</v>
      </c>
      <c r="E402" s="2">
        <v>53137</v>
      </c>
      <c r="F402" s="2">
        <v>108920</v>
      </c>
      <c r="G402" s="2">
        <v>50861</v>
      </c>
      <c r="H402" s="2">
        <f t="shared" si="2"/>
        <v>212918</v>
      </c>
      <c r="I402" s="2">
        <v>1411735</v>
      </c>
      <c r="J402" s="2">
        <f t="shared" si="3"/>
        <v>0.15082009017273071</v>
      </c>
    </row>
    <row r="403" spans="1:10" ht="13" x14ac:dyDescent="0.15">
      <c r="A403" s="1" t="s">
        <v>1218</v>
      </c>
      <c r="B403" s="1" t="s">
        <v>1219</v>
      </c>
      <c r="C403" s="4" t="s">
        <v>1220</v>
      </c>
      <c r="D403" s="1" t="s">
        <v>14</v>
      </c>
      <c r="E403" s="2">
        <v>4028</v>
      </c>
      <c r="F403" s="2">
        <v>26597</v>
      </c>
      <c r="G403" s="2">
        <v>35834</v>
      </c>
      <c r="H403" s="2">
        <f t="shared" si="2"/>
        <v>66459</v>
      </c>
      <c r="I403" s="2">
        <v>1463983</v>
      </c>
      <c r="J403" s="2">
        <f t="shared" si="3"/>
        <v>4.5396018942842918E-2</v>
      </c>
    </row>
    <row r="404" spans="1:10" ht="13" x14ac:dyDescent="0.15">
      <c r="A404" s="1" t="s">
        <v>1221</v>
      </c>
      <c r="B404" s="1" t="s">
        <v>1222</v>
      </c>
      <c r="C404" s="4" t="s">
        <v>1223</v>
      </c>
      <c r="D404" s="1" t="s">
        <v>14</v>
      </c>
      <c r="E404" s="2">
        <v>13602</v>
      </c>
      <c r="F404" s="2">
        <v>6779</v>
      </c>
      <c r="G404" s="2">
        <v>12389</v>
      </c>
      <c r="H404" s="2">
        <f t="shared" si="2"/>
        <v>32770</v>
      </c>
      <c r="I404" s="2">
        <v>1448956</v>
      </c>
      <c r="J404" s="2">
        <f t="shared" si="3"/>
        <v>2.2616283724281483E-2</v>
      </c>
    </row>
    <row r="405" spans="1:10" ht="13" x14ac:dyDescent="0.15">
      <c r="A405" s="1" t="s">
        <v>1224</v>
      </c>
      <c r="B405" s="1" t="s">
        <v>1225</v>
      </c>
      <c r="C405" s="4" t="s">
        <v>1226</v>
      </c>
      <c r="D405" s="1" t="s">
        <v>14</v>
      </c>
      <c r="E405" s="2">
        <v>14570</v>
      </c>
      <c r="F405" s="2">
        <v>90553</v>
      </c>
      <c r="G405" s="2">
        <v>32173</v>
      </c>
      <c r="H405" s="2">
        <f t="shared" si="2"/>
        <v>137296</v>
      </c>
      <c r="I405" s="2">
        <v>1825237</v>
      </c>
      <c r="J405" s="2">
        <f t="shared" si="3"/>
        <v>7.5220916516594835E-2</v>
      </c>
    </row>
    <row r="406" spans="1:10" ht="13" x14ac:dyDescent="0.15">
      <c r="A406" s="1" t="s">
        <v>1227</v>
      </c>
      <c r="B406" s="1" t="s">
        <v>1228</v>
      </c>
      <c r="C406" s="4" t="s">
        <v>1229</v>
      </c>
      <c r="D406" s="1" t="s">
        <v>14</v>
      </c>
      <c r="E406" s="2">
        <v>12015</v>
      </c>
      <c r="F406" s="2">
        <v>48811</v>
      </c>
      <c r="G406" s="2">
        <v>22218</v>
      </c>
      <c r="H406" s="2">
        <f t="shared" si="2"/>
        <v>83044</v>
      </c>
      <c r="I406" s="2">
        <v>1432561</v>
      </c>
      <c r="J406" s="2">
        <f t="shared" si="3"/>
        <v>5.7968910224416276E-2</v>
      </c>
    </row>
    <row r="407" spans="1:10" ht="13" x14ac:dyDescent="0.15">
      <c r="A407" s="1" t="s">
        <v>1230</v>
      </c>
      <c r="B407" s="1" t="s">
        <v>1231</v>
      </c>
      <c r="C407" s="4" t="s">
        <v>1232</v>
      </c>
      <c r="D407" s="1" t="s">
        <v>14</v>
      </c>
      <c r="E407" s="2">
        <v>19625</v>
      </c>
      <c r="F407" s="2">
        <v>73127</v>
      </c>
      <c r="G407" s="2">
        <v>26011</v>
      </c>
      <c r="H407" s="2">
        <f t="shared" si="2"/>
        <v>118763</v>
      </c>
      <c r="I407" s="2">
        <v>1513340</v>
      </c>
      <c r="J407" s="2">
        <f t="shared" si="3"/>
        <v>7.8477407588512821E-2</v>
      </c>
    </row>
    <row r="408" spans="1:10" ht="13" x14ac:dyDescent="0.15">
      <c r="A408" s="1" t="s">
        <v>1233</v>
      </c>
      <c r="B408" s="1" t="s">
        <v>1234</v>
      </c>
      <c r="C408" s="4" t="s">
        <v>1235</v>
      </c>
      <c r="D408" s="1" t="s">
        <v>14</v>
      </c>
      <c r="E408" s="2">
        <v>86</v>
      </c>
      <c r="F408" s="2">
        <v>88222</v>
      </c>
      <c r="G408" s="2">
        <v>7015</v>
      </c>
      <c r="H408" s="2">
        <f t="shared" si="2"/>
        <v>95323</v>
      </c>
      <c r="I408" s="2">
        <v>1415768</v>
      </c>
      <c r="J408" s="2">
        <f t="shared" si="3"/>
        <v>6.7329534217470663E-2</v>
      </c>
    </row>
    <row r="409" spans="1:10" ht="13" x14ac:dyDescent="0.15">
      <c r="A409" s="1" t="s">
        <v>1236</v>
      </c>
      <c r="B409" s="1" t="s">
        <v>1237</v>
      </c>
      <c r="C409" s="4" t="s">
        <v>1238</v>
      </c>
      <c r="D409" s="1" t="s">
        <v>14</v>
      </c>
      <c r="E409" s="2">
        <v>23839</v>
      </c>
      <c r="F409" s="2">
        <v>67948</v>
      </c>
      <c r="G409" s="2">
        <v>16021</v>
      </c>
      <c r="H409" s="2">
        <f t="shared" si="2"/>
        <v>107808</v>
      </c>
      <c r="I409" s="2">
        <v>1369345</v>
      </c>
      <c r="J409" s="2">
        <f t="shared" si="3"/>
        <v>7.8729611602627536E-2</v>
      </c>
    </row>
    <row r="410" spans="1:10" ht="13" x14ac:dyDescent="0.15">
      <c r="A410" s="1" t="s">
        <v>1239</v>
      </c>
      <c r="B410" s="1" t="s">
        <v>1240</v>
      </c>
      <c r="C410" s="4" t="s">
        <v>1241</v>
      </c>
      <c r="D410" s="1" t="s">
        <v>14</v>
      </c>
      <c r="E410" s="2">
        <v>26</v>
      </c>
      <c r="F410" s="2">
        <v>33213</v>
      </c>
      <c r="G410" s="2">
        <v>823</v>
      </c>
      <c r="H410" s="2">
        <f t="shared" si="2"/>
        <v>34062</v>
      </c>
      <c r="I410" s="2">
        <v>1651096</v>
      </c>
      <c r="J410" s="2">
        <f t="shared" si="3"/>
        <v>2.0629933086870781E-2</v>
      </c>
    </row>
    <row r="411" spans="1:10" ht="13" x14ac:dyDescent="0.15">
      <c r="A411" s="1" t="s">
        <v>1242</v>
      </c>
      <c r="B411" s="1" t="s">
        <v>1243</v>
      </c>
      <c r="C411" s="4" t="s">
        <v>1244</v>
      </c>
      <c r="D411" s="1" t="s">
        <v>14</v>
      </c>
      <c r="E411" s="2">
        <v>1520</v>
      </c>
      <c r="F411" s="2">
        <v>9823</v>
      </c>
      <c r="G411" s="2">
        <v>5014</v>
      </c>
      <c r="H411" s="2">
        <f t="shared" si="2"/>
        <v>16357</v>
      </c>
      <c r="I411" s="2">
        <v>1357938</v>
      </c>
      <c r="J411" s="2">
        <f t="shared" si="3"/>
        <v>1.2045468938935357E-2</v>
      </c>
    </row>
    <row r="412" spans="1:10" ht="13" x14ac:dyDescent="0.15">
      <c r="A412" s="1" t="s">
        <v>1245</v>
      </c>
      <c r="B412" s="1" t="s">
        <v>1246</v>
      </c>
      <c r="C412" s="4" t="s">
        <v>1247</v>
      </c>
      <c r="D412" s="1" t="s">
        <v>14</v>
      </c>
      <c r="E412" s="2">
        <v>4745</v>
      </c>
      <c r="F412" s="2">
        <v>55855</v>
      </c>
      <c r="G412" s="2">
        <v>17569</v>
      </c>
      <c r="H412" s="2">
        <f t="shared" si="2"/>
        <v>78169</v>
      </c>
      <c r="I412" s="2">
        <v>1481769</v>
      </c>
      <c r="J412" s="2">
        <f t="shared" si="3"/>
        <v>5.275383679912321E-2</v>
      </c>
    </row>
    <row r="413" spans="1:10" ht="13" x14ac:dyDescent="0.15">
      <c r="A413" s="1" t="s">
        <v>1248</v>
      </c>
      <c r="B413" s="1" t="s">
        <v>1249</v>
      </c>
      <c r="C413" s="4" t="s">
        <v>1250</v>
      </c>
      <c r="D413" s="1" t="s">
        <v>14</v>
      </c>
      <c r="E413" s="2">
        <v>0</v>
      </c>
      <c r="F413" s="2">
        <v>7830</v>
      </c>
      <c r="G413" s="2">
        <v>3649</v>
      </c>
      <c r="H413" s="2">
        <f t="shared" si="2"/>
        <v>11479</v>
      </c>
      <c r="I413" s="2">
        <v>1306555</v>
      </c>
      <c r="J413" s="2">
        <f t="shared" si="3"/>
        <v>8.7856997983246019E-3</v>
      </c>
    </row>
    <row r="414" spans="1:10" ht="13" x14ac:dyDescent="0.15">
      <c r="A414" s="1" t="s">
        <v>1251</v>
      </c>
      <c r="B414" s="1" t="s">
        <v>1252</v>
      </c>
      <c r="C414" s="4" t="s">
        <v>1253</v>
      </c>
      <c r="D414" s="1" t="s">
        <v>14</v>
      </c>
      <c r="E414" s="2">
        <v>115</v>
      </c>
      <c r="F414" s="2">
        <v>3529</v>
      </c>
      <c r="G414" s="2">
        <v>2402</v>
      </c>
      <c r="H414" s="2">
        <f t="shared" si="2"/>
        <v>6046</v>
      </c>
      <c r="I414" s="2">
        <v>1314200</v>
      </c>
      <c r="J414" s="2">
        <f t="shared" si="3"/>
        <v>4.6005174250494593E-3</v>
      </c>
    </row>
    <row r="415" spans="1:10" ht="13" x14ac:dyDescent="0.15">
      <c r="A415" s="1" t="s">
        <v>1254</v>
      </c>
      <c r="B415" s="1" t="s">
        <v>1255</v>
      </c>
      <c r="C415" s="4" t="s">
        <v>1256</v>
      </c>
      <c r="D415" s="1" t="s">
        <v>14</v>
      </c>
      <c r="E415" s="2">
        <v>16945</v>
      </c>
      <c r="F415" s="2">
        <v>44222</v>
      </c>
      <c r="G415" s="2">
        <v>20646</v>
      </c>
      <c r="H415" s="2">
        <f t="shared" si="2"/>
        <v>81813</v>
      </c>
      <c r="I415" s="2">
        <v>1668210</v>
      </c>
      <c r="J415" s="2">
        <f t="shared" si="3"/>
        <v>4.9042386749869618E-2</v>
      </c>
    </row>
    <row r="416" spans="1:10" ht="13" x14ac:dyDescent="0.15">
      <c r="A416" s="1" t="s">
        <v>1257</v>
      </c>
      <c r="B416" s="1" t="s">
        <v>1258</v>
      </c>
      <c r="C416" s="4" t="s">
        <v>1259</v>
      </c>
      <c r="D416" s="1" t="s">
        <v>14</v>
      </c>
      <c r="E416" s="2">
        <v>24770</v>
      </c>
      <c r="F416" s="2">
        <v>120631</v>
      </c>
      <c r="G416" s="2">
        <v>38431</v>
      </c>
      <c r="H416" s="2">
        <f t="shared" si="2"/>
        <v>183832</v>
      </c>
      <c r="I416" s="2">
        <v>1726961</v>
      </c>
      <c r="J416" s="2">
        <f t="shared" si="3"/>
        <v>0.10644826374191427</v>
      </c>
    </row>
    <row r="417" spans="1:10" ht="13" x14ac:dyDescent="0.15">
      <c r="A417" s="1" t="s">
        <v>1260</v>
      </c>
      <c r="B417" s="1" t="s">
        <v>1261</v>
      </c>
      <c r="C417" s="4" t="s">
        <v>1262</v>
      </c>
      <c r="D417" s="1" t="s">
        <v>14</v>
      </c>
      <c r="E417" s="2">
        <v>0</v>
      </c>
      <c r="F417" s="2">
        <v>27554</v>
      </c>
      <c r="G417" s="2">
        <v>2206</v>
      </c>
      <c r="H417" s="2">
        <f t="shared" si="2"/>
        <v>29760</v>
      </c>
      <c r="I417" s="2">
        <v>1618692</v>
      </c>
      <c r="J417" s="2">
        <f t="shared" si="3"/>
        <v>1.8385214728929282E-2</v>
      </c>
    </row>
    <row r="418" spans="1:10" ht="13" x14ac:dyDescent="0.15">
      <c r="A418" s="1" t="s">
        <v>1263</v>
      </c>
      <c r="B418" s="1" t="s">
        <v>1264</v>
      </c>
      <c r="C418" s="4" t="s">
        <v>1265</v>
      </c>
      <c r="D418" s="1" t="s">
        <v>14</v>
      </c>
      <c r="E418" s="2">
        <v>5184</v>
      </c>
      <c r="F418" s="2">
        <v>27914</v>
      </c>
      <c r="G418" s="2">
        <v>11613</v>
      </c>
      <c r="H418" s="2">
        <f t="shared" si="2"/>
        <v>44711</v>
      </c>
      <c r="I418" s="2">
        <v>1411033</v>
      </c>
      <c r="J418" s="2">
        <f t="shared" si="3"/>
        <v>3.1686714626801782E-2</v>
      </c>
    </row>
    <row r="419" spans="1:10" ht="13" x14ac:dyDescent="0.15">
      <c r="A419" s="1" t="s">
        <v>1266</v>
      </c>
      <c r="B419" s="1" t="s">
        <v>1267</v>
      </c>
      <c r="C419" s="4" t="s">
        <v>1268</v>
      </c>
      <c r="D419" s="1" t="s">
        <v>14</v>
      </c>
      <c r="E419" s="2">
        <v>3759</v>
      </c>
      <c r="F419" s="2">
        <v>8054</v>
      </c>
      <c r="G419" s="2">
        <v>12466</v>
      </c>
      <c r="H419" s="2">
        <f t="shared" si="2"/>
        <v>24279</v>
      </c>
      <c r="I419" s="2">
        <v>1209091</v>
      </c>
      <c r="J419" s="2">
        <f t="shared" si="3"/>
        <v>2.0080374430047034E-2</v>
      </c>
    </row>
    <row r="420" spans="1:10" ht="13" x14ac:dyDescent="0.15">
      <c r="A420" s="1" t="s">
        <v>1269</v>
      </c>
      <c r="B420" s="1" t="s">
        <v>1270</v>
      </c>
      <c r="C420" s="4" t="s">
        <v>1271</v>
      </c>
      <c r="D420" s="1" t="s">
        <v>14</v>
      </c>
      <c r="E420" s="2">
        <v>3620</v>
      </c>
      <c r="F420" s="2">
        <v>185290</v>
      </c>
      <c r="G420" s="2">
        <v>36247</v>
      </c>
      <c r="H420" s="2">
        <f t="shared" si="2"/>
        <v>225157</v>
      </c>
      <c r="I420" s="2">
        <v>1730058</v>
      </c>
      <c r="J420" s="2">
        <f t="shared" si="3"/>
        <v>0.1301441916976194</v>
      </c>
    </row>
    <row r="421" spans="1:10" ht="13" x14ac:dyDescent="0.15">
      <c r="A421" s="1" t="s">
        <v>1272</v>
      </c>
      <c r="B421" s="1" t="s">
        <v>1273</v>
      </c>
      <c r="C421" s="4" t="s">
        <v>1274</v>
      </c>
      <c r="D421" s="1" t="s">
        <v>14</v>
      </c>
      <c r="E421" s="2">
        <v>5167</v>
      </c>
      <c r="F421" s="2">
        <v>75630</v>
      </c>
      <c r="G421" s="2">
        <v>13926</v>
      </c>
      <c r="H421" s="2">
        <f t="shared" si="2"/>
        <v>94723</v>
      </c>
      <c r="I421" s="2">
        <v>1565377</v>
      </c>
      <c r="J421" s="2">
        <f t="shared" si="3"/>
        <v>6.0511301750313183E-2</v>
      </c>
    </row>
    <row r="422" spans="1:10" ht="13" x14ac:dyDescent="0.15">
      <c r="A422" s="1" t="s">
        <v>1275</v>
      </c>
      <c r="B422" s="1" t="s">
        <v>1276</v>
      </c>
      <c r="C422" s="4" t="s">
        <v>1277</v>
      </c>
      <c r="D422" s="1" t="s">
        <v>14</v>
      </c>
      <c r="E422" s="2">
        <v>9920</v>
      </c>
      <c r="F422" s="2">
        <v>150821</v>
      </c>
      <c r="G422" s="2">
        <v>18530</v>
      </c>
      <c r="H422" s="2">
        <f t="shared" si="2"/>
        <v>179271</v>
      </c>
      <c r="I422" s="2">
        <v>1420257</v>
      </c>
      <c r="J422" s="2">
        <f t="shared" si="3"/>
        <v>0.12622433827117205</v>
      </c>
    </row>
    <row r="423" spans="1:10" ht="13" x14ac:dyDescent="0.15">
      <c r="A423" s="1" t="s">
        <v>1278</v>
      </c>
      <c r="B423" s="1" t="s">
        <v>1279</v>
      </c>
      <c r="C423" s="4" t="s">
        <v>1280</v>
      </c>
      <c r="D423" s="1" t="s">
        <v>14</v>
      </c>
      <c r="E423" s="2">
        <v>4582</v>
      </c>
      <c r="F423" s="2">
        <v>71068</v>
      </c>
      <c r="G423" s="2">
        <v>8522</v>
      </c>
      <c r="H423" s="2">
        <f t="shared" si="2"/>
        <v>84172</v>
      </c>
      <c r="I423" s="2">
        <v>1768198</v>
      </c>
      <c r="J423" s="2">
        <f t="shared" si="3"/>
        <v>4.7603266150057853E-2</v>
      </c>
    </row>
    <row r="424" spans="1:10" ht="13" x14ac:dyDescent="0.15">
      <c r="A424" s="1" t="s">
        <v>1281</v>
      </c>
      <c r="B424" s="1" t="s">
        <v>1282</v>
      </c>
      <c r="C424" s="4" t="s">
        <v>1283</v>
      </c>
      <c r="D424" s="1" t="s">
        <v>14</v>
      </c>
      <c r="E424" s="2">
        <v>2861</v>
      </c>
      <c r="F424" s="2">
        <v>6558</v>
      </c>
      <c r="G424" s="2">
        <v>9344</v>
      </c>
      <c r="H424" s="2">
        <f t="shared" si="2"/>
        <v>18763</v>
      </c>
      <c r="I424" s="2">
        <v>1384942</v>
      </c>
      <c r="J424" s="2">
        <f t="shared" si="3"/>
        <v>1.3547859765968539E-2</v>
      </c>
    </row>
    <row r="425" spans="1:10" ht="13" x14ac:dyDescent="0.15">
      <c r="A425" s="1" t="s">
        <v>1284</v>
      </c>
      <c r="B425" s="1" t="s">
        <v>1285</v>
      </c>
      <c r="C425" s="4" t="s">
        <v>1286</v>
      </c>
      <c r="D425" s="1" t="s">
        <v>14</v>
      </c>
      <c r="E425" s="2">
        <v>15850</v>
      </c>
      <c r="F425" s="2">
        <v>20654</v>
      </c>
      <c r="G425" s="2">
        <v>32983</v>
      </c>
      <c r="H425" s="2">
        <f t="shared" si="2"/>
        <v>69487</v>
      </c>
      <c r="I425" s="2">
        <v>1571201</v>
      </c>
      <c r="J425" s="2">
        <f t="shared" si="3"/>
        <v>4.4225404642690529E-2</v>
      </c>
    </row>
    <row r="426" spans="1:10" ht="13" x14ac:dyDescent="0.15">
      <c r="A426" s="1" t="s">
        <v>1287</v>
      </c>
      <c r="B426" s="1" t="s">
        <v>1288</v>
      </c>
      <c r="C426" s="4" t="s">
        <v>1289</v>
      </c>
      <c r="D426" s="1" t="s">
        <v>14</v>
      </c>
      <c r="E426" s="2">
        <v>7429</v>
      </c>
      <c r="F426" s="2">
        <v>32296</v>
      </c>
      <c r="G426" s="2">
        <v>11199</v>
      </c>
      <c r="H426" s="2">
        <f t="shared" si="2"/>
        <v>50924</v>
      </c>
      <c r="I426" s="2">
        <v>1685036</v>
      </c>
      <c r="J426" s="2">
        <f t="shared" si="3"/>
        <v>3.0221312779074156E-2</v>
      </c>
    </row>
    <row r="427" spans="1:10" ht="13" x14ac:dyDescent="0.15">
      <c r="A427" s="1" t="s">
        <v>1290</v>
      </c>
      <c r="B427" s="1" t="s">
        <v>1291</v>
      </c>
      <c r="C427" s="4" t="s">
        <v>1292</v>
      </c>
      <c r="D427" s="1" t="s">
        <v>14</v>
      </c>
      <c r="E427" s="2">
        <v>6162</v>
      </c>
      <c r="F427" s="2">
        <v>48372</v>
      </c>
      <c r="G427" s="2">
        <v>15222</v>
      </c>
      <c r="H427" s="2">
        <f t="shared" si="2"/>
        <v>69756</v>
      </c>
      <c r="I427" s="2">
        <v>1757368</v>
      </c>
      <c r="J427" s="2">
        <f t="shared" si="3"/>
        <v>3.9693450660305642E-2</v>
      </c>
    </row>
    <row r="428" spans="1:10" ht="13" x14ac:dyDescent="0.15">
      <c r="A428" s="1" t="s">
        <v>1293</v>
      </c>
      <c r="B428" s="1" t="s">
        <v>1294</v>
      </c>
      <c r="C428" s="4" t="s">
        <v>1295</v>
      </c>
      <c r="D428" s="1" t="s">
        <v>14</v>
      </c>
      <c r="E428" s="2">
        <v>0</v>
      </c>
      <c r="F428" s="2">
        <v>4582</v>
      </c>
      <c r="G428" s="2">
        <v>2298</v>
      </c>
      <c r="H428" s="2">
        <f t="shared" si="2"/>
        <v>6880</v>
      </c>
      <c r="I428" s="2">
        <v>1413043</v>
      </c>
      <c r="J428" s="2">
        <f t="shared" si="3"/>
        <v>4.8689247248668299E-3</v>
      </c>
    </row>
    <row r="429" spans="1:10" ht="13" x14ac:dyDescent="0.15">
      <c r="A429" s="1" t="s">
        <v>1296</v>
      </c>
      <c r="B429" s="1" t="s">
        <v>1297</v>
      </c>
      <c r="C429" s="4" t="s">
        <v>1298</v>
      </c>
      <c r="D429" s="1" t="s">
        <v>14</v>
      </c>
      <c r="E429" s="2">
        <v>28022</v>
      </c>
      <c r="F429" s="2">
        <v>50279</v>
      </c>
      <c r="G429" s="2">
        <v>49563</v>
      </c>
      <c r="H429" s="2">
        <f t="shared" si="2"/>
        <v>127864</v>
      </c>
      <c r="I429" s="2">
        <v>1395830</v>
      </c>
      <c r="J429" s="2">
        <f t="shared" si="3"/>
        <v>9.1604278457978403E-2</v>
      </c>
    </row>
    <row r="430" spans="1:10" ht="13" x14ac:dyDescent="0.15">
      <c r="A430" s="1" t="s">
        <v>1299</v>
      </c>
      <c r="B430" s="1" t="s">
        <v>1300</v>
      </c>
      <c r="C430" s="4" t="s">
        <v>1301</v>
      </c>
      <c r="D430" s="1" t="s">
        <v>14</v>
      </c>
      <c r="E430" s="2">
        <v>12086</v>
      </c>
      <c r="F430" s="2">
        <v>28162</v>
      </c>
      <c r="G430" s="2">
        <v>26749</v>
      </c>
      <c r="H430" s="2">
        <f t="shared" si="2"/>
        <v>66997</v>
      </c>
      <c r="I430" s="2">
        <v>1544307</v>
      </c>
      <c r="J430" s="2">
        <f t="shared" si="3"/>
        <v>4.3383213311860916E-2</v>
      </c>
    </row>
    <row r="431" spans="1:10" ht="13" x14ac:dyDescent="0.15">
      <c r="A431" s="1" t="s">
        <v>1302</v>
      </c>
      <c r="B431" s="1" t="s">
        <v>1303</v>
      </c>
      <c r="C431" s="4" t="s">
        <v>1304</v>
      </c>
      <c r="D431" s="1" t="s">
        <v>14</v>
      </c>
      <c r="E431" s="2">
        <v>1204</v>
      </c>
      <c r="F431" s="2">
        <v>12877</v>
      </c>
      <c r="G431" s="2">
        <v>10802</v>
      </c>
      <c r="H431" s="2">
        <f t="shared" si="2"/>
        <v>24883</v>
      </c>
      <c r="I431" s="2">
        <v>1720044</v>
      </c>
      <c r="J431" s="2">
        <f t="shared" si="3"/>
        <v>1.4466490392106249E-2</v>
      </c>
    </row>
    <row r="432" spans="1:10" ht="13" x14ac:dyDescent="0.15">
      <c r="A432" s="1" t="s">
        <v>1305</v>
      </c>
      <c r="B432" s="1" t="s">
        <v>1306</v>
      </c>
      <c r="C432" s="4" t="s">
        <v>1307</v>
      </c>
      <c r="D432" s="1" t="s">
        <v>14</v>
      </c>
      <c r="E432" s="2">
        <v>25349</v>
      </c>
      <c r="F432" s="2">
        <v>29754</v>
      </c>
      <c r="G432" s="2">
        <v>59804</v>
      </c>
      <c r="H432" s="2">
        <f t="shared" si="2"/>
        <v>114907</v>
      </c>
      <c r="I432" s="2">
        <v>1493358</v>
      </c>
      <c r="J432" s="2">
        <f t="shared" si="3"/>
        <v>7.6945380812906222E-2</v>
      </c>
    </row>
    <row r="433" spans="1:10" ht="13" x14ac:dyDescent="0.15">
      <c r="A433" s="1" t="s">
        <v>1308</v>
      </c>
      <c r="B433" s="1" t="s">
        <v>1309</v>
      </c>
      <c r="C433" s="4" t="s">
        <v>1310</v>
      </c>
      <c r="D433" s="1" t="s">
        <v>14</v>
      </c>
      <c r="E433" s="2">
        <v>36188</v>
      </c>
      <c r="F433" s="2">
        <v>80497</v>
      </c>
      <c r="G433" s="2">
        <v>44890</v>
      </c>
      <c r="H433" s="2">
        <f t="shared" si="2"/>
        <v>161575</v>
      </c>
      <c r="I433" s="2">
        <v>1756234</v>
      </c>
      <c r="J433" s="2">
        <f t="shared" si="3"/>
        <v>9.2000838157102069E-2</v>
      </c>
    </row>
    <row r="434" spans="1:10" ht="13" x14ac:dyDescent="0.15">
      <c r="A434" s="1" t="s">
        <v>1311</v>
      </c>
      <c r="B434" s="1" t="s">
        <v>1312</v>
      </c>
      <c r="C434" s="4" t="s">
        <v>1313</v>
      </c>
      <c r="D434" s="1" t="s">
        <v>14</v>
      </c>
      <c r="E434" s="2">
        <v>5579</v>
      </c>
      <c r="F434" s="2">
        <v>43772</v>
      </c>
      <c r="G434" s="2">
        <v>38901</v>
      </c>
      <c r="H434" s="2">
        <f t="shared" si="2"/>
        <v>88252</v>
      </c>
      <c r="I434" s="2">
        <v>1576231</v>
      </c>
      <c r="J434" s="2">
        <f t="shared" si="3"/>
        <v>5.5989255381983988E-2</v>
      </c>
    </row>
    <row r="435" spans="1:10" ht="13" x14ac:dyDescent="0.15">
      <c r="A435" s="1" t="s">
        <v>1314</v>
      </c>
      <c r="B435" s="1" t="s">
        <v>1315</v>
      </c>
      <c r="C435" s="4" t="s">
        <v>1316</v>
      </c>
      <c r="D435" s="1" t="s">
        <v>14</v>
      </c>
      <c r="E435" s="2">
        <v>7857</v>
      </c>
      <c r="F435" s="2">
        <v>81246</v>
      </c>
      <c r="G435" s="2">
        <v>20970</v>
      </c>
      <c r="H435" s="2">
        <f t="shared" si="2"/>
        <v>110073</v>
      </c>
      <c r="I435" s="2">
        <v>1568889</v>
      </c>
      <c r="J435" s="2">
        <f t="shared" si="3"/>
        <v>7.0159839223807419E-2</v>
      </c>
    </row>
    <row r="436" spans="1:10" ht="13" x14ac:dyDescent="0.15">
      <c r="A436" s="1" t="s">
        <v>1317</v>
      </c>
      <c r="B436" s="1" t="s">
        <v>1318</v>
      </c>
      <c r="C436" s="4" t="s">
        <v>1319</v>
      </c>
      <c r="D436" s="1" t="s">
        <v>14</v>
      </c>
      <c r="E436" s="2">
        <v>13366</v>
      </c>
      <c r="F436" s="2">
        <v>56927</v>
      </c>
      <c r="G436" s="2">
        <v>23086</v>
      </c>
      <c r="H436" s="2">
        <f t="shared" si="2"/>
        <v>93379</v>
      </c>
      <c r="I436" s="2">
        <v>1257112</v>
      </c>
      <c r="J436" s="2">
        <f t="shared" si="3"/>
        <v>7.4280573250434329E-2</v>
      </c>
    </row>
    <row r="437" spans="1:10" ht="13" x14ac:dyDescent="0.15">
      <c r="A437" s="1" t="s">
        <v>1320</v>
      </c>
      <c r="B437" s="1" t="s">
        <v>1321</v>
      </c>
      <c r="C437" s="4" t="s">
        <v>1322</v>
      </c>
      <c r="D437" s="1" t="s">
        <v>14</v>
      </c>
      <c r="E437" s="2">
        <v>329</v>
      </c>
      <c r="F437" s="2">
        <v>104855</v>
      </c>
      <c r="G437" s="2">
        <v>4017</v>
      </c>
      <c r="H437" s="2">
        <f t="shared" si="2"/>
        <v>109201</v>
      </c>
      <c r="I437" s="2">
        <v>1505121</v>
      </c>
      <c r="J437" s="2">
        <f t="shared" si="3"/>
        <v>7.2552970824272603E-2</v>
      </c>
    </row>
    <row r="438" spans="1:10" ht="13" x14ac:dyDescent="0.15">
      <c r="A438" s="1" t="s">
        <v>1323</v>
      </c>
      <c r="B438" s="1" t="s">
        <v>1324</v>
      </c>
      <c r="C438" s="4" t="s">
        <v>1325</v>
      </c>
      <c r="D438" s="1" t="s">
        <v>14</v>
      </c>
      <c r="E438" s="2">
        <v>3853</v>
      </c>
      <c r="F438" s="2">
        <v>1859</v>
      </c>
      <c r="G438" s="2">
        <v>4767</v>
      </c>
      <c r="H438" s="2">
        <f t="shared" si="2"/>
        <v>10479</v>
      </c>
      <c r="I438" s="2">
        <v>1576750</v>
      </c>
      <c r="J438" s="2">
        <f t="shared" si="3"/>
        <v>6.6459489456159818E-3</v>
      </c>
    </row>
    <row r="439" spans="1:10" ht="13" x14ac:dyDescent="0.15">
      <c r="A439" s="1" t="s">
        <v>1326</v>
      </c>
      <c r="B439" s="1" t="s">
        <v>1327</v>
      </c>
      <c r="C439" s="4" t="s">
        <v>1328</v>
      </c>
      <c r="D439" s="1" t="s">
        <v>14</v>
      </c>
      <c r="E439" s="2">
        <v>22305</v>
      </c>
      <c r="F439" s="2">
        <v>37075</v>
      </c>
      <c r="G439" s="2">
        <v>48476</v>
      </c>
      <c r="H439" s="2">
        <f t="shared" si="2"/>
        <v>107856</v>
      </c>
      <c r="I439" s="2">
        <v>1398313</v>
      </c>
      <c r="J439" s="2">
        <f t="shared" si="3"/>
        <v>7.7132945198964756E-2</v>
      </c>
    </row>
    <row r="440" spans="1:10" ht="13" x14ac:dyDescent="0.15">
      <c r="A440" s="1" t="s">
        <v>1329</v>
      </c>
      <c r="B440" s="1" t="s">
        <v>1330</v>
      </c>
      <c r="C440" s="4" t="s">
        <v>1331</v>
      </c>
      <c r="D440" s="1" t="s">
        <v>14</v>
      </c>
      <c r="E440" s="2">
        <v>415</v>
      </c>
      <c r="F440" s="2">
        <v>136841</v>
      </c>
      <c r="G440" s="2">
        <v>14465</v>
      </c>
      <c r="H440" s="2">
        <f t="shared" si="2"/>
        <v>151721</v>
      </c>
      <c r="I440" s="2">
        <v>1526466</v>
      </c>
      <c r="J440" s="2">
        <f t="shared" si="3"/>
        <v>9.9393632088759259E-2</v>
      </c>
    </row>
    <row r="441" spans="1:10" ht="13" x14ac:dyDescent="0.15">
      <c r="A441" s="1" t="s">
        <v>1332</v>
      </c>
      <c r="B441" s="1" t="s">
        <v>1333</v>
      </c>
      <c r="C441" s="4" t="s">
        <v>1334</v>
      </c>
      <c r="D441" s="1" t="s">
        <v>14</v>
      </c>
      <c r="E441" s="2">
        <v>2098</v>
      </c>
      <c r="F441" s="2">
        <v>40950</v>
      </c>
      <c r="G441" s="2">
        <v>12412</v>
      </c>
      <c r="H441" s="2">
        <f t="shared" si="2"/>
        <v>55460</v>
      </c>
      <c r="I441" s="2">
        <v>1499896</v>
      </c>
      <c r="J441" s="2">
        <f t="shared" si="3"/>
        <v>3.6975896995525025E-2</v>
      </c>
    </row>
    <row r="442" spans="1:10" ht="13" x14ac:dyDescent="0.15">
      <c r="A442" s="1" t="s">
        <v>1335</v>
      </c>
      <c r="B442" s="1" t="s">
        <v>1336</v>
      </c>
      <c r="C442" s="4" t="s">
        <v>1337</v>
      </c>
      <c r="D442" s="1" t="s">
        <v>14</v>
      </c>
      <c r="E442" s="2">
        <v>31944</v>
      </c>
      <c r="F442" s="2">
        <v>66076</v>
      </c>
      <c r="G442" s="2">
        <v>15333</v>
      </c>
      <c r="H442" s="2">
        <f t="shared" si="2"/>
        <v>113353</v>
      </c>
      <c r="I442" s="2">
        <v>1467602</v>
      </c>
      <c r="J442" s="2">
        <f t="shared" si="3"/>
        <v>7.7236880298609575E-2</v>
      </c>
    </row>
    <row r="443" spans="1:10" ht="13" x14ac:dyDescent="0.15">
      <c r="A443" s="1" t="s">
        <v>1338</v>
      </c>
      <c r="B443" s="1" t="s">
        <v>1339</v>
      </c>
      <c r="C443" s="4" t="s">
        <v>1340</v>
      </c>
      <c r="D443" s="1" t="s">
        <v>14</v>
      </c>
      <c r="E443" s="2">
        <v>3745</v>
      </c>
      <c r="F443" s="2">
        <v>32223</v>
      </c>
      <c r="G443" s="2">
        <v>12507</v>
      </c>
      <c r="H443" s="2">
        <f t="shared" si="2"/>
        <v>48475</v>
      </c>
      <c r="I443" s="2">
        <v>1379399</v>
      </c>
      <c r="J443" s="2">
        <f t="shared" si="3"/>
        <v>3.5142116240478645E-2</v>
      </c>
    </row>
    <row r="444" spans="1:10" ht="13" x14ac:dyDescent="0.15">
      <c r="A444" s="1" t="s">
        <v>1341</v>
      </c>
      <c r="B444" s="1" t="s">
        <v>1342</v>
      </c>
      <c r="C444" s="5" t="s">
        <v>1343</v>
      </c>
      <c r="D444" s="1" t="s">
        <v>304</v>
      </c>
      <c r="E444" s="2">
        <v>4544</v>
      </c>
      <c r="F444" s="2">
        <v>46142</v>
      </c>
      <c r="G444" s="2">
        <v>22713</v>
      </c>
      <c r="H444" s="2">
        <f t="shared" si="2"/>
        <v>73399</v>
      </c>
      <c r="I444" s="2">
        <v>1323591</v>
      </c>
      <c r="J444" s="2">
        <f t="shared" si="3"/>
        <v>5.5454441742199816E-2</v>
      </c>
    </row>
    <row r="445" spans="1:10" ht="13" x14ac:dyDescent="0.15">
      <c r="A445" s="1" t="s">
        <v>1344</v>
      </c>
      <c r="B445" s="1" t="s">
        <v>1345</v>
      </c>
      <c r="C445" s="5" t="s">
        <v>1346</v>
      </c>
      <c r="D445" s="1" t="s">
        <v>304</v>
      </c>
      <c r="E445" s="2">
        <v>660</v>
      </c>
      <c r="F445" s="2">
        <v>9138</v>
      </c>
      <c r="G445" s="2">
        <v>12096</v>
      </c>
      <c r="H445" s="2">
        <f t="shared" si="2"/>
        <v>21894</v>
      </c>
      <c r="I445" s="2">
        <v>1581991</v>
      </c>
      <c r="J445" s="2">
        <f t="shared" si="3"/>
        <v>1.3839522475159467E-2</v>
      </c>
    </row>
    <row r="446" spans="1:10" ht="13" x14ac:dyDescent="0.15">
      <c r="A446" s="1" t="s">
        <v>1347</v>
      </c>
      <c r="B446" s="1" t="s">
        <v>1348</v>
      </c>
      <c r="C446" s="5" t="s">
        <v>1349</v>
      </c>
      <c r="D446" s="1" t="s">
        <v>304</v>
      </c>
      <c r="E446" s="2">
        <v>1240</v>
      </c>
      <c r="F446" s="2">
        <v>20485</v>
      </c>
      <c r="G446" s="2">
        <v>2971</v>
      </c>
      <c r="H446" s="2">
        <f t="shared" si="2"/>
        <v>24696</v>
      </c>
      <c r="I446" s="2">
        <v>1361592</v>
      </c>
      <c r="J446" s="2">
        <f t="shared" si="3"/>
        <v>1.8137591877743112E-2</v>
      </c>
    </row>
    <row r="447" spans="1:10" ht="13" x14ac:dyDescent="0.15">
      <c r="A447" s="1" t="s">
        <v>1350</v>
      </c>
      <c r="B447" s="1" t="s">
        <v>1351</v>
      </c>
      <c r="C447" s="5" t="s">
        <v>1352</v>
      </c>
      <c r="D447" s="1" t="s">
        <v>304</v>
      </c>
      <c r="E447" s="2">
        <v>31</v>
      </c>
      <c r="F447" s="2">
        <v>14657</v>
      </c>
      <c r="G447" s="2">
        <v>1111</v>
      </c>
      <c r="H447" s="2">
        <f t="shared" si="2"/>
        <v>15799</v>
      </c>
      <c r="I447" s="2">
        <v>1431108</v>
      </c>
      <c r="J447" s="2">
        <f t="shared" si="3"/>
        <v>1.1039697912386766E-2</v>
      </c>
    </row>
    <row r="448" spans="1:10" ht="13" x14ac:dyDescent="0.15">
      <c r="A448" s="1" t="s">
        <v>1353</v>
      </c>
      <c r="B448" s="1" t="s">
        <v>1354</v>
      </c>
      <c r="C448" s="1" t="s">
        <v>1355</v>
      </c>
      <c r="D448" s="1" t="s">
        <v>210</v>
      </c>
      <c r="E448" s="2">
        <v>1665</v>
      </c>
      <c r="F448" s="2">
        <v>30118</v>
      </c>
      <c r="G448" s="2">
        <v>35019</v>
      </c>
      <c r="H448" s="2">
        <f t="shared" si="2"/>
        <v>66802</v>
      </c>
      <c r="I448" s="2">
        <v>1375834</v>
      </c>
      <c r="J448" s="2">
        <f t="shared" si="3"/>
        <v>4.8553822626857604E-2</v>
      </c>
    </row>
    <row r="449" spans="1:10" ht="13" x14ac:dyDescent="0.15">
      <c r="A449" s="1" t="s">
        <v>1356</v>
      </c>
      <c r="B449" s="1" t="s">
        <v>1357</v>
      </c>
      <c r="C449" s="1" t="s">
        <v>1358</v>
      </c>
      <c r="D449" s="1" t="s">
        <v>210</v>
      </c>
      <c r="E449" s="2">
        <v>48610</v>
      </c>
      <c r="F449" s="2">
        <v>45798</v>
      </c>
      <c r="G449" s="2">
        <v>33404</v>
      </c>
      <c r="H449" s="2">
        <f t="shared" si="2"/>
        <v>127812</v>
      </c>
      <c r="I449" s="2">
        <v>1441706</v>
      </c>
      <c r="J449" s="2">
        <f t="shared" si="3"/>
        <v>8.8653303794254859E-2</v>
      </c>
    </row>
    <row r="450" spans="1:10" ht="13" x14ac:dyDescent="0.15">
      <c r="A450" s="1" t="s">
        <v>1359</v>
      </c>
      <c r="B450" s="1" t="s">
        <v>1360</v>
      </c>
      <c r="C450" s="5" t="s">
        <v>1361</v>
      </c>
      <c r="D450" s="1" t="s">
        <v>304</v>
      </c>
      <c r="E450" s="2">
        <v>11719</v>
      </c>
      <c r="F450" s="2">
        <v>50550</v>
      </c>
      <c r="G450" s="2">
        <v>15502</v>
      </c>
      <c r="H450" s="2">
        <f t="shared" si="2"/>
        <v>77771</v>
      </c>
      <c r="I450" s="2">
        <v>1338329</v>
      </c>
      <c r="J450" s="2">
        <f t="shared" si="3"/>
        <v>5.8110524392731532E-2</v>
      </c>
    </row>
    <row r="451" spans="1:10" ht="13" x14ac:dyDescent="0.15">
      <c r="A451" s="1" t="s">
        <v>1362</v>
      </c>
      <c r="B451" s="1" t="s">
        <v>1363</v>
      </c>
      <c r="C451" s="1" t="s">
        <v>1364</v>
      </c>
      <c r="D451" s="1" t="s">
        <v>210</v>
      </c>
      <c r="E451" s="2">
        <v>7137</v>
      </c>
      <c r="F451" s="2">
        <v>65653</v>
      </c>
      <c r="G451" s="2">
        <v>34538</v>
      </c>
      <c r="H451" s="2">
        <f t="shared" si="2"/>
        <v>107328</v>
      </c>
      <c r="I451" s="2">
        <v>1357043</v>
      </c>
      <c r="J451" s="2">
        <f t="shared" si="3"/>
        <v>7.9089608803847772E-2</v>
      </c>
    </row>
    <row r="452" spans="1:10" ht="13" x14ac:dyDescent="0.15">
      <c r="A452" s="1" t="s">
        <v>1365</v>
      </c>
      <c r="B452" s="1" t="s">
        <v>1366</v>
      </c>
      <c r="C452" s="1" t="s">
        <v>1367</v>
      </c>
      <c r="D452" s="1" t="s">
        <v>210</v>
      </c>
      <c r="E452" s="2">
        <v>9905</v>
      </c>
      <c r="F452" s="2">
        <v>19635</v>
      </c>
      <c r="G452" s="2">
        <v>26241</v>
      </c>
      <c r="H452" s="2">
        <f t="shared" si="2"/>
        <v>55781</v>
      </c>
      <c r="I452" s="2">
        <v>1553383</v>
      </c>
      <c r="J452" s="2">
        <f t="shared" si="3"/>
        <v>3.5909366846424866E-2</v>
      </c>
    </row>
    <row r="453" spans="1:10" ht="13" x14ac:dyDescent="0.15">
      <c r="A453" s="1" t="s">
        <v>1368</v>
      </c>
      <c r="B453" s="1" t="s">
        <v>1369</v>
      </c>
      <c r="C453" s="1" t="s">
        <v>1370</v>
      </c>
      <c r="D453" s="1" t="s">
        <v>210</v>
      </c>
      <c r="E453" s="2">
        <v>7587</v>
      </c>
      <c r="F453" s="2">
        <v>34086</v>
      </c>
      <c r="G453" s="2">
        <v>12114</v>
      </c>
      <c r="H453" s="2">
        <f t="shared" si="2"/>
        <v>53787</v>
      </c>
      <c r="I453" s="2">
        <v>1404675</v>
      </c>
      <c r="J453" s="2">
        <f t="shared" si="3"/>
        <v>3.8291419723423571E-2</v>
      </c>
    </row>
    <row r="454" spans="1:10" ht="13" x14ac:dyDescent="0.15">
      <c r="A454" s="1" t="s">
        <v>1371</v>
      </c>
      <c r="B454" s="1" t="s">
        <v>1372</v>
      </c>
      <c r="C454" s="5" t="s">
        <v>1373</v>
      </c>
      <c r="D454" s="1" t="s">
        <v>304</v>
      </c>
      <c r="E454" s="2">
        <v>11191</v>
      </c>
      <c r="F454" s="2">
        <v>24921</v>
      </c>
      <c r="G454" s="2">
        <v>16075</v>
      </c>
      <c r="H454" s="2">
        <f t="shared" si="2"/>
        <v>52187</v>
      </c>
      <c r="I454" s="2">
        <v>1501831</v>
      </c>
      <c r="J454" s="2">
        <f t="shared" si="3"/>
        <v>3.4748916489272093E-2</v>
      </c>
    </row>
    <row r="455" spans="1:10" ht="13" x14ac:dyDescent="0.15">
      <c r="A455" s="1" t="s">
        <v>1374</v>
      </c>
      <c r="B455" s="1" t="s">
        <v>1375</v>
      </c>
      <c r="C455" s="1" t="s">
        <v>1376</v>
      </c>
      <c r="D455" s="1" t="s">
        <v>304</v>
      </c>
      <c r="E455" s="2">
        <v>13184</v>
      </c>
      <c r="F455" s="2">
        <v>45807</v>
      </c>
      <c r="G455" s="2">
        <v>15781</v>
      </c>
      <c r="H455" s="2">
        <f t="shared" si="2"/>
        <v>74772</v>
      </c>
      <c r="I455" s="2">
        <v>1603356</v>
      </c>
      <c r="J455" s="2">
        <f t="shared" si="3"/>
        <v>4.6634683750832628E-2</v>
      </c>
    </row>
    <row r="456" spans="1:10" ht="13" x14ac:dyDescent="0.15">
      <c r="A456" s="1" t="s">
        <v>1377</v>
      </c>
      <c r="B456" s="1" t="s">
        <v>1378</v>
      </c>
      <c r="C456" s="1" t="s">
        <v>1379</v>
      </c>
      <c r="D456" s="1" t="s">
        <v>210</v>
      </c>
      <c r="E456" s="2">
        <v>32228</v>
      </c>
      <c r="F456" s="2">
        <v>53697</v>
      </c>
      <c r="G456" s="2">
        <v>52126</v>
      </c>
      <c r="H456" s="2">
        <f t="shared" si="2"/>
        <v>138051</v>
      </c>
      <c r="I456" s="2">
        <v>1337070</v>
      </c>
      <c r="J456" s="2">
        <f t="shared" si="3"/>
        <v>0.10324889497184142</v>
      </c>
    </row>
    <row r="457" spans="1:10" ht="13" x14ac:dyDescent="0.15">
      <c r="A457" s="1" t="s">
        <v>1380</v>
      </c>
      <c r="B457" s="1" t="s">
        <v>1381</v>
      </c>
      <c r="C457" s="1" t="s">
        <v>1382</v>
      </c>
      <c r="D457" s="1" t="s">
        <v>210</v>
      </c>
      <c r="E457" s="2">
        <v>29581</v>
      </c>
      <c r="F457" s="2">
        <v>21267</v>
      </c>
      <c r="G457" s="2">
        <v>36345</v>
      </c>
      <c r="H457" s="2">
        <f t="shared" si="2"/>
        <v>87193</v>
      </c>
      <c r="I457" s="2">
        <v>1359013</v>
      </c>
      <c r="J457" s="2">
        <f t="shared" si="3"/>
        <v>6.4159062496090907E-2</v>
      </c>
    </row>
    <row r="458" spans="1:10" ht="13" x14ac:dyDescent="0.15">
      <c r="A458" s="1" t="s">
        <v>1383</v>
      </c>
      <c r="B458" s="1" t="s">
        <v>1384</v>
      </c>
      <c r="C458" s="1" t="s">
        <v>1385</v>
      </c>
      <c r="D458" s="1" t="s">
        <v>210</v>
      </c>
      <c r="E458" s="2">
        <v>9087</v>
      </c>
      <c r="F458" s="2">
        <v>88963</v>
      </c>
      <c r="G458" s="2">
        <v>58556</v>
      </c>
      <c r="H458" s="2">
        <f t="shared" si="2"/>
        <v>156606</v>
      </c>
      <c r="I458" s="2">
        <v>1477454</v>
      </c>
      <c r="J458" s="2">
        <f t="shared" si="3"/>
        <v>0.10599720871174331</v>
      </c>
    </row>
    <row r="459" spans="1:10" ht="13" x14ac:dyDescent="0.15">
      <c r="A459" s="1" t="s">
        <v>1386</v>
      </c>
      <c r="B459" s="1" t="s">
        <v>1387</v>
      </c>
      <c r="C459" s="1" t="s">
        <v>1388</v>
      </c>
      <c r="D459" s="1" t="s">
        <v>210</v>
      </c>
      <c r="E459" s="2">
        <v>26654</v>
      </c>
      <c r="F459" s="2">
        <v>57398</v>
      </c>
      <c r="G459" s="2">
        <v>79560</v>
      </c>
      <c r="H459" s="2">
        <f t="shared" si="2"/>
        <v>163612</v>
      </c>
      <c r="I459" s="2">
        <v>1439358</v>
      </c>
      <c r="J459" s="2">
        <f t="shared" si="3"/>
        <v>0.11367012237400285</v>
      </c>
    </row>
    <row r="460" spans="1:10" ht="13" x14ac:dyDescent="0.15">
      <c r="A460" s="1" t="s">
        <v>1389</v>
      </c>
      <c r="B460" s="1" t="s">
        <v>1390</v>
      </c>
      <c r="C460" s="1" t="s">
        <v>1391</v>
      </c>
      <c r="D460" s="1" t="s">
        <v>210</v>
      </c>
      <c r="E460" s="2">
        <v>48940</v>
      </c>
      <c r="F460" s="2">
        <v>45957</v>
      </c>
      <c r="G460" s="2">
        <v>77776</v>
      </c>
      <c r="H460" s="2">
        <f t="shared" si="2"/>
        <v>172673</v>
      </c>
      <c r="I460" s="2">
        <v>1535981</v>
      </c>
      <c r="J460" s="2">
        <f t="shared" si="3"/>
        <v>0.11241870830433449</v>
      </c>
    </row>
    <row r="461" spans="1:10" ht="13" x14ac:dyDescent="0.15">
      <c r="A461" s="1" t="s">
        <v>1392</v>
      </c>
      <c r="B461" s="1" t="s">
        <v>1393</v>
      </c>
      <c r="C461" s="1" t="s">
        <v>1394</v>
      </c>
      <c r="D461" s="1" t="s">
        <v>210</v>
      </c>
      <c r="E461" s="2">
        <v>1523</v>
      </c>
      <c r="F461" s="2">
        <v>69570</v>
      </c>
      <c r="G461" s="2">
        <v>10930</v>
      </c>
      <c r="H461" s="2">
        <f t="shared" si="2"/>
        <v>82023</v>
      </c>
      <c r="I461" s="2">
        <v>1598778</v>
      </c>
      <c r="J461" s="2">
        <f t="shared" si="3"/>
        <v>5.1303558092493144E-2</v>
      </c>
    </row>
    <row r="462" spans="1:10" ht="13" x14ac:dyDescent="0.15">
      <c r="A462" s="1" t="s">
        <v>1395</v>
      </c>
      <c r="B462" s="1" t="s">
        <v>1396</v>
      </c>
      <c r="C462" s="1" t="s">
        <v>1397</v>
      </c>
      <c r="D462" s="1" t="s">
        <v>210</v>
      </c>
      <c r="E462" s="2">
        <v>37590</v>
      </c>
      <c r="F462" s="2">
        <v>58885</v>
      </c>
      <c r="G462" s="2">
        <v>26259</v>
      </c>
      <c r="H462" s="2">
        <f t="shared" si="2"/>
        <v>122734</v>
      </c>
      <c r="I462" s="2">
        <v>1345024</v>
      </c>
      <c r="J462" s="2">
        <f t="shared" si="3"/>
        <v>9.1250416349448041E-2</v>
      </c>
    </row>
    <row r="463" spans="1:10" ht="13" x14ac:dyDescent="0.15">
      <c r="A463" s="1"/>
      <c r="B463" s="1"/>
      <c r="C463" s="1"/>
      <c r="D463" s="1"/>
    </row>
    <row r="464" spans="1:10" ht="13" x14ac:dyDescent="0.15">
      <c r="A464" s="1"/>
      <c r="B464" s="1"/>
      <c r="C464" s="1"/>
      <c r="D464" s="1"/>
    </row>
    <row r="465" spans="1:4" ht="13" x14ac:dyDescent="0.15">
      <c r="A465" s="1"/>
      <c r="B465" s="1"/>
      <c r="C465" s="5"/>
      <c r="D465" s="1"/>
    </row>
    <row r="466" spans="1:4" ht="13" x14ac:dyDescent="0.15">
      <c r="A466" s="1"/>
      <c r="B466" s="1"/>
      <c r="C466" s="1"/>
      <c r="D466" s="1"/>
    </row>
    <row r="467" spans="1:4" ht="13" x14ac:dyDescent="0.15">
      <c r="A467" s="1"/>
      <c r="B467" s="1"/>
      <c r="C467" s="1"/>
      <c r="D467" s="1"/>
    </row>
    <row r="468" spans="1:4" ht="13" x14ac:dyDescent="0.15">
      <c r="A468" s="1"/>
      <c r="B468" s="1"/>
      <c r="C468" s="1"/>
      <c r="D468" s="1"/>
    </row>
    <row r="469" spans="1:4" ht="13" x14ac:dyDescent="0.15">
      <c r="A469" s="1"/>
      <c r="B469" s="1"/>
      <c r="C469" s="1"/>
      <c r="D469" s="1"/>
    </row>
    <row r="470" spans="1:4" ht="13" x14ac:dyDescent="0.15">
      <c r="A470" s="1"/>
      <c r="B470" s="1"/>
      <c r="C470" s="1"/>
      <c r="D470" s="1"/>
    </row>
    <row r="471" spans="1:4" ht="13" x14ac:dyDescent="0.15">
      <c r="A471" s="1"/>
      <c r="B471" s="1"/>
      <c r="C471" s="1"/>
      <c r="D471" s="1"/>
    </row>
    <row r="472" spans="1:4" ht="13" x14ac:dyDescent="0.15">
      <c r="A472" s="1"/>
      <c r="B472" s="1"/>
      <c r="C472" s="1"/>
      <c r="D472" s="1"/>
    </row>
    <row r="473" spans="1:4" ht="13" x14ac:dyDescent="0.15">
      <c r="A473" s="1"/>
      <c r="B473" s="1"/>
      <c r="C473" s="1"/>
      <c r="D473" s="1"/>
    </row>
    <row r="474" spans="1:4" ht="13" x14ac:dyDescent="0.15">
      <c r="A474" s="1"/>
      <c r="B474" s="1"/>
      <c r="C474" s="1"/>
      <c r="D47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63"/>
  <sheetViews>
    <sheetView workbookViewId="0"/>
  </sheetViews>
  <sheetFormatPr baseColWidth="10" defaultColWidth="12.6640625" defaultRowHeight="15.75" customHeight="1" x14ac:dyDescent="0.15"/>
  <cols>
    <col min="16" max="16" width="33.33203125" customWidth="1"/>
  </cols>
  <sheetData>
    <row r="1" spans="1:23" ht="15.75" customHeight="1" x14ac:dyDescent="0.15">
      <c r="A1" s="71" t="s">
        <v>1398</v>
      </c>
      <c r="B1" s="64"/>
      <c r="C1" s="64"/>
      <c r="D1" s="64"/>
      <c r="E1" s="64"/>
      <c r="F1" s="64"/>
      <c r="G1" s="64"/>
      <c r="H1" s="64"/>
      <c r="I1" s="64"/>
      <c r="J1" s="64"/>
      <c r="K1" s="64"/>
      <c r="L1" s="64"/>
      <c r="M1" s="64"/>
      <c r="N1" s="64"/>
      <c r="O1" s="64"/>
      <c r="P1" s="64"/>
      <c r="Q1" s="64"/>
      <c r="R1" s="64"/>
      <c r="S1" s="64"/>
      <c r="T1" s="64"/>
      <c r="U1" s="64"/>
      <c r="V1" s="64"/>
      <c r="W1" s="64"/>
    </row>
    <row r="2" spans="1:23" ht="15.75" customHeight="1" x14ac:dyDescent="0.15">
      <c r="A2" s="64"/>
      <c r="B2" s="64"/>
      <c r="C2" s="64"/>
      <c r="D2" s="64"/>
      <c r="E2" s="64"/>
      <c r="F2" s="64"/>
      <c r="G2" s="64"/>
      <c r="H2" s="64"/>
      <c r="I2" s="64"/>
      <c r="J2" s="64"/>
      <c r="K2" s="64"/>
      <c r="L2" s="64"/>
      <c r="M2" s="64"/>
      <c r="N2" s="64"/>
      <c r="O2" s="64"/>
      <c r="P2" s="64"/>
      <c r="Q2" s="64"/>
      <c r="R2" s="64"/>
      <c r="S2" s="64"/>
      <c r="T2" s="64"/>
      <c r="U2" s="64"/>
      <c r="V2" s="64"/>
      <c r="W2" s="64"/>
    </row>
    <row r="3" spans="1:23" ht="15.75" customHeight="1" x14ac:dyDescent="0.15">
      <c r="B3" s="7"/>
      <c r="C3" s="72" t="s">
        <v>1399</v>
      </c>
      <c r="D3" s="73"/>
      <c r="E3" s="73"/>
      <c r="F3" s="73"/>
      <c r="G3" s="73"/>
      <c r="H3" s="74"/>
      <c r="I3" s="75" t="s">
        <v>1400</v>
      </c>
      <c r="J3" s="73"/>
      <c r="K3" s="73"/>
      <c r="L3" s="73"/>
      <c r="M3" s="73"/>
      <c r="N3" s="74"/>
      <c r="O3" s="76" t="s">
        <v>1401</v>
      </c>
      <c r="P3" s="73"/>
      <c r="Q3" s="73"/>
      <c r="R3" s="73"/>
      <c r="S3" s="73"/>
      <c r="T3" s="78"/>
    </row>
    <row r="4" spans="1:23" ht="15.75" customHeight="1" x14ac:dyDescent="0.15">
      <c r="B4" s="8"/>
      <c r="C4" s="69" t="s">
        <v>1402</v>
      </c>
      <c r="D4" s="68"/>
      <c r="E4" s="77" t="s">
        <v>1403</v>
      </c>
      <c r="F4" s="68"/>
      <c r="G4" s="77" t="s">
        <v>1404</v>
      </c>
      <c r="H4" s="68"/>
      <c r="I4" s="69" t="s">
        <v>1402</v>
      </c>
      <c r="J4" s="68"/>
      <c r="K4" s="69" t="s">
        <v>1403</v>
      </c>
      <c r="L4" s="68"/>
      <c r="M4" s="69" t="s">
        <v>1404</v>
      </c>
      <c r="N4" s="68"/>
      <c r="O4" s="70" t="s">
        <v>1402</v>
      </c>
      <c r="P4" s="68"/>
      <c r="Q4" s="70" t="s">
        <v>1403</v>
      </c>
      <c r="R4" s="68"/>
      <c r="S4" s="70" t="s">
        <v>1404</v>
      </c>
      <c r="T4" s="68"/>
    </row>
    <row r="5" spans="1:23" ht="15.75" customHeight="1" x14ac:dyDescent="0.15">
      <c r="B5" s="8"/>
      <c r="C5" s="9" t="s">
        <v>1405</v>
      </c>
      <c r="D5" s="10" t="s">
        <v>1406</v>
      </c>
      <c r="E5" s="11" t="s">
        <v>1405</v>
      </c>
      <c r="F5" s="10" t="s">
        <v>1406</v>
      </c>
      <c r="G5" s="12" t="s">
        <v>1405</v>
      </c>
      <c r="H5" s="10" t="s">
        <v>1406</v>
      </c>
      <c r="I5" s="9" t="s">
        <v>1405</v>
      </c>
      <c r="J5" s="10" t="s">
        <v>1406</v>
      </c>
      <c r="K5" s="9" t="s">
        <v>1405</v>
      </c>
      <c r="L5" s="10" t="s">
        <v>1406</v>
      </c>
      <c r="M5" s="9" t="s">
        <v>1405</v>
      </c>
      <c r="N5" s="10" t="s">
        <v>1406</v>
      </c>
      <c r="O5" s="13" t="s">
        <v>1405</v>
      </c>
      <c r="P5" s="14" t="s">
        <v>1406</v>
      </c>
      <c r="Q5" s="13" t="s">
        <v>1405</v>
      </c>
      <c r="R5" s="14" t="s">
        <v>1406</v>
      </c>
      <c r="S5" s="13" t="s">
        <v>1405</v>
      </c>
      <c r="T5" s="14" t="s">
        <v>1406</v>
      </c>
    </row>
    <row r="6" spans="1:23" ht="15.75" customHeight="1" x14ac:dyDescent="0.15">
      <c r="B6" s="15" t="s">
        <v>1407</v>
      </c>
      <c r="C6" s="16">
        <v>47.3</v>
      </c>
      <c r="D6" s="17">
        <v>71.7</v>
      </c>
      <c r="E6" s="18">
        <v>55.9</v>
      </c>
      <c r="F6" s="17">
        <v>96.4</v>
      </c>
      <c r="G6" s="16">
        <v>53.76</v>
      </c>
      <c r="H6" s="17">
        <v>52.98</v>
      </c>
      <c r="I6" s="16">
        <v>45.1</v>
      </c>
      <c r="J6" s="17">
        <v>51.9</v>
      </c>
      <c r="K6" s="16">
        <v>45.1</v>
      </c>
      <c r="L6" s="17">
        <v>95.6</v>
      </c>
      <c r="M6" s="16">
        <v>47.31</v>
      </c>
      <c r="N6" s="17">
        <v>54.34</v>
      </c>
      <c r="O6" s="16">
        <v>45.6</v>
      </c>
      <c r="P6" s="17">
        <v>56.8</v>
      </c>
      <c r="Q6" s="16">
        <v>46.7</v>
      </c>
      <c r="R6" s="17">
        <v>99.7</v>
      </c>
      <c r="S6" s="16">
        <v>43.47</v>
      </c>
      <c r="T6" s="19">
        <v>60.92</v>
      </c>
    </row>
    <row r="7" spans="1:23" ht="15.75" customHeight="1" x14ac:dyDescent="0.15">
      <c r="B7" s="20" t="s">
        <v>1408</v>
      </c>
      <c r="C7" s="21">
        <v>41.21</v>
      </c>
      <c r="D7" s="22">
        <v>64.400000000000006</v>
      </c>
      <c r="E7" s="23">
        <v>48</v>
      </c>
      <c r="F7" s="22">
        <v>95.6</v>
      </c>
      <c r="G7" s="21">
        <v>42.43</v>
      </c>
      <c r="H7" s="22">
        <v>42.77</v>
      </c>
      <c r="I7" s="21">
        <v>38.299999999999997</v>
      </c>
      <c r="J7" s="22">
        <v>46</v>
      </c>
      <c r="K7" s="21">
        <v>38.799999999999997</v>
      </c>
      <c r="L7" s="22">
        <v>94.6</v>
      </c>
      <c r="M7" s="21">
        <v>36.21</v>
      </c>
      <c r="N7" s="22">
        <v>45.27</v>
      </c>
      <c r="O7" s="21">
        <v>31.4</v>
      </c>
      <c r="P7" s="22">
        <v>48.5</v>
      </c>
      <c r="Q7" s="21">
        <v>36.200000000000003</v>
      </c>
      <c r="R7" s="22">
        <v>99.7</v>
      </c>
      <c r="S7" s="21">
        <v>29.3</v>
      </c>
      <c r="T7" s="24">
        <v>52.47</v>
      </c>
    </row>
    <row r="8" spans="1:23" ht="15.75" customHeight="1" x14ac:dyDescent="0.15">
      <c r="B8" s="20" t="s">
        <v>1409</v>
      </c>
      <c r="C8" s="21">
        <v>42.26</v>
      </c>
      <c r="D8" s="22">
        <v>64.400000000000006</v>
      </c>
      <c r="E8" s="23">
        <v>48</v>
      </c>
      <c r="F8" s="22">
        <v>95.6</v>
      </c>
      <c r="G8" s="21">
        <v>42.43</v>
      </c>
      <c r="H8" s="22">
        <v>42.77</v>
      </c>
      <c r="I8" s="21">
        <v>38.299999999999997</v>
      </c>
      <c r="J8" s="22">
        <v>46</v>
      </c>
      <c r="K8" s="21">
        <v>38.799999999999997</v>
      </c>
      <c r="L8" s="22">
        <v>94.6</v>
      </c>
      <c r="M8" s="21">
        <v>36.21</v>
      </c>
      <c r="N8" s="22">
        <v>45.27</v>
      </c>
      <c r="O8" s="21">
        <v>31.4</v>
      </c>
      <c r="P8" s="22">
        <v>48.5</v>
      </c>
      <c r="Q8" s="21">
        <v>36.200000000000003</v>
      </c>
      <c r="R8" s="22">
        <v>99.7</v>
      </c>
      <c r="S8" s="21">
        <v>29.3</v>
      </c>
      <c r="T8" s="24">
        <v>52.47</v>
      </c>
    </row>
    <row r="9" spans="1:23" ht="15.75" customHeight="1" x14ac:dyDescent="0.15">
      <c r="B9" s="20" t="s">
        <v>1410</v>
      </c>
      <c r="C9" s="21">
        <v>30.5</v>
      </c>
      <c r="D9" s="22">
        <v>71.900000000000006</v>
      </c>
      <c r="E9" s="23">
        <v>61.8</v>
      </c>
      <c r="F9" s="22">
        <v>97.2</v>
      </c>
      <c r="G9" s="21">
        <v>34</v>
      </c>
      <c r="H9" s="22">
        <v>34</v>
      </c>
      <c r="I9" s="21">
        <v>38.799999999999997</v>
      </c>
      <c r="J9" s="22">
        <v>48.4</v>
      </c>
      <c r="K9" s="21">
        <v>46.8</v>
      </c>
      <c r="L9" s="22">
        <v>96.6</v>
      </c>
      <c r="M9" s="21">
        <v>44.03</v>
      </c>
      <c r="N9" s="22">
        <v>54.11</v>
      </c>
      <c r="O9" s="21">
        <v>29.6</v>
      </c>
      <c r="P9" s="22">
        <v>57.7</v>
      </c>
      <c r="Q9" s="21">
        <v>36.299999999999997</v>
      </c>
      <c r="R9" s="22">
        <v>99.8</v>
      </c>
      <c r="S9" s="21">
        <v>24.7</v>
      </c>
      <c r="T9" s="24">
        <v>70.599999999999994</v>
      </c>
    </row>
    <row r="10" spans="1:23" ht="15.75" customHeight="1" x14ac:dyDescent="0.15">
      <c r="B10" s="20" t="s">
        <v>1411</v>
      </c>
      <c r="C10" s="21">
        <v>34.1</v>
      </c>
      <c r="D10" s="22">
        <v>64.3</v>
      </c>
      <c r="E10" s="23">
        <v>48.4</v>
      </c>
      <c r="F10" s="22">
        <v>96.4</v>
      </c>
      <c r="G10" s="21">
        <v>37.36</v>
      </c>
      <c r="H10" s="22">
        <v>37.56</v>
      </c>
      <c r="I10" s="21">
        <v>37.799999999999997</v>
      </c>
      <c r="J10" s="22">
        <v>45.6</v>
      </c>
      <c r="K10" s="21">
        <v>39.4</v>
      </c>
      <c r="L10" s="22">
        <v>95.5</v>
      </c>
      <c r="M10" s="21">
        <v>32.619999999999997</v>
      </c>
      <c r="N10" s="22">
        <v>42.88</v>
      </c>
      <c r="O10" s="21">
        <v>29.2</v>
      </c>
      <c r="P10" s="22">
        <v>47.6</v>
      </c>
      <c r="Q10" s="21">
        <v>35.6</v>
      </c>
      <c r="R10" s="22">
        <v>99.7</v>
      </c>
      <c r="S10" s="21">
        <v>25.5</v>
      </c>
      <c r="T10" s="24">
        <v>52.2</v>
      </c>
    </row>
    <row r="11" spans="1:23" ht="15.75" customHeight="1" x14ac:dyDescent="0.15">
      <c r="B11" s="25"/>
      <c r="C11" s="26"/>
      <c r="E11" s="26"/>
      <c r="G11" s="26"/>
      <c r="I11" s="26"/>
      <c r="K11" s="26"/>
      <c r="M11" s="26"/>
      <c r="O11" s="26"/>
      <c r="Q11" s="26"/>
      <c r="S11" s="26"/>
      <c r="T11" s="27"/>
    </row>
    <row r="12" spans="1:23" ht="15.75" customHeight="1" x14ac:dyDescent="0.15">
      <c r="B12" s="25"/>
      <c r="C12" s="26"/>
      <c r="E12" s="26"/>
      <c r="G12" s="26"/>
      <c r="I12" s="26"/>
      <c r="K12" s="26"/>
      <c r="M12" s="26"/>
      <c r="O12" s="26"/>
      <c r="Q12" s="26"/>
      <c r="S12" s="26"/>
      <c r="T12" s="27"/>
    </row>
    <row r="13" spans="1:23" ht="15.75" customHeight="1" x14ac:dyDescent="0.15">
      <c r="B13" s="25"/>
      <c r="C13" s="26"/>
      <c r="E13" s="26"/>
      <c r="G13" s="26"/>
      <c r="I13" s="26"/>
      <c r="K13" s="26"/>
      <c r="M13" s="26"/>
      <c r="O13" s="26"/>
      <c r="Q13" s="26"/>
      <c r="S13" s="26"/>
      <c r="T13" s="27"/>
    </row>
    <row r="14" spans="1:23" ht="15.75" customHeight="1" x14ac:dyDescent="0.15">
      <c r="B14" s="25"/>
      <c r="C14" s="67" t="s">
        <v>1412</v>
      </c>
      <c r="D14" s="68"/>
      <c r="E14" s="67" t="s">
        <v>1412</v>
      </c>
      <c r="F14" s="68"/>
      <c r="G14" s="67" t="s">
        <v>1412</v>
      </c>
      <c r="H14" s="68"/>
      <c r="I14" s="67" t="s">
        <v>1412</v>
      </c>
      <c r="J14" s="68"/>
      <c r="K14" s="67" t="s">
        <v>1412</v>
      </c>
      <c r="L14" s="68"/>
      <c r="M14" s="67" t="s">
        <v>1412</v>
      </c>
      <c r="N14" s="68"/>
      <c r="O14" s="67" t="s">
        <v>1412</v>
      </c>
      <c r="P14" s="68"/>
      <c r="Q14" s="67" t="s">
        <v>1412</v>
      </c>
      <c r="R14" s="68"/>
      <c r="S14" s="67" t="s">
        <v>1412</v>
      </c>
      <c r="T14" s="68"/>
    </row>
    <row r="15" spans="1:23" ht="15.75" customHeight="1" x14ac:dyDescent="0.15">
      <c r="B15" s="25"/>
      <c r="C15" s="60" t="s">
        <v>9</v>
      </c>
      <c r="D15" s="61"/>
      <c r="E15" s="60" t="s">
        <v>6</v>
      </c>
      <c r="F15" s="61"/>
      <c r="G15" s="60"/>
      <c r="H15" s="61"/>
      <c r="I15" s="60" t="s">
        <v>8</v>
      </c>
      <c r="J15" s="61"/>
      <c r="K15" s="60" t="s">
        <v>6</v>
      </c>
      <c r="L15" s="61"/>
      <c r="M15" s="60"/>
      <c r="N15" s="61"/>
      <c r="O15" s="62" t="s">
        <v>1413</v>
      </c>
      <c r="P15" s="61"/>
      <c r="Q15" s="60" t="s">
        <v>1413</v>
      </c>
      <c r="R15" s="61"/>
      <c r="S15" s="60"/>
      <c r="T15" s="61"/>
    </row>
    <row r="16" spans="1:23" ht="15.75" customHeight="1" x14ac:dyDescent="0.15">
      <c r="B16" s="25"/>
      <c r="C16" s="60" t="s">
        <v>6</v>
      </c>
      <c r="D16" s="61"/>
      <c r="E16" s="60" t="s">
        <v>1414</v>
      </c>
      <c r="F16" s="61"/>
      <c r="G16" s="60"/>
      <c r="H16" s="61"/>
      <c r="I16" s="60" t="s">
        <v>1414</v>
      </c>
      <c r="J16" s="61"/>
      <c r="K16" s="60" t="s">
        <v>1413</v>
      </c>
      <c r="L16" s="61"/>
      <c r="M16" s="60"/>
      <c r="N16" s="61"/>
      <c r="O16" s="79" t="s">
        <v>1415</v>
      </c>
      <c r="P16" s="61"/>
      <c r="Q16" s="60" t="s">
        <v>1414</v>
      </c>
      <c r="R16" s="61"/>
      <c r="S16" s="60"/>
      <c r="T16" s="61"/>
    </row>
    <row r="17" spans="2:20" ht="15.75" customHeight="1" x14ac:dyDescent="0.15">
      <c r="B17" s="25"/>
      <c r="C17" s="60" t="s">
        <v>8</v>
      </c>
      <c r="D17" s="61"/>
      <c r="E17" s="60" t="s">
        <v>5</v>
      </c>
      <c r="F17" s="61"/>
      <c r="G17" s="60"/>
      <c r="H17" s="61"/>
      <c r="I17" s="60" t="s">
        <v>9</v>
      </c>
      <c r="J17" s="61"/>
      <c r="K17" s="60" t="s">
        <v>1414</v>
      </c>
      <c r="L17" s="61"/>
      <c r="M17" s="60"/>
      <c r="N17" s="61"/>
      <c r="O17" s="62" t="s">
        <v>1416</v>
      </c>
      <c r="P17" s="61"/>
      <c r="Q17" s="60" t="s">
        <v>1417</v>
      </c>
      <c r="R17" s="61"/>
      <c r="S17" s="60"/>
      <c r="T17" s="61"/>
    </row>
    <row r="18" spans="2:20" ht="15.75" customHeight="1" x14ac:dyDescent="0.15">
      <c r="B18" s="25"/>
      <c r="C18" s="60" t="s">
        <v>7</v>
      </c>
      <c r="D18" s="61"/>
      <c r="E18" s="60" t="s">
        <v>9</v>
      </c>
      <c r="F18" s="61"/>
      <c r="G18" s="60"/>
      <c r="H18" s="61"/>
      <c r="I18" s="60" t="s">
        <v>1413</v>
      </c>
      <c r="J18" s="61"/>
      <c r="K18" s="60" t="s">
        <v>5</v>
      </c>
      <c r="L18" s="61"/>
      <c r="M18" s="60"/>
      <c r="N18" s="61"/>
      <c r="O18" s="62" t="s">
        <v>1418</v>
      </c>
      <c r="P18" s="64"/>
      <c r="Q18" s="60" t="s">
        <v>9</v>
      </c>
      <c r="R18" s="61"/>
      <c r="S18" s="60"/>
      <c r="T18" s="61"/>
    </row>
    <row r="19" spans="2:20" ht="15.75" customHeight="1" x14ac:dyDescent="0.15">
      <c r="B19" s="25"/>
      <c r="C19" s="60" t="s">
        <v>5</v>
      </c>
      <c r="D19" s="61"/>
      <c r="E19" s="60" t="s">
        <v>7</v>
      </c>
      <c r="F19" s="61"/>
      <c r="G19" s="60"/>
      <c r="H19" s="61"/>
      <c r="I19" s="60" t="s">
        <v>5</v>
      </c>
      <c r="J19" s="61"/>
      <c r="K19" s="60" t="s">
        <v>8</v>
      </c>
      <c r="L19" s="61"/>
      <c r="M19" s="60"/>
      <c r="N19" s="61"/>
      <c r="O19" s="62" t="s">
        <v>4</v>
      </c>
      <c r="P19" s="64"/>
      <c r="Q19" s="60" t="s">
        <v>6</v>
      </c>
      <c r="R19" s="61"/>
      <c r="S19" s="60"/>
      <c r="T19" s="61"/>
    </row>
    <row r="20" spans="2:20" ht="15.75" customHeight="1" x14ac:dyDescent="0.15">
      <c r="B20" s="25"/>
      <c r="C20" s="60" t="s">
        <v>1414</v>
      </c>
      <c r="D20" s="61"/>
      <c r="E20" s="60" t="s">
        <v>4</v>
      </c>
      <c r="F20" s="61"/>
      <c r="G20" s="60"/>
      <c r="H20" s="61"/>
      <c r="I20" s="60" t="s">
        <v>6</v>
      </c>
      <c r="J20" s="61"/>
      <c r="K20" s="60" t="s">
        <v>9</v>
      </c>
      <c r="L20" s="61"/>
      <c r="M20" s="60"/>
      <c r="N20" s="61"/>
      <c r="O20" s="62" t="s">
        <v>1419</v>
      </c>
      <c r="P20" s="64"/>
      <c r="Q20" s="60" t="s">
        <v>7</v>
      </c>
      <c r="R20" s="61"/>
      <c r="S20" s="60"/>
      <c r="T20" s="61"/>
    </row>
    <row r="21" spans="2:20" ht="15.75" customHeight="1" x14ac:dyDescent="0.15">
      <c r="B21" s="25"/>
      <c r="C21" s="60" t="s">
        <v>4</v>
      </c>
      <c r="D21" s="61"/>
      <c r="E21" s="60" t="s">
        <v>8</v>
      </c>
      <c r="F21" s="61"/>
      <c r="G21" s="60"/>
      <c r="H21" s="61"/>
      <c r="I21" s="60" t="s">
        <v>7</v>
      </c>
      <c r="J21" s="61"/>
      <c r="K21" s="60" t="s">
        <v>7</v>
      </c>
      <c r="L21" s="61"/>
      <c r="M21" s="60"/>
      <c r="N21" s="61"/>
      <c r="O21" s="62" t="s">
        <v>9</v>
      </c>
      <c r="P21" s="64"/>
      <c r="Q21" s="60" t="s">
        <v>1420</v>
      </c>
      <c r="R21" s="61"/>
      <c r="S21" s="60"/>
      <c r="T21" s="61"/>
    </row>
    <row r="22" spans="2:20" ht="15.75" customHeight="1" x14ac:dyDescent="0.15">
      <c r="B22" s="25"/>
      <c r="C22" s="60"/>
      <c r="D22" s="61"/>
      <c r="E22" s="60"/>
      <c r="F22" s="61"/>
      <c r="G22" s="60"/>
      <c r="H22" s="61"/>
      <c r="I22" s="60" t="s">
        <v>4</v>
      </c>
      <c r="J22" s="61"/>
      <c r="K22" s="60" t="s">
        <v>4</v>
      </c>
      <c r="L22" s="61"/>
      <c r="M22" s="60"/>
      <c r="N22" s="61"/>
      <c r="O22" s="62" t="s">
        <v>1421</v>
      </c>
      <c r="P22" s="64"/>
      <c r="Q22" s="60" t="s">
        <v>5</v>
      </c>
      <c r="R22" s="61"/>
      <c r="S22" s="60"/>
      <c r="T22" s="61"/>
    </row>
    <row r="23" spans="2:20" ht="15.75" customHeight="1" x14ac:dyDescent="0.15">
      <c r="B23" s="25"/>
      <c r="C23" s="60"/>
      <c r="D23" s="61"/>
      <c r="E23" s="60"/>
      <c r="F23" s="61"/>
      <c r="G23" s="60"/>
      <c r="H23" s="61"/>
      <c r="I23" s="60"/>
      <c r="J23" s="61"/>
      <c r="K23" s="60"/>
      <c r="L23" s="61"/>
      <c r="M23" s="60"/>
      <c r="N23" s="61"/>
      <c r="O23" s="62" t="s">
        <v>1422</v>
      </c>
      <c r="P23" s="64"/>
      <c r="Q23" s="60" t="s">
        <v>1423</v>
      </c>
      <c r="R23" s="61"/>
      <c r="S23" s="60"/>
      <c r="T23" s="61"/>
    </row>
    <row r="24" spans="2:20" ht="15.75" customHeight="1" x14ac:dyDescent="0.15">
      <c r="B24" s="25"/>
      <c r="C24" s="60"/>
      <c r="D24" s="61"/>
      <c r="E24" s="60"/>
      <c r="F24" s="61"/>
      <c r="G24" s="60"/>
      <c r="H24" s="61"/>
      <c r="I24" s="60"/>
      <c r="J24" s="61"/>
      <c r="K24" s="60"/>
      <c r="L24" s="61"/>
      <c r="M24" s="60"/>
      <c r="N24" s="61"/>
      <c r="O24" s="62" t="s">
        <v>8</v>
      </c>
      <c r="P24" s="64"/>
      <c r="Q24" s="60" t="s">
        <v>1416</v>
      </c>
      <c r="R24" s="61"/>
      <c r="S24" s="60"/>
      <c r="T24" s="61"/>
    </row>
    <row r="25" spans="2:20" ht="15.75" customHeight="1" x14ac:dyDescent="0.15">
      <c r="B25" s="25"/>
      <c r="C25" s="60"/>
      <c r="D25" s="61"/>
      <c r="E25" s="60"/>
      <c r="F25" s="61"/>
      <c r="G25" s="60"/>
      <c r="H25" s="61"/>
      <c r="I25" s="60"/>
      <c r="J25" s="61"/>
      <c r="K25" s="60"/>
      <c r="L25" s="61"/>
      <c r="M25" s="60"/>
      <c r="N25" s="61"/>
      <c r="O25" s="60"/>
      <c r="P25" s="61"/>
      <c r="Q25" s="60"/>
      <c r="R25" s="61"/>
      <c r="S25" s="60"/>
      <c r="T25" s="61"/>
    </row>
    <row r="26" spans="2:20" ht="15.75" customHeight="1" x14ac:dyDescent="0.15">
      <c r="B26" s="25"/>
      <c r="C26" s="65"/>
      <c r="D26" s="66"/>
      <c r="E26" s="65"/>
      <c r="F26" s="66"/>
      <c r="G26" s="65"/>
      <c r="H26" s="66"/>
      <c r="I26" s="65"/>
      <c r="J26" s="66"/>
      <c r="K26" s="65"/>
      <c r="L26" s="66"/>
      <c r="M26" s="65"/>
      <c r="N26" s="66"/>
      <c r="O26" s="65"/>
      <c r="P26" s="66"/>
      <c r="Q26" s="65"/>
      <c r="R26" s="66"/>
      <c r="S26" s="65"/>
      <c r="T26" s="66"/>
    </row>
    <row r="27" spans="2:20" ht="15.75" customHeight="1" x14ac:dyDescent="0.15">
      <c r="B27" s="25"/>
      <c r="T27" s="27"/>
    </row>
    <row r="28" spans="2:20" ht="15.75" customHeight="1" x14ac:dyDescent="0.15">
      <c r="B28" s="25"/>
      <c r="T28" s="27"/>
    </row>
    <row r="29" spans="2:20" ht="15.75" customHeight="1" x14ac:dyDescent="0.15">
      <c r="B29" s="25"/>
      <c r="T29" s="27"/>
    </row>
    <row r="30" spans="2:20" ht="15.75" customHeight="1" x14ac:dyDescent="0.15">
      <c r="B30" s="25"/>
      <c r="T30" s="27"/>
    </row>
    <row r="31" spans="2:20" ht="15.75" customHeight="1" x14ac:dyDescent="0.15">
      <c r="B31" s="28"/>
      <c r="C31" s="29"/>
      <c r="D31" s="29"/>
      <c r="E31" s="29"/>
      <c r="F31" s="29"/>
      <c r="G31" s="29"/>
      <c r="H31" s="29"/>
      <c r="I31" s="29"/>
      <c r="J31" s="29"/>
      <c r="K31" s="29"/>
      <c r="L31" s="29"/>
      <c r="M31" s="29"/>
      <c r="N31" s="29"/>
      <c r="O31" s="29"/>
      <c r="P31" s="29"/>
      <c r="Q31" s="29"/>
      <c r="R31" s="29"/>
      <c r="S31" s="29"/>
      <c r="T31" s="30"/>
    </row>
    <row r="33" spans="1:23" ht="15.75" customHeight="1" x14ac:dyDescent="0.15">
      <c r="A33" s="71" t="s">
        <v>1424</v>
      </c>
      <c r="B33" s="64"/>
      <c r="C33" s="64"/>
      <c r="D33" s="64"/>
      <c r="E33" s="64"/>
      <c r="F33" s="64"/>
      <c r="G33" s="64"/>
      <c r="H33" s="64"/>
      <c r="I33" s="64"/>
      <c r="J33" s="64"/>
      <c r="K33" s="64"/>
      <c r="L33" s="64"/>
      <c r="M33" s="64"/>
      <c r="N33" s="64"/>
      <c r="O33" s="64"/>
      <c r="P33" s="64"/>
      <c r="Q33" s="64"/>
      <c r="R33" s="64"/>
      <c r="S33" s="64"/>
      <c r="T33" s="64"/>
      <c r="U33" s="64"/>
      <c r="V33" s="64"/>
      <c r="W33" s="64"/>
    </row>
    <row r="34" spans="1:23" ht="15.75" customHeight="1" x14ac:dyDescent="0.15">
      <c r="A34" s="64"/>
      <c r="B34" s="64"/>
      <c r="C34" s="64"/>
      <c r="D34" s="64"/>
      <c r="E34" s="64"/>
      <c r="F34" s="64"/>
      <c r="G34" s="64"/>
      <c r="H34" s="64"/>
      <c r="I34" s="64"/>
      <c r="J34" s="64"/>
      <c r="K34" s="64"/>
      <c r="L34" s="64"/>
      <c r="M34" s="64"/>
      <c r="N34" s="64"/>
      <c r="O34" s="64"/>
      <c r="P34" s="64"/>
      <c r="Q34" s="64"/>
      <c r="R34" s="64"/>
      <c r="S34" s="64"/>
      <c r="T34" s="64"/>
      <c r="U34" s="64"/>
      <c r="V34" s="64"/>
      <c r="W34" s="64"/>
    </row>
    <row r="35" spans="1:23" ht="15.75" customHeight="1" x14ac:dyDescent="0.15">
      <c r="B35" s="7"/>
      <c r="C35" s="72" t="s">
        <v>1399</v>
      </c>
      <c r="D35" s="73"/>
      <c r="E35" s="73"/>
      <c r="F35" s="73"/>
      <c r="G35" s="73"/>
      <c r="H35" s="74"/>
      <c r="I35" s="75" t="s">
        <v>1400</v>
      </c>
      <c r="J35" s="73"/>
      <c r="K35" s="73"/>
      <c r="L35" s="73"/>
      <c r="M35" s="73"/>
      <c r="N35" s="74"/>
      <c r="O35" s="76" t="s">
        <v>1401</v>
      </c>
      <c r="P35" s="73"/>
      <c r="Q35" s="73"/>
      <c r="R35" s="73"/>
      <c r="S35" s="73"/>
      <c r="T35" s="74"/>
    </row>
    <row r="36" spans="1:23" ht="15.75" customHeight="1" x14ac:dyDescent="0.15">
      <c r="B36" s="8"/>
      <c r="C36" s="69" t="s">
        <v>1402</v>
      </c>
      <c r="D36" s="68"/>
      <c r="E36" s="77" t="s">
        <v>1403</v>
      </c>
      <c r="F36" s="68"/>
      <c r="G36" s="77" t="s">
        <v>1404</v>
      </c>
      <c r="H36" s="68"/>
      <c r="I36" s="69" t="s">
        <v>1402</v>
      </c>
      <c r="J36" s="68"/>
      <c r="K36" s="69" t="s">
        <v>1403</v>
      </c>
      <c r="L36" s="68"/>
      <c r="M36" s="69" t="s">
        <v>1404</v>
      </c>
      <c r="N36" s="68"/>
      <c r="O36" s="70" t="s">
        <v>1402</v>
      </c>
      <c r="P36" s="68"/>
      <c r="Q36" s="70" t="s">
        <v>1403</v>
      </c>
      <c r="R36" s="68"/>
      <c r="S36" s="70" t="s">
        <v>1404</v>
      </c>
      <c r="T36" s="68"/>
    </row>
    <row r="37" spans="1:23" ht="15.75" customHeight="1" x14ac:dyDescent="0.15">
      <c r="B37" s="8"/>
      <c r="C37" s="9" t="s">
        <v>1405</v>
      </c>
      <c r="D37" s="10" t="s">
        <v>1406</v>
      </c>
      <c r="E37" s="12" t="s">
        <v>1405</v>
      </c>
      <c r="F37" s="10" t="s">
        <v>1406</v>
      </c>
      <c r="G37" s="12" t="s">
        <v>1405</v>
      </c>
      <c r="H37" s="10" t="s">
        <v>1406</v>
      </c>
      <c r="I37" s="9" t="s">
        <v>1405</v>
      </c>
      <c r="J37" s="10" t="s">
        <v>1406</v>
      </c>
      <c r="K37" s="9" t="s">
        <v>1405</v>
      </c>
      <c r="L37" s="10" t="s">
        <v>1406</v>
      </c>
      <c r="M37" s="9" t="s">
        <v>1405</v>
      </c>
      <c r="N37" s="10" t="s">
        <v>1406</v>
      </c>
      <c r="O37" s="13" t="s">
        <v>1405</v>
      </c>
      <c r="P37" s="14" t="s">
        <v>1406</v>
      </c>
      <c r="Q37" s="13" t="s">
        <v>1405</v>
      </c>
      <c r="R37" s="14" t="s">
        <v>1406</v>
      </c>
      <c r="S37" s="13" t="s">
        <v>1405</v>
      </c>
      <c r="T37" s="14" t="s">
        <v>1406</v>
      </c>
    </row>
    <row r="38" spans="1:23" ht="15.75" customHeight="1" x14ac:dyDescent="0.15">
      <c r="B38" s="15" t="s">
        <v>1407</v>
      </c>
      <c r="C38" s="16">
        <v>55.7</v>
      </c>
      <c r="D38" s="17">
        <v>63.3</v>
      </c>
      <c r="E38" s="16">
        <v>54.8</v>
      </c>
      <c r="F38" s="17">
        <v>97.2</v>
      </c>
      <c r="G38" s="16">
        <v>52.68</v>
      </c>
      <c r="H38" s="17">
        <v>64.94</v>
      </c>
      <c r="I38" s="16">
        <v>53.7</v>
      </c>
      <c r="J38" s="17">
        <v>63.3</v>
      </c>
      <c r="K38" s="16">
        <v>52.6</v>
      </c>
      <c r="L38" s="17">
        <v>98.6</v>
      </c>
      <c r="M38" s="16">
        <v>53.76</v>
      </c>
      <c r="N38" s="17">
        <v>68.47</v>
      </c>
      <c r="O38" s="16">
        <v>56.5</v>
      </c>
      <c r="P38" s="17">
        <v>71</v>
      </c>
      <c r="Q38" s="16">
        <v>54.3</v>
      </c>
      <c r="R38" s="17">
        <v>100</v>
      </c>
      <c r="S38" s="16">
        <v>54.34</v>
      </c>
      <c r="T38" s="19">
        <v>73.77</v>
      </c>
    </row>
    <row r="39" spans="1:23" ht="15.75" customHeight="1" x14ac:dyDescent="0.15">
      <c r="B39" s="20" t="s">
        <v>1408</v>
      </c>
      <c r="C39" s="21">
        <v>55.8</v>
      </c>
      <c r="D39" s="22">
        <v>63.08</v>
      </c>
      <c r="E39" s="21">
        <v>54.7</v>
      </c>
      <c r="F39" s="22">
        <v>97.1</v>
      </c>
      <c r="G39" s="21">
        <v>52.43</v>
      </c>
      <c r="H39" s="22">
        <v>64.13</v>
      </c>
      <c r="I39" s="21">
        <v>53.6</v>
      </c>
      <c r="J39" s="22">
        <v>62.7</v>
      </c>
      <c r="K39" s="21">
        <v>52.7</v>
      </c>
      <c r="L39" s="22">
        <v>98.5</v>
      </c>
      <c r="M39" s="21">
        <v>53.4</v>
      </c>
      <c r="N39" s="22">
        <v>67.709999999999994</v>
      </c>
      <c r="O39" s="21">
        <v>57.2</v>
      </c>
      <c r="P39" s="22">
        <v>70.099999999999994</v>
      </c>
      <c r="Q39" s="21">
        <v>54.8</v>
      </c>
      <c r="R39" s="22">
        <v>100</v>
      </c>
      <c r="S39" s="21">
        <v>55.2</v>
      </c>
      <c r="T39" s="24">
        <v>72.900000000000006</v>
      </c>
    </row>
    <row r="40" spans="1:23" ht="15.75" customHeight="1" x14ac:dyDescent="0.15">
      <c r="B40" s="20" t="s">
        <v>1409</v>
      </c>
      <c r="C40" s="21">
        <v>55.8</v>
      </c>
      <c r="D40" s="22">
        <v>63.08</v>
      </c>
      <c r="E40" s="21">
        <v>54.7</v>
      </c>
      <c r="F40" s="22">
        <v>97.1</v>
      </c>
      <c r="G40" s="21">
        <v>52.43</v>
      </c>
      <c r="H40" s="22">
        <v>64.13</v>
      </c>
      <c r="I40" s="21">
        <v>53.6</v>
      </c>
      <c r="J40" s="22">
        <v>62.7</v>
      </c>
      <c r="K40" s="21">
        <v>52.7</v>
      </c>
      <c r="L40" s="22">
        <v>98.5</v>
      </c>
      <c r="M40" s="21">
        <v>53.4</v>
      </c>
      <c r="N40" s="22">
        <v>67.709999999999994</v>
      </c>
      <c r="O40" s="21">
        <v>57.2</v>
      </c>
      <c r="P40" s="22">
        <v>70.099999999999994</v>
      </c>
      <c r="Q40" s="21">
        <v>54.8</v>
      </c>
      <c r="R40" s="22">
        <v>100</v>
      </c>
      <c r="S40" s="21">
        <v>55.2</v>
      </c>
      <c r="T40" s="24">
        <v>72.94</v>
      </c>
    </row>
    <row r="41" spans="1:23" ht="15.75" customHeight="1" x14ac:dyDescent="0.15">
      <c r="B41" s="20" t="s">
        <v>1410</v>
      </c>
      <c r="C41" s="21">
        <v>55.9</v>
      </c>
      <c r="D41" s="22">
        <v>63.09</v>
      </c>
      <c r="E41" s="21">
        <v>54.7</v>
      </c>
      <c r="F41" s="22">
        <v>97.3</v>
      </c>
      <c r="G41" s="21">
        <v>52.49</v>
      </c>
      <c r="H41" s="22">
        <v>64.86</v>
      </c>
      <c r="I41" s="21">
        <v>53.6</v>
      </c>
      <c r="J41" s="22">
        <v>63</v>
      </c>
      <c r="K41" s="21">
        <v>52.7</v>
      </c>
      <c r="L41" s="22">
        <v>98.7</v>
      </c>
      <c r="M41" s="21">
        <v>53.58</v>
      </c>
      <c r="N41" s="22">
        <v>68.569999999999993</v>
      </c>
      <c r="O41" s="21">
        <v>58.2</v>
      </c>
      <c r="P41" s="22">
        <v>71.2</v>
      </c>
      <c r="Q41" s="21">
        <v>55</v>
      </c>
      <c r="R41" s="22">
        <v>100</v>
      </c>
      <c r="S41" s="21">
        <v>56.13</v>
      </c>
      <c r="T41" s="24">
        <v>74.03</v>
      </c>
    </row>
    <row r="42" spans="1:23" ht="15.75" customHeight="1" x14ac:dyDescent="0.15">
      <c r="B42" s="20" t="s">
        <v>1411</v>
      </c>
      <c r="C42" s="21">
        <v>55.8</v>
      </c>
      <c r="D42" s="22">
        <v>63.08</v>
      </c>
      <c r="E42" s="21">
        <v>54.7</v>
      </c>
      <c r="F42" s="22">
        <v>97.2</v>
      </c>
      <c r="G42" s="21">
        <v>52.24</v>
      </c>
      <c r="H42" s="22">
        <v>64.08</v>
      </c>
      <c r="I42" s="21">
        <v>53.5</v>
      </c>
      <c r="J42" s="22">
        <v>62.7</v>
      </c>
      <c r="K42" s="21">
        <v>52.68</v>
      </c>
      <c r="L42" s="22">
        <v>98.6</v>
      </c>
      <c r="M42" s="21">
        <v>52.98</v>
      </c>
      <c r="N42" s="22">
        <v>67.73</v>
      </c>
      <c r="O42" s="21">
        <v>55.4</v>
      </c>
      <c r="P42" s="22">
        <v>70.2</v>
      </c>
      <c r="Q42" s="21">
        <v>54</v>
      </c>
      <c r="R42" s="22">
        <v>100</v>
      </c>
      <c r="S42" s="21">
        <v>52.92</v>
      </c>
      <c r="T42" s="24">
        <v>73.09</v>
      </c>
    </row>
    <row r="43" spans="1:23" ht="15.75" customHeight="1" x14ac:dyDescent="0.15">
      <c r="B43" s="25"/>
      <c r="C43" s="26"/>
      <c r="E43" s="26"/>
      <c r="G43" s="26"/>
      <c r="I43" s="26"/>
      <c r="K43" s="26"/>
      <c r="M43" s="26"/>
      <c r="O43" s="26"/>
      <c r="Q43" s="26"/>
      <c r="S43" s="26"/>
      <c r="T43" s="27"/>
    </row>
    <row r="44" spans="1:23" ht="15.75" customHeight="1" x14ac:dyDescent="0.15">
      <c r="B44" s="25"/>
      <c r="C44" s="26"/>
      <c r="E44" s="26"/>
      <c r="G44" s="26"/>
      <c r="I44" s="26"/>
      <c r="K44" s="26"/>
      <c r="M44" s="26"/>
      <c r="O44" s="26"/>
      <c r="Q44" s="26"/>
      <c r="S44" s="26"/>
      <c r="T44" s="27"/>
    </row>
    <row r="45" spans="1:23" ht="15.75" customHeight="1" x14ac:dyDescent="0.15">
      <c r="B45" s="25"/>
      <c r="C45" s="26"/>
      <c r="E45" s="26"/>
      <c r="G45" s="26"/>
      <c r="I45" s="26"/>
      <c r="K45" s="26"/>
      <c r="M45" s="26"/>
      <c r="O45" s="26"/>
      <c r="Q45" s="26"/>
      <c r="S45" s="26"/>
      <c r="T45" s="27"/>
    </row>
    <row r="46" spans="1:23" ht="15.75" customHeight="1" x14ac:dyDescent="0.15">
      <c r="B46" s="25"/>
      <c r="C46" s="67" t="s">
        <v>1412</v>
      </c>
      <c r="D46" s="68"/>
      <c r="E46" s="67" t="s">
        <v>1412</v>
      </c>
      <c r="F46" s="68"/>
      <c r="G46" s="67" t="s">
        <v>1412</v>
      </c>
      <c r="H46" s="68"/>
      <c r="I46" s="67" t="s">
        <v>1412</v>
      </c>
      <c r="J46" s="68"/>
      <c r="K46" s="67" t="s">
        <v>1412</v>
      </c>
      <c r="L46" s="68"/>
      <c r="M46" s="67" t="s">
        <v>1412</v>
      </c>
      <c r="N46" s="68"/>
      <c r="O46" s="67" t="s">
        <v>1412</v>
      </c>
      <c r="P46" s="68"/>
      <c r="Q46" s="67" t="s">
        <v>1412</v>
      </c>
      <c r="R46" s="68"/>
      <c r="S46" s="67" t="s">
        <v>1412</v>
      </c>
      <c r="T46" s="68"/>
      <c r="U46" s="64"/>
      <c r="V46" s="64"/>
    </row>
    <row r="47" spans="1:23" ht="15.75" customHeight="1" x14ac:dyDescent="0.15">
      <c r="B47" s="25"/>
      <c r="C47" s="60" t="s">
        <v>9</v>
      </c>
      <c r="D47" s="61"/>
      <c r="E47" s="60" t="s">
        <v>1414</v>
      </c>
      <c r="F47" s="61"/>
      <c r="G47" s="60"/>
      <c r="H47" s="61"/>
      <c r="I47" s="60" t="s">
        <v>4</v>
      </c>
      <c r="J47" s="61"/>
      <c r="K47" s="60" t="s">
        <v>6</v>
      </c>
      <c r="L47" s="61"/>
      <c r="M47" s="60"/>
      <c r="N47" s="61"/>
      <c r="O47" s="62" t="s">
        <v>1417</v>
      </c>
      <c r="P47" s="61"/>
      <c r="Q47" s="60" t="s">
        <v>6</v>
      </c>
      <c r="R47" s="61"/>
      <c r="S47" s="60"/>
      <c r="T47" s="61"/>
    </row>
    <row r="48" spans="1:23" ht="15.75" customHeight="1" x14ac:dyDescent="0.15">
      <c r="B48" s="25"/>
      <c r="C48" s="60" t="s">
        <v>6</v>
      </c>
      <c r="D48" s="61"/>
      <c r="E48" s="60" t="s">
        <v>5</v>
      </c>
      <c r="F48" s="61"/>
      <c r="G48" s="60"/>
      <c r="H48" s="61"/>
      <c r="I48" s="60" t="s">
        <v>9</v>
      </c>
      <c r="J48" s="61"/>
      <c r="K48" s="60" t="s">
        <v>1414</v>
      </c>
      <c r="L48" s="61"/>
      <c r="M48" s="60"/>
      <c r="N48" s="61"/>
      <c r="O48" s="62" t="s">
        <v>1425</v>
      </c>
      <c r="P48" s="61"/>
      <c r="Q48" s="60" t="s">
        <v>1414</v>
      </c>
      <c r="R48" s="61"/>
      <c r="S48" s="60"/>
      <c r="T48" s="61"/>
    </row>
    <row r="49" spans="2:20" ht="15.75" customHeight="1" x14ac:dyDescent="0.15">
      <c r="B49" s="25"/>
      <c r="C49" s="60" t="s">
        <v>1414</v>
      </c>
      <c r="D49" s="61"/>
      <c r="E49" s="60" t="s">
        <v>6</v>
      </c>
      <c r="F49" s="61"/>
      <c r="G49" s="60"/>
      <c r="H49" s="61"/>
      <c r="I49" s="60" t="s">
        <v>5</v>
      </c>
      <c r="J49" s="61"/>
      <c r="K49" s="60" t="s">
        <v>9</v>
      </c>
      <c r="L49" s="61"/>
      <c r="M49" s="60"/>
      <c r="N49" s="61"/>
      <c r="O49" s="63" t="s">
        <v>1426</v>
      </c>
      <c r="P49" s="64"/>
      <c r="Q49" s="60" t="s">
        <v>1417</v>
      </c>
      <c r="R49" s="61"/>
      <c r="S49" s="60"/>
      <c r="T49" s="61"/>
    </row>
    <row r="50" spans="2:20" ht="15.75" customHeight="1" x14ac:dyDescent="0.15">
      <c r="B50" s="25"/>
      <c r="C50" s="60" t="s">
        <v>4</v>
      </c>
      <c r="D50" s="61"/>
      <c r="E50" s="60" t="s">
        <v>8</v>
      </c>
      <c r="F50" s="61"/>
      <c r="G50" s="60"/>
      <c r="H50" s="61"/>
      <c r="I50" s="60" t="s">
        <v>6</v>
      </c>
      <c r="J50" s="61"/>
      <c r="K50" s="60" t="s">
        <v>5</v>
      </c>
      <c r="L50" s="61"/>
      <c r="M50" s="60"/>
      <c r="N50" s="61"/>
      <c r="O50" s="62" t="s">
        <v>1427</v>
      </c>
      <c r="P50" s="61"/>
      <c r="Q50" s="60" t="s">
        <v>9</v>
      </c>
      <c r="R50" s="61"/>
      <c r="S50" s="60"/>
      <c r="T50" s="61"/>
    </row>
    <row r="51" spans="2:20" ht="15.75" customHeight="1" x14ac:dyDescent="0.15">
      <c r="B51" s="25"/>
      <c r="C51" s="60" t="s">
        <v>5</v>
      </c>
      <c r="D51" s="61"/>
      <c r="E51" s="60" t="s">
        <v>9</v>
      </c>
      <c r="F51" s="61"/>
      <c r="G51" s="60"/>
      <c r="H51" s="61"/>
      <c r="I51" s="60" t="s">
        <v>7</v>
      </c>
      <c r="J51" s="61"/>
      <c r="K51" s="60" t="s">
        <v>8</v>
      </c>
      <c r="L51" s="61"/>
      <c r="M51" s="60"/>
      <c r="N51" s="61"/>
      <c r="O51" s="62" t="s">
        <v>7</v>
      </c>
      <c r="P51" s="61"/>
      <c r="Q51" s="60" t="s">
        <v>1413</v>
      </c>
      <c r="R51" s="61"/>
      <c r="S51" s="60"/>
      <c r="T51" s="61"/>
    </row>
    <row r="52" spans="2:20" ht="15.75" customHeight="1" x14ac:dyDescent="0.15">
      <c r="B52" s="25"/>
      <c r="C52" s="60" t="s">
        <v>8</v>
      </c>
      <c r="D52" s="61"/>
      <c r="E52" s="60" t="s">
        <v>7</v>
      </c>
      <c r="F52" s="61"/>
      <c r="G52" s="60"/>
      <c r="H52" s="61"/>
      <c r="I52" s="60" t="s">
        <v>8</v>
      </c>
      <c r="J52" s="61"/>
      <c r="K52" s="60" t="s">
        <v>1413</v>
      </c>
      <c r="L52" s="61"/>
      <c r="M52" s="60"/>
      <c r="N52" s="61"/>
      <c r="O52" s="63" t="s">
        <v>1428</v>
      </c>
      <c r="P52" s="64"/>
      <c r="Q52" s="60" t="s">
        <v>1415</v>
      </c>
      <c r="R52" s="61"/>
      <c r="S52" s="60"/>
      <c r="T52" s="61"/>
    </row>
    <row r="53" spans="2:20" ht="15.75" customHeight="1" x14ac:dyDescent="0.15">
      <c r="B53" s="25"/>
      <c r="C53" s="60" t="s">
        <v>7</v>
      </c>
      <c r="D53" s="61"/>
      <c r="E53" s="60" t="s">
        <v>4</v>
      </c>
      <c r="F53" s="61"/>
      <c r="G53" s="60"/>
      <c r="H53" s="61"/>
      <c r="I53" s="60" t="s">
        <v>1414</v>
      </c>
      <c r="J53" s="61"/>
      <c r="K53" s="60" t="s">
        <v>7</v>
      </c>
      <c r="L53" s="61"/>
      <c r="M53" s="60"/>
      <c r="N53" s="61"/>
      <c r="O53" s="62" t="s">
        <v>1429</v>
      </c>
      <c r="P53" s="61"/>
      <c r="Q53" s="60" t="s">
        <v>7</v>
      </c>
      <c r="R53" s="61"/>
      <c r="S53" s="60"/>
      <c r="T53" s="61"/>
    </row>
    <row r="54" spans="2:20" ht="15.75" customHeight="1" x14ac:dyDescent="0.15">
      <c r="B54" s="25"/>
      <c r="C54" s="60"/>
      <c r="D54" s="61"/>
      <c r="E54" s="60"/>
      <c r="F54" s="61"/>
      <c r="G54" s="60"/>
      <c r="H54" s="61"/>
      <c r="I54" s="60" t="s">
        <v>1413</v>
      </c>
      <c r="J54" s="61"/>
      <c r="K54" s="60" t="s">
        <v>4</v>
      </c>
      <c r="L54" s="61"/>
      <c r="M54" s="60"/>
      <c r="N54" s="61"/>
      <c r="O54" s="62" t="s">
        <v>1430</v>
      </c>
      <c r="P54" s="61"/>
      <c r="Q54" s="60" t="s">
        <v>5</v>
      </c>
      <c r="R54" s="61"/>
      <c r="S54" s="60"/>
      <c r="T54" s="61"/>
    </row>
    <row r="55" spans="2:20" ht="15.75" customHeight="1" x14ac:dyDescent="0.15">
      <c r="B55" s="25"/>
      <c r="C55" s="60"/>
      <c r="D55" s="61"/>
      <c r="E55" s="60"/>
      <c r="F55" s="61"/>
      <c r="G55" s="60"/>
      <c r="H55" s="61"/>
      <c r="I55" s="60"/>
      <c r="J55" s="61"/>
      <c r="K55" s="60"/>
      <c r="L55" s="61"/>
      <c r="M55" s="60"/>
      <c r="N55" s="61"/>
      <c r="O55" s="62" t="s">
        <v>1413</v>
      </c>
      <c r="P55" s="61"/>
      <c r="Q55" s="62" t="s">
        <v>1425</v>
      </c>
      <c r="R55" s="61"/>
      <c r="S55" s="60"/>
      <c r="T55" s="61"/>
    </row>
    <row r="56" spans="2:20" ht="15.75" customHeight="1" x14ac:dyDescent="0.15">
      <c r="B56" s="25"/>
      <c r="C56" s="60"/>
      <c r="D56" s="61"/>
      <c r="E56" s="60"/>
      <c r="F56" s="61"/>
      <c r="G56" s="60"/>
      <c r="H56" s="61"/>
      <c r="I56" s="60"/>
      <c r="J56" s="61"/>
      <c r="K56" s="60"/>
      <c r="L56" s="61"/>
      <c r="M56" s="60"/>
      <c r="N56" s="61"/>
      <c r="O56" s="62" t="s">
        <v>1419</v>
      </c>
      <c r="P56" s="61"/>
      <c r="Q56" s="60" t="s">
        <v>8</v>
      </c>
      <c r="R56" s="61"/>
      <c r="S56" s="60"/>
      <c r="T56" s="61"/>
    </row>
    <row r="57" spans="2:20" ht="15.75" customHeight="1" x14ac:dyDescent="0.15">
      <c r="B57" s="25"/>
      <c r="C57" s="60"/>
      <c r="D57" s="61"/>
      <c r="E57" s="60"/>
      <c r="F57" s="61"/>
      <c r="G57" s="60"/>
      <c r="H57" s="61"/>
      <c r="I57" s="60"/>
      <c r="J57" s="61"/>
      <c r="K57" s="60"/>
      <c r="L57" s="61"/>
      <c r="M57" s="60"/>
      <c r="N57" s="61"/>
      <c r="O57" s="60"/>
      <c r="P57" s="61"/>
      <c r="Q57" s="60"/>
      <c r="R57" s="61"/>
      <c r="S57" s="60"/>
      <c r="T57" s="61"/>
    </row>
    <row r="58" spans="2:20" ht="15.75" customHeight="1" x14ac:dyDescent="0.15">
      <c r="B58" s="25"/>
      <c r="C58" s="65"/>
      <c r="D58" s="66"/>
      <c r="E58" s="65"/>
      <c r="F58" s="66"/>
      <c r="G58" s="65"/>
      <c r="H58" s="66"/>
      <c r="I58" s="65"/>
      <c r="J58" s="66"/>
      <c r="K58" s="65"/>
      <c r="L58" s="66"/>
      <c r="M58" s="65"/>
      <c r="N58" s="66"/>
      <c r="O58" s="65"/>
      <c r="P58" s="66"/>
      <c r="Q58" s="65"/>
      <c r="R58" s="66"/>
      <c r="S58" s="65"/>
      <c r="T58" s="66"/>
    </row>
    <row r="59" spans="2:20" ht="15.75" customHeight="1" x14ac:dyDescent="0.15">
      <c r="B59" s="25"/>
      <c r="T59" s="27"/>
    </row>
    <row r="60" spans="2:20" ht="15.75" customHeight="1" x14ac:dyDescent="0.15">
      <c r="B60" s="25"/>
      <c r="T60" s="27"/>
    </row>
    <row r="61" spans="2:20" ht="15.75" customHeight="1" x14ac:dyDescent="0.15">
      <c r="B61" s="25"/>
      <c r="T61" s="27"/>
    </row>
    <row r="62" spans="2:20" ht="15.75" customHeight="1" x14ac:dyDescent="0.15">
      <c r="B62" s="25"/>
      <c r="T62" s="27"/>
    </row>
    <row r="63" spans="2:20" ht="15.75" customHeight="1" x14ac:dyDescent="0.15">
      <c r="B63" s="28"/>
      <c r="C63" s="29"/>
      <c r="D63" s="29"/>
      <c r="E63" s="29"/>
      <c r="F63" s="29"/>
      <c r="G63" s="29"/>
      <c r="H63" s="29"/>
      <c r="I63" s="29"/>
      <c r="J63" s="29"/>
      <c r="K63" s="29"/>
      <c r="L63" s="29"/>
      <c r="M63" s="29"/>
      <c r="N63" s="29"/>
      <c r="O63" s="29"/>
      <c r="P63" s="29"/>
      <c r="Q63" s="29"/>
      <c r="R63" s="29"/>
      <c r="S63" s="29"/>
      <c r="T63" s="30"/>
    </row>
  </sheetData>
  <mergeCells count="261">
    <mergeCell ref="O25:P25"/>
    <mergeCell ref="Q16:R16"/>
    <mergeCell ref="S16:T16"/>
    <mergeCell ref="C16:D16"/>
    <mergeCell ref="E16:F16"/>
    <mergeCell ref="G16:H16"/>
    <mergeCell ref="I16:J16"/>
    <mergeCell ref="K16:L16"/>
    <mergeCell ref="M16:N16"/>
    <mergeCell ref="O16:P16"/>
    <mergeCell ref="O18:P18"/>
    <mergeCell ref="Q17:R17"/>
    <mergeCell ref="S17:T17"/>
    <mergeCell ref="C17:D17"/>
    <mergeCell ref="E17:F17"/>
    <mergeCell ref="G17:H17"/>
    <mergeCell ref="I17:J17"/>
    <mergeCell ref="K17:L17"/>
    <mergeCell ref="M17:N17"/>
    <mergeCell ref="O17:P17"/>
    <mergeCell ref="A1:W2"/>
    <mergeCell ref="C3:H3"/>
    <mergeCell ref="I3:N3"/>
    <mergeCell ref="O3:T3"/>
    <mergeCell ref="C4:D4"/>
    <mergeCell ref="E4:F4"/>
    <mergeCell ref="G4:H4"/>
    <mergeCell ref="Q26:R26"/>
    <mergeCell ref="S26:T26"/>
    <mergeCell ref="C26:D26"/>
    <mergeCell ref="E26:F26"/>
    <mergeCell ref="G26:H26"/>
    <mergeCell ref="I26:J26"/>
    <mergeCell ref="K26:L26"/>
    <mergeCell ref="M26:N26"/>
    <mergeCell ref="O26:P26"/>
    <mergeCell ref="Q18:R18"/>
    <mergeCell ref="S18:T18"/>
    <mergeCell ref="C18:D18"/>
    <mergeCell ref="E18:F18"/>
    <mergeCell ref="G18:H18"/>
    <mergeCell ref="I18:J18"/>
    <mergeCell ref="K18:L18"/>
    <mergeCell ref="M18:N18"/>
    <mergeCell ref="M14:N14"/>
    <mergeCell ref="O14:P14"/>
    <mergeCell ref="Q14:R14"/>
    <mergeCell ref="S14:T14"/>
    <mergeCell ref="I4:J4"/>
    <mergeCell ref="K4:L4"/>
    <mergeCell ref="C14:D14"/>
    <mergeCell ref="E14:F14"/>
    <mergeCell ref="G14:H14"/>
    <mergeCell ref="I14:J14"/>
    <mergeCell ref="K14:L14"/>
    <mergeCell ref="M4:N4"/>
    <mergeCell ref="O4:P4"/>
    <mergeCell ref="Q4:R4"/>
    <mergeCell ref="S4:T4"/>
    <mergeCell ref="Q15:R15"/>
    <mergeCell ref="S15:T15"/>
    <mergeCell ref="C15:D15"/>
    <mergeCell ref="E15:F15"/>
    <mergeCell ref="G15:H15"/>
    <mergeCell ref="I15:J15"/>
    <mergeCell ref="K15:L15"/>
    <mergeCell ref="M15:N15"/>
    <mergeCell ref="O15:P15"/>
    <mergeCell ref="Q19:R19"/>
    <mergeCell ref="S19:T19"/>
    <mergeCell ref="C19:D19"/>
    <mergeCell ref="E19:F19"/>
    <mergeCell ref="G19:H19"/>
    <mergeCell ref="I19:J19"/>
    <mergeCell ref="K19:L19"/>
    <mergeCell ref="M19:N19"/>
    <mergeCell ref="O19:P19"/>
    <mergeCell ref="Q20:R20"/>
    <mergeCell ref="S20:T20"/>
    <mergeCell ref="C20:D20"/>
    <mergeCell ref="E20:F20"/>
    <mergeCell ref="G20:H20"/>
    <mergeCell ref="I20:J20"/>
    <mergeCell ref="K20:L20"/>
    <mergeCell ref="M20:N20"/>
    <mergeCell ref="O20:P20"/>
    <mergeCell ref="Q21:R21"/>
    <mergeCell ref="S21:T21"/>
    <mergeCell ref="C21:D21"/>
    <mergeCell ref="E21:F21"/>
    <mergeCell ref="G21:H21"/>
    <mergeCell ref="I21:J21"/>
    <mergeCell ref="K21:L21"/>
    <mergeCell ref="M21:N21"/>
    <mergeCell ref="O21:P21"/>
    <mergeCell ref="Q22:R22"/>
    <mergeCell ref="S22:T22"/>
    <mergeCell ref="C22:D22"/>
    <mergeCell ref="E22:F22"/>
    <mergeCell ref="G22:H22"/>
    <mergeCell ref="I22:J22"/>
    <mergeCell ref="K22:L22"/>
    <mergeCell ref="M22:N22"/>
    <mergeCell ref="O22:P22"/>
    <mergeCell ref="Q23:R23"/>
    <mergeCell ref="S23:T23"/>
    <mergeCell ref="C23:D23"/>
    <mergeCell ref="E23:F23"/>
    <mergeCell ref="G23:H23"/>
    <mergeCell ref="I23:J23"/>
    <mergeCell ref="K23:L23"/>
    <mergeCell ref="M23:N23"/>
    <mergeCell ref="O23:P23"/>
    <mergeCell ref="A33:W34"/>
    <mergeCell ref="C35:H35"/>
    <mergeCell ref="I35:N35"/>
    <mergeCell ref="O35:T35"/>
    <mergeCell ref="C36:D36"/>
    <mergeCell ref="E36:F36"/>
    <mergeCell ref="G36:H36"/>
    <mergeCell ref="Q24:R24"/>
    <mergeCell ref="S24:T24"/>
    <mergeCell ref="C24:D24"/>
    <mergeCell ref="E24:F24"/>
    <mergeCell ref="G24:H24"/>
    <mergeCell ref="I24:J24"/>
    <mergeCell ref="K24:L24"/>
    <mergeCell ref="M24:N24"/>
    <mergeCell ref="O24:P24"/>
    <mergeCell ref="Q25:R25"/>
    <mergeCell ref="S25:T25"/>
    <mergeCell ref="C25:D25"/>
    <mergeCell ref="E25:F25"/>
    <mergeCell ref="G25:H25"/>
    <mergeCell ref="I25:J25"/>
    <mergeCell ref="K25:L25"/>
    <mergeCell ref="M25:N25"/>
    <mergeCell ref="M46:N46"/>
    <mergeCell ref="O46:P46"/>
    <mergeCell ref="Q46:R46"/>
    <mergeCell ref="S46:T46"/>
    <mergeCell ref="U46:V46"/>
    <mergeCell ref="I36:J36"/>
    <mergeCell ref="K36:L36"/>
    <mergeCell ref="C46:D46"/>
    <mergeCell ref="E46:F46"/>
    <mergeCell ref="G46:H46"/>
    <mergeCell ref="I46:J46"/>
    <mergeCell ref="K46:L46"/>
    <mergeCell ref="M36:N36"/>
    <mergeCell ref="O36:P36"/>
    <mergeCell ref="Q36:R36"/>
    <mergeCell ref="S36:T36"/>
    <mergeCell ref="Q57:R57"/>
    <mergeCell ref="S57:T57"/>
    <mergeCell ref="C57:D57"/>
    <mergeCell ref="E57:F57"/>
    <mergeCell ref="G57:H57"/>
    <mergeCell ref="I57:J57"/>
    <mergeCell ref="K57:L57"/>
    <mergeCell ref="M57:N57"/>
    <mergeCell ref="O57:P57"/>
    <mergeCell ref="Q47:R47"/>
    <mergeCell ref="S47:T47"/>
    <mergeCell ref="C47:D47"/>
    <mergeCell ref="E47:F47"/>
    <mergeCell ref="G47:H47"/>
    <mergeCell ref="I47:J47"/>
    <mergeCell ref="K47:L47"/>
    <mergeCell ref="M47:N47"/>
    <mergeCell ref="O47:P47"/>
    <mergeCell ref="Q48:R48"/>
    <mergeCell ref="S48:T48"/>
    <mergeCell ref="C48:D48"/>
    <mergeCell ref="E48:F48"/>
    <mergeCell ref="G48:H48"/>
    <mergeCell ref="I48:J48"/>
    <mergeCell ref="K48:L48"/>
    <mergeCell ref="M48:N48"/>
    <mergeCell ref="O48:P48"/>
    <mergeCell ref="Q49:R49"/>
    <mergeCell ref="S49:T49"/>
    <mergeCell ref="C49:D49"/>
    <mergeCell ref="E49:F49"/>
    <mergeCell ref="G49:H49"/>
    <mergeCell ref="I49:J49"/>
    <mergeCell ref="K49:L49"/>
    <mergeCell ref="M49:N49"/>
    <mergeCell ref="O49:P49"/>
    <mergeCell ref="Q58:R58"/>
    <mergeCell ref="S58:T58"/>
    <mergeCell ref="C58:D58"/>
    <mergeCell ref="E58:F58"/>
    <mergeCell ref="G58:H58"/>
    <mergeCell ref="I58:J58"/>
    <mergeCell ref="K58:L58"/>
    <mergeCell ref="M58:N58"/>
    <mergeCell ref="O58:P58"/>
    <mergeCell ref="Q50:R50"/>
    <mergeCell ref="S50:T50"/>
    <mergeCell ref="C50:D50"/>
    <mergeCell ref="E50:F50"/>
    <mergeCell ref="G50:H50"/>
    <mergeCell ref="I50:J50"/>
    <mergeCell ref="K50:L50"/>
    <mergeCell ref="M50:N50"/>
    <mergeCell ref="O50:P50"/>
    <mergeCell ref="Q51:R51"/>
    <mergeCell ref="S51:T51"/>
    <mergeCell ref="C51:D51"/>
    <mergeCell ref="E51:F51"/>
    <mergeCell ref="G51:H51"/>
    <mergeCell ref="I51:J51"/>
    <mergeCell ref="K51:L51"/>
    <mergeCell ref="M51:N51"/>
    <mergeCell ref="O51:P51"/>
    <mergeCell ref="Q52:R52"/>
    <mergeCell ref="S52:T52"/>
    <mergeCell ref="C52:D52"/>
    <mergeCell ref="E52:F52"/>
    <mergeCell ref="G52:H52"/>
    <mergeCell ref="I52:J52"/>
    <mergeCell ref="K52:L52"/>
    <mergeCell ref="M52:N52"/>
    <mergeCell ref="O52:P52"/>
    <mergeCell ref="Q53:R53"/>
    <mergeCell ref="S53:T53"/>
    <mergeCell ref="C53:D53"/>
    <mergeCell ref="E53:F53"/>
    <mergeCell ref="G53:H53"/>
    <mergeCell ref="I53:J53"/>
    <mergeCell ref="K53:L53"/>
    <mergeCell ref="M53:N53"/>
    <mergeCell ref="O53:P53"/>
    <mergeCell ref="Q54:R54"/>
    <mergeCell ref="S54:T54"/>
    <mergeCell ref="C54:D54"/>
    <mergeCell ref="E54:F54"/>
    <mergeCell ref="G54:H54"/>
    <mergeCell ref="I54:J54"/>
    <mergeCell ref="K54:L54"/>
    <mergeCell ref="M54:N54"/>
    <mergeCell ref="O54:P54"/>
    <mergeCell ref="Q55:R55"/>
    <mergeCell ref="S55:T55"/>
    <mergeCell ref="C55:D55"/>
    <mergeCell ref="E55:F55"/>
    <mergeCell ref="G55:H55"/>
    <mergeCell ref="I55:J55"/>
    <mergeCell ref="K55:L55"/>
    <mergeCell ref="M55:N55"/>
    <mergeCell ref="O55:P55"/>
    <mergeCell ref="Q56:R56"/>
    <mergeCell ref="S56:T56"/>
    <mergeCell ref="C56:D56"/>
    <mergeCell ref="E56:F56"/>
    <mergeCell ref="G56:H56"/>
    <mergeCell ref="I56:J56"/>
    <mergeCell ref="K56:L56"/>
    <mergeCell ref="M56:N56"/>
    <mergeCell ref="O56:P5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63"/>
  <sheetViews>
    <sheetView workbookViewId="0"/>
  </sheetViews>
  <sheetFormatPr baseColWidth="10" defaultColWidth="12.6640625" defaultRowHeight="15.75" customHeight="1" x14ac:dyDescent="0.15"/>
  <cols>
    <col min="16" max="16" width="4.83203125" customWidth="1"/>
  </cols>
  <sheetData>
    <row r="1" spans="1:23" ht="15.75" customHeight="1" x14ac:dyDescent="0.15">
      <c r="A1" s="71" t="s">
        <v>1398</v>
      </c>
      <c r="B1" s="64"/>
      <c r="C1" s="64"/>
      <c r="D1" s="64"/>
      <c r="E1" s="64"/>
      <c r="F1" s="64"/>
      <c r="G1" s="64"/>
      <c r="H1" s="64"/>
      <c r="I1" s="64"/>
      <c r="J1" s="64"/>
      <c r="K1" s="64"/>
      <c r="L1" s="64"/>
      <c r="M1" s="64"/>
      <c r="N1" s="64"/>
      <c r="O1" s="64"/>
      <c r="P1" s="64"/>
      <c r="Q1" s="64"/>
      <c r="R1" s="64"/>
      <c r="S1" s="64"/>
      <c r="T1" s="64"/>
      <c r="U1" s="64"/>
      <c r="V1" s="64"/>
      <c r="W1" s="64"/>
    </row>
    <row r="2" spans="1:23" ht="15.75" customHeight="1" x14ac:dyDescent="0.15">
      <c r="A2" s="64"/>
      <c r="B2" s="64"/>
      <c r="C2" s="64"/>
      <c r="D2" s="64"/>
      <c r="E2" s="64"/>
      <c r="F2" s="64"/>
      <c r="G2" s="64"/>
      <c r="H2" s="64"/>
      <c r="I2" s="64"/>
      <c r="J2" s="64"/>
      <c r="K2" s="64"/>
      <c r="L2" s="64"/>
      <c r="M2" s="64"/>
      <c r="N2" s="64"/>
      <c r="O2" s="64"/>
      <c r="P2" s="64"/>
      <c r="Q2" s="64"/>
      <c r="R2" s="64"/>
      <c r="S2" s="64"/>
      <c r="T2" s="64"/>
      <c r="U2" s="64"/>
      <c r="V2" s="64"/>
      <c r="W2" s="64"/>
    </row>
    <row r="3" spans="1:23" ht="15.75" customHeight="1" x14ac:dyDescent="0.15">
      <c r="B3" s="7"/>
      <c r="C3" s="72" t="s">
        <v>1399</v>
      </c>
      <c r="D3" s="73"/>
      <c r="E3" s="73"/>
      <c r="F3" s="73"/>
      <c r="G3" s="73"/>
      <c r="H3" s="74"/>
      <c r="I3" s="75" t="s">
        <v>1400</v>
      </c>
      <c r="J3" s="73"/>
      <c r="K3" s="73"/>
      <c r="L3" s="73"/>
      <c r="M3" s="73"/>
      <c r="N3" s="74"/>
      <c r="O3" s="76" t="s">
        <v>1401</v>
      </c>
      <c r="P3" s="73"/>
      <c r="Q3" s="73"/>
      <c r="R3" s="73"/>
      <c r="S3" s="73"/>
      <c r="T3" s="78"/>
    </row>
    <row r="4" spans="1:23" ht="15.75" customHeight="1" x14ac:dyDescent="0.15">
      <c r="B4" s="8"/>
      <c r="C4" s="69" t="s">
        <v>1402</v>
      </c>
      <c r="D4" s="68"/>
      <c r="E4" s="77" t="s">
        <v>1403</v>
      </c>
      <c r="F4" s="68"/>
      <c r="G4" s="77" t="s">
        <v>1404</v>
      </c>
      <c r="H4" s="68"/>
      <c r="I4" s="69" t="s">
        <v>1402</v>
      </c>
      <c r="J4" s="68"/>
      <c r="K4" s="69" t="s">
        <v>1403</v>
      </c>
      <c r="L4" s="68"/>
      <c r="M4" s="69" t="s">
        <v>1404</v>
      </c>
      <c r="N4" s="68"/>
      <c r="O4" s="70" t="s">
        <v>1402</v>
      </c>
      <c r="P4" s="68"/>
      <c r="Q4" s="70" t="s">
        <v>1403</v>
      </c>
      <c r="R4" s="68"/>
      <c r="S4" s="70" t="s">
        <v>1404</v>
      </c>
      <c r="T4" s="68"/>
    </row>
    <row r="5" spans="1:23" ht="15.75" customHeight="1" x14ac:dyDescent="0.15">
      <c r="B5" s="8"/>
      <c r="C5" s="9" t="s">
        <v>1405</v>
      </c>
      <c r="D5" s="10" t="s">
        <v>1406</v>
      </c>
      <c r="E5" s="11" t="s">
        <v>1405</v>
      </c>
      <c r="F5" s="10" t="s">
        <v>1406</v>
      </c>
      <c r="G5" s="12" t="s">
        <v>1405</v>
      </c>
      <c r="H5" s="10" t="s">
        <v>1406</v>
      </c>
      <c r="I5" s="9" t="s">
        <v>1405</v>
      </c>
      <c r="J5" s="10" t="s">
        <v>1406</v>
      </c>
      <c r="K5" s="9" t="s">
        <v>1405</v>
      </c>
      <c r="L5" s="10" t="s">
        <v>1406</v>
      </c>
      <c r="M5" s="9" t="s">
        <v>1405</v>
      </c>
      <c r="N5" s="10" t="s">
        <v>1406</v>
      </c>
      <c r="O5" s="13" t="s">
        <v>1405</v>
      </c>
      <c r="P5" s="14" t="s">
        <v>1406</v>
      </c>
      <c r="Q5" s="13" t="s">
        <v>1405</v>
      </c>
      <c r="R5" s="14" t="s">
        <v>1406</v>
      </c>
      <c r="S5" s="13" t="s">
        <v>1405</v>
      </c>
      <c r="T5" s="14" t="s">
        <v>1406</v>
      </c>
    </row>
    <row r="6" spans="1:23" ht="15.75" customHeight="1" x14ac:dyDescent="0.15">
      <c r="B6" s="15" t="s">
        <v>1407</v>
      </c>
      <c r="C6" s="16">
        <v>47.3</v>
      </c>
      <c r="D6" s="17">
        <v>71.7</v>
      </c>
      <c r="E6" s="18">
        <v>55.91</v>
      </c>
      <c r="F6" s="17">
        <v>97.82</v>
      </c>
      <c r="G6" s="16">
        <v>49.46</v>
      </c>
      <c r="H6" s="17">
        <v>60.59</v>
      </c>
      <c r="I6" s="16">
        <v>46.23</v>
      </c>
      <c r="J6" s="17">
        <v>72.8</v>
      </c>
      <c r="K6" s="16">
        <v>60.2</v>
      </c>
      <c r="L6" s="17">
        <v>97.28</v>
      </c>
      <c r="M6" s="16">
        <v>49.46</v>
      </c>
      <c r="N6" s="17">
        <v>62.5</v>
      </c>
      <c r="O6" s="16">
        <v>41.3</v>
      </c>
      <c r="P6" s="17">
        <v>99.72</v>
      </c>
      <c r="Q6" s="16">
        <v>46.7</v>
      </c>
      <c r="R6" s="17">
        <v>99.72</v>
      </c>
      <c r="S6" s="16">
        <v>45.65</v>
      </c>
      <c r="T6" s="19">
        <v>69.94</v>
      </c>
    </row>
    <row r="7" spans="1:23" ht="15.75" customHeight="1" x14ac:dyDescent="0.15">
      <c r="B7" s="20" t="s">
        <v>1408</v>
      </c>
      <c r="C7" s="21">
        <v>41.21</v>
      </c>
      <c r="D7" s="22">
        <v>64.400000000000006</v>
      </c>
      <c r="E7" s="23">
        <v>47.59</v>
      </c>
      <c r="F7" s="22">
        <v>96.9</v>
      </c>
      <c r="G7" s="21">
        <v>39.92</v>
      </c>
      <c r="H7" s="22">
        <v>50.08</v>
      </c>
      <c r="I7" s="21">
        <v>37.69</v>
      </c>
      <c r="J7" s="22">
        <v>65.3</v>
      </c>
      <c r="K7" s="21">
        <v>50.97</v>
      </c>
      <c r="L7" s="22">
        <v>96.29</v>
      </c>
      <c r="M7" s="21">
        <v>39.020000000000003</v>
      </c>
      <c r="N7" s="22">
        <v>52.8</v>
      </c>
      <c r="O7" s="21">
        <v>36.56</v>
      </c>
      <c r="P7" s="22">
        <v>99.7</v>
      </c>
      <c r="Q7" s="21">
        <v>36.200000000000003</v>
      </c>
      <c r="R7" s="22">
        <v>99.7</v>
      </c>
      <c r="S7" s="21">
        <v>32.590000000000003</v>
      </c>
      <c r="T7" s="24">
        <v>62.19</v>
      </c>
    </row>
    <row r="8" spans="1:23" ht="15.75" customHeight="1" x14ac:dyDescent="0.15">
      <c r="B8" s="20" t="s">
        <v>1409</v>
      </c>
      <c r="C8" s="21">
        <v>41.21</v>
      </c>
      <c r="D8" s="22">
        <v>64.400000000000006</v>
      </c>
      <c r="E8" s="23">
        <v>47.59</v>
      </c>
      <c r="F8" s="22">
        <v>96.9</v>
      </c>
      <c r="G8" s="21">
        <v>39.92</v>
      </c>
      <c r="H8" s="22">
        <v>50.08</v>
      </c>
      <c r="I8" s="21">
        <v>37.69</v>
      </c>
      <c r="J8" s="22">
        <v>65.3</v>
      </c>
      <c r="K8" s="21">
        <v>50.97</v>
      </c>
      <c r="L8" s="22">
        <v>96.29</v>
      </c>
      <c r="M8" s="21">
        <v>39.020000000000003</v>
      </c>
      <c r="N8" s="22">
        <v>52.8</v>
      </c>
      <c r="O8" s="21">
        <v>36.56</v>
      </c>
      <c r="P8" s="22">
        <v>99.7</v>
      </c>
      <c r="Q8" s="21">
        <v>36.200000000000003</v>
      </c>
      <c r="R8" s="22">
        <v>99.7</v>
      </c>
      <c r="S8" s="21">
        <v>32.590000000000003</v>
      </c>
      <c r="T8" s="24">
        <v>62.19</v>
      </c>
    </row>
    <row r="9" spans="1:23" ht="15.75" customHeight="1" x14ac:dyDescent="0.15">
      <c r="B9" s="20" t="s">
        <v>1410</v>
      </c>
      <c r="C9" s="21">
        <v>42.26</v>
      </c>
      <c r="D9" s="22">
        <v>71.900000000000006</v>
      </c>
      <c r="E9" s="23">
        <v>60.79</v>
      </c>
      <c r="F9" s="22">
        <v>98.39</v>
      </c>
      <c r="G9" s="21">
        <v>31.72</v>
      </c>
      <c r="H9" s="22">
        <v>56.96</v>
      </c>
      <c r="I9" s="21">
        <v>31.98</v>
      </c>
      <c r="J9" s="22">
        <v>74.25</v>
      </c>
      <c r="K9" s="21">
        <v>72.44</v>
      </c>
      <c r="L9" s="22">
        <v>97.93</v>
      </c>
      <c r="M9" s="21">
        <v>31.8</v>
      </c>
      <c r="N9" s="22">
        <v>61.45</v>
      </c>
      <c r="O9" s="21">
        <v>37.04</v>
      </c>
      <c r="P9" s="22">
        <v>99.61</v>
      </c>
      <c r="Q9" s="21">
        <v>36.299999999999997</v>
      </c>
      <c r="R9" s="22">
        <v>99.8</v>
      </c>
      <c r="S9" s="21">
        <v>31.07</v>
      </c>
      <c r="T9" s="24">
        <v>76.180000000000007</v>
      </c>
    </row>
    <row r="10" spans="1:23" ht="15.75" customHeight="1" x14ac:dyDescent="0.15">
      <c r="B10" s="20" t="s">
        <v>1411</v>
      </c>
      <c r="C10" s="21">
        <v>40.72</v>
      </c>
      <c r="D10" s="22">
        <v>64.3</v>
      </c>
      <c r="E10" s="23">
        <v>47.01</v>
      </c>
      <c r="F10" s="22">
        <v>97.58</v>
      </c>
      <c r="G10" s="21">
        <v>35.25</v>
      </c>
      <c r="H10" s="22">
        <v>45.01</v>
      </c>
      <c r="I10" s="21">
        <v>34.549999999999997</v>
      </c>
      <c r="J10" s="22">
        <v>65.260000000000005</v>
      </c>
      <c r="K10" s="21">
        <v>48.87</v>
      </c>
      <c r="L10" s="22">
        <v>97.02</v>
      </c>
      <c r="M10" s="21">
        <v>34.74</v>
      </c>
      <c r="N10" s="22">
        <v>50.28</v>
      </c>
      <c r="O10" s="21">
        <v>36.25</v>
      </c>
      <c r="P10" s="22">
        <v>99.65</v>
      </c>
      <c r="Q10" s="21">
        <v>35.6</v>
      </c>
      <c r="R10" s="22">
        <v>99.65</v>
      </c>
      <c r="S10" s="21">
        <v>31.29</v>
      </c>
      <c r="T10" s="24">
        <v>62.53</v>
      </c>
    </row>
    <row r="11" spans="1:23" ht="15.75" customHeight="1" x14ac:dyDescent="0.15">
      <c r="B11" s="25"/>
      <c r="C11" s="26"/>
      <c r="E11" s="26"/>
      <c r="G11" s="26"/>
      <c r="I11" s="26"/>
      <c r="K11" s="26"/>
      <c r="M11" s="26"/>
      <c r="O11" s="26"/>
      <c r="Q11" s="26"/>
      <c r="S11" s="26"/>
      <c r="T11" s="27"/>
    </row>
    <row r="12" spans="1:23" ht="15.75" customHeight="1" x14ac:dyDescent="0.15">
      <c r="B12" s="25"/>
      <c r="C12" s="26"/>
      <c r="E12" s="26"/>
      <c r="G12" s="26"/>
      <c r="I12" s="26"/>
      <c r="K12" s="26"/>
      <c r="M12" s="26"/>
      <c r="O12" s="26"/>
      <c r="Q12" s="26"/>
      <c r="S12" s="26"/>
      <c r="T12" s="27"/>
    </row>
    <row r="13" spans="1:23" ht="15.75" customHeight="1" x14ac:dyDescent="0.15">
      <c r="B13" s="25"/>
      <c r="C13" s="26"/>
      <c r="E13" s="26"/>
      <c r="G13" s="26"/>
      <c r="I13" s="26"/>
      <c r="K13" s="26"/>
      <c r="M13" s="26"/>
      <c r="O13" s="26"/>
      <c r="Q13" s="26"/>
      <c r="S13" s="26"/>
      <c r="T13" s="27"/>
    </row>
    <row r="14" spans="1:23" ht="15.75" customHeight="1" x14ac:dyDescent="0.15">
      <c r="B14" s="25"/>
      <c r="C14" s="67" t="s">
        <v>1412</v>
      </c>
      <c r="D14" s="68"/>
      <c r="E14" s="67" t="s">
        <v>1412</v>
      </c>
      <c r="F14" s="68"/>
      <c r="G14" s="67" t="s">
        <v>1412</v>
      </c>
      <c r="H14" s="68"/>
      <c r="I14" s="67" t="s">
        <v>1412</v>
      </c>
      <c r="J14" s="68"/>
      <c r="K14" s="67" t="s">
        <v>1412</v>
      </c>
      <c r="L14" s="68"/>
      <c r="M14" s="67" t="s">
        <v>1412</v>
      </c>
      <c r="N14" s="68"/>
      <c r="O14" s="67" t="s">
        <v>1412</v>
      </c>
      <c r="P14" s="68"/>
      <c r="Q14" s="67" t="s">
        <v>1412</v>
      </c>
      <c r="R14" s="68"/>
      <c r="S14" s="67" t="s">
        <v>1412</v>
      </c>
      <c r="T14" s="68"/>
    </row>
    <row r="15" spans="1:23" ht="15.75" customHeight="1" x14ac:dyDescent="0.15">
      <c r="B15" s="25"/>
      <c r="C15" s="60" t="s">
        <v>5</v>
      </c>
      <c r="D15" s="61"/>
      <c r="E15" s="60" t="s">
        <v>1431</v>
      </c>
      <c r="F15" s="61"/>
      <c r="G15" s="60"/>
      <c r="H15" s="61"/>
      <c r="I15" s="60" t="s">
        <v>6</v>
      </c>
      <c r="J15" s="61"/>
      <c r="K15" s="60" t="s">
        <v>1431</v>
      </c>
      <c r="L15" s="61"/>
      <c r="M15" s="62"/>
      <c r="N15" s="61"/>
      <c r="O15" s="62" t="s">
        <v>1425</v>
      </c>
      <c r="P15" s="61"/>
      <c r="Q15" s="60" t="s">
        <v>1431</v>
      </c>
      <c r="R15" s="61"/>
      <c r="S15" s="60"/>
      <c r="T15" s="61"/>
    </row>
    <row r="16" spans="1:23" ht="15.75" customHeight="1" x14ac:dyDescent="0.15">
      <c r="B16" s="25"/>
      <c r="C16" s="60" t="s">
        <v>1414</v>
      </c>
      <c r="D16" s="61"/>
      <c r="E16" s="60" t="s">
        <v>6</v>
      </c>
      <c r="F16" s="61"/>
      <c r="G16" s="60"/>
      <c r="H16" s="61"/>
      <c r="I16" s="60" t="s">
        <v>8</v>
      </c>
      <c r="J16" s="61"/>
      <c r="K16" s="60" t="s">
        <v>6</v>
      </c>
      <c r="L16" s="61"/>
      <c r="M16" s="62"/>
      <c r="N16" s="61"/>
      <c r="O16" s="80" t="s">
        <v>1429</v>
      </c>
      <c r="P16" s="64"/>
      <c r="Q16" s="60" t="s">
        <v>1414</v>
      </c>
      <c r="R16" s="61"/>
      <c r="S16" s="60"/>
      <c r="T16" s="61"/>
    </row>
    <row r="17" spans="2:20" ht="15.75" customHeight="1" x14ac:dyDescent="0.15">
      <c r="B17" s="25"/>
      <c r="C17" s="60" t="s">
        <v>6</v>
      </c>
      <c r="D17" s="61"/>
      <c r="E17" s="60" t="s">
        <v>1414</v>
      </c>
      <c r="F17" s="61"/>
      <c r="G17" s="60"/>
      <c r="H17" s="61"/>
      <c r="I17" s="60" t="s">
        <v>1431</v>
      </c>
      <c r="J17" s="61"/>
      <c r="K17" s="60" t="s">
        <v>1413</v>
      </c>
      <c r="L17" s="61"/>
      <c r="M17" s="62"/>
      <c r="N17" s="61"/>
      <c r="O17" s="60" t="s">
        <v>1432</v>
      </c>
      <c r="P17" s="61"/>
      <c r="Q17" s="60" t="s">
        <v>1413</v>
      </c>
      <c r="R17" s="61"/>
      <c r="S17" s="60"/>
      <c r="T17" s="61"/>
    </row>
    <row r="18" spans="2:20" ht="15.75" customHeight="1" x14ac:dyDescent="0.15">
      <c r="B18" s="25"/>
      <c r="C18" s="60" t="s">
        <v>8</v>
      </c>
      <c r="D18" s="61"/>
      <c r="E18" s="60" t="s">
        <v>9</v>
      </c>
      <c r="F18" s="61"/>
      <c r="G18" s="60"/>
      <c r="H18" s="61"/>
      <c r="I18" s="60" t="s">
        <v>1433</v>
      </c>
      <c r="J18" s="61"/>
      <c r="K18" s="60" t="s">
        <v>1414</v>
      </c>
      <c r="L18" s="61"/>
      <c r="M18" s="62"/>
      <c r="N18" s="64"/>
      <c r="O18" s="60" t="s">
        <v>1434</v>
      </c>
      <c r="P18" s="61"/>
      <c r="Q18" s="60" t="s">
        <v>6</v>
      </c>
      <c r="R18" s="61"/>
      <c r="S18" s="60"/>
      <c r="T18" s="61"/>
    </row>
    <row r="19" spans="2:20" ht="15.75" customHeight="1" x14ac:dyDescent="0.15">
      <c r="B19" s="25"/>
      <c r="C19" s="60" t="s">
        <v>7</v>
      </c>
      <c r="D19" s="61"/>
      <c r="E19" s="60" t="s">
        <v>8</v>
      </c>
      <c r="F19" s="61"/>
      <c r="G19" s="60"/>
      <c r="H19" s="61"/>
      <c r="I19" s="60" t="s">
        <v>5</v>
      </c>
      <c r="J19" s="61"/>
      <c r="K19" s="60" t="s">
        <v>8</v>
      </c>
      <c r="L19" s="61"/>
      <c r="M19" s="62"/>
      <c r="N19" s="64"/>
      <c r="O19" s="60" t="s">
        <v>1435</v>
      </c>
      <c r="P19" s="61"/>
      <c r="Q19" s="60" t="s">
        <v>7</v>
      </c>
      <c r="R19" s="61"/>
      <c r="S19" s="60"/>
      <c r="T19" s="61"/>
    </row>
    <row r="20" spans="2:20" ht="15.75" customHeight="1" x14ac:dyDescent="0.15">
      <c r="B20" s="25"/>
      <c r="C20" s="60" t="s">
        <v>9</v>
      </c>
      <c r="D20" s="61"/>
      <c r="E20" s="60" t="s">
        <v>7</v>
      </c>
      <c r="F20" s="61"/>
      <c r="G20" s="60"/>
      <c r="H20" s="61"/>
      <c r="I20" s="60" t="s">
        <v>7</v>
      </c>
      <c r="J20" s="61"/>
      <c r="K20" s="60" t="s">
        <v>9</v>
      </c>
      <c r="L20" s="61"/>
      <c r="M20" s="62"/>
      <c r="N20" s="64"/>
      <c r="O20" s="60" t="s">
        <v>1436</v>
      </c>
      <c r="P20" s="61"/>
      <c r="Q20" s="60" t="s">
        <v>5</v>
      </c>
      <c r="R20" s="61"/>
      <c r="S20" s="60"/>
      <c r="T20" s="61"/>
    </row>
    <row r="21" spans="2:20" ht="15.75" customHeight="1" x14ac:dyDescent="0.15">
      <c r="B21" s="25"/>
      <c r="C21" s="60" t="s">
        <v>1437</v>
      </c>
      <c r="D21" s="61"/>
      <c r="E21" s="60" t="s">
        <v>4</v>
      </c>
      <c r="F21" s="61"/>
      <c r="G21" s="60"/>
      <c r="H21" s="61"/>
      <c r="I21" s="60" t="s">
        <v>1414</v>
      </c>
      <c r="J21" s="61"/>
      <c r="K21" s="60" t="s">
        <v>4</v>
      </c>
      <c r="L21" s="61"/>
      <c r="M21" s="62"/>
      <c r="N21" s="64"/>
      <c r="O21" s="60" t="s">
        <v>1438</v>
      </c>
      <c r="P21" s="61"/>
      <c r="Q21" s="60" t="s">
        <v>1420</v>
      </c>
      <c r="R21" s="61"/>
      <c r="S21" s="60"/>
      <c r="T21" s="61"/>
    </row>
    <row r="22" spans="2:20" ht="15.75" customHeight="1" x14ac:dyDescent="0.15">
      <c r="B22" s="25"/>
      <c r="C22" s="60" t="s">
        <v>1431</v>
      </c>
      <c r="D22" s="61"/>
      <c r="E22" s="60" t="s">
        <v>5</v>
      </c>
      <c r="F22" s="61"/>
      <c r="G22" s="60"/>
      <c r="H22" s="61"/>
      <c r="I22" s="60" t="s">
        <v>1413</v>
      </c>
      <c r="J22" s="61"/>
      <c r="K22" s="60" t="s">
        <v>7</v>
      </c>
      <c r="L22" s="61"/>
      <c r="M22" s="62"/>
      <c r="N22" s="64"/>
      <c r="O22" s="60" t="s">
        <v>1439</v>
      </c>
      <c r="P22" s="61"/>
      <c r="Q22" s="60" t="s">
        <v>1417</v>
      </c>
      <c r="R22" s="61"/>
      <c r="S22" s="60"/>
      <c r="T22" s="61"/>
    </row>
    <row r="23" spans="2:20" ht="15.75" customHeight="1" x14ac:dyDescent="0.15">
      <c r="B23" s="25"/>
      <c r="C23" s="60" t="s">
        <v>1433</v>
      </c>
      <c r="D23" s="61"/>
      <c r="E23" s="60" t="s">
        <v>1433</v>
      </c>
      <c r="F23" s="61"/>
      <c r="G23" s="60"/>
      <c r="H23" s="61"/>
      <c r="I23" s="60" t="s">
        <v>1440</v>
      </c>
      <c r="J23" s="61"/>
      <c r="K23" s="60" t="s">
        <v>5</v>
      </c>
      <c r="L23" s="61"/>
      <c r="M23" s="62"/>
      <c r="N23" s="64"/>
      <c r="O23" s="60" t="s">
        <v>1417</v>
      </c>
      <c r="P23" s="61"/>
      <c r="Q23" s="62" t="s">
        <v>1415</v>
      </c>
      <c r="R23" s="61"/>
      <c r="S23" s="60"/>
      <c r="T23" s="61"/>
    </row>
    <row r="24" spans="2:20" ht="15.75" customHeight="1" x14ac:dyDescent="0.15">
      <c r="B24" s="25"/>
      <c r="C24" s="60" t="s">
        <v>1441</v>
      </c>
      <c r="D24" s="61"/>
      <c r="E24" s="60" t="s">
        <v>1437</v>
      </c>
      <c r="F24" s="61"/>
      <c r="G24" s="60"/>
      <c r="H24" s="61"/>
      <c r="I24" s="60" t="s">
        <v>1437</v>
      </c>
      <c r="J24" s="61"/>
      <c r="K24" s="60" t="s">
        <v>1433</v>
      </c>
      <c r="L24" s="61"/>
      <c r="M24" s="62"/>
      <c r="N24" s="64"/>
      <c r="O24" s="60" t="s">
        <v>1442</v>
      </c>
      <c r="P24" s="61"/>
      <c r="Q24" s="60" t="s">
        <v>9</v>
      </c>
      <c r="R24" s="61"/>
      <c r="S24" s="60"/>
      <c r="T24" s="61"/>
    </row>
    <row r="25" spans="2:20" ht="15.75" customHeight="1" x14ac:dyDescent="0.15">
      <c r="B25" s="25"/>
      <c r="C25" s="60"/>
      <c r="D25" s="61"/>
      <c r="E25" s="60"/>
      <c r="F25" s="61"/>
      <c r="G25" s="60"/>
      <c r="H25" s="61"/>
      <c r="I25" s="60"/>
      <c r="J25" s="61"/>
      <c r="K25" s="60"/>
      <c r="L25" s="61"/>
      <c r="M25" s="83"/>
      <c r="N25" s="84"/>
      <c r="O25" s="60"/>
      <c r="P25" s="61"/>
      <c r="Q25" s="60"/>
      <c r="R25" s="61"/>
      <c r="S25" s="60"/>
      <c r="T25" s="61"/>
    </row>
    <row r="26" spans="2:20" ht="15.75" customHeight="1" x14ac:dyDescent="0.15">
      <c r="B26" s="25"/>
      <c r="C26" s="65"/>
      <c r="D26" s="66"/>
      <c r="E26" s="65"/>
      <c r="F26" s="66"/>
      <c r="G26" s="65"/>
      <c r="H26" s="66"/>
      <c r="I26" s="65"/>
      <c r="J26" s="66"/>
      <c r="K26" s="65"/>
      <c r="L26" s="66"/>
      <c r="M26" s="65"/>
      <c r="N26" s="66"/>
      <c r="O26" s="81"/>
      <c r="P26" s="82"/>
      <c r="Q26" s="65"/>
      <c r="R26" s="66"/>
      <c r="S26" s="65"/>
      <c r="T26" s="66"/>
    </row>
    <row r="27" spans="2:20" ht="15.75" customHeight="1" x14ac:dyDescent="0.15">
      <c r="B27" s="25"/>
      <c r="T27" s="27"/>
    </row>
    <row r="28" spans="2:20" ht="15.75" customHeight="1" x14ac:dyDescent="0.15">
      <c r="B28" s="25"/>
      <c r="T28" s="27"/>
    </row>
    <row r="29" spans="2:20" ht="15.75" customHeight="1" x14ac:dyDescent="0.15">
      <c r="B29" s="25"/>
      <c r="T29" s="27"/>
    </row>
    <row r="30" spans="2:20" ht="15.75" customHeight="1" x14ac:dyDescent="0.15">
      <c r="B30" s="25"/>
      <c r="T30" s="27"/>
    </row>
    <row r="31" spans="2:20" ht="15.75" customHeight="1" x14ac:dyDescent="0.15">
      <c r="B31" s="28"/>
      <c r="C31" s="29"/>
      <c r="D31" s="29"/>
      <c r="E31" s="29"/>
      <c r="F31" s="29"/>
      <c r="G31" s="29"/>
      <c r="H31" s="29"/>
      <c r="I31" s="29"/>
      <c r="J31" s="29"/>
      <c r="K31" s="29"/>
      <c r="L31" s="29"/>
      <c r="M31" s="29"/>
      <c r="N31" s="29"/>
      <c r="Q31" s="29"/>
      <c r="R31" s="29"/>
      <c r="S31" s="29"/>
      <c r="T31" s="30"/>
    </row>
    <row r="33" spans="1:23" ht="15.75" customHeight="1" x14ac:dyDescent="0.15">
      <c r="A33" s="71" t="s">
        <v>1424</v>
      </c>
      <c r="B33" s="64"/>
      <c r="C33" s="64"/>
      <c r="D33" s="64"/>
      <c r="E33" s="64"/>
      <c r="F33" s="64"/>
      <c r="G33" s="64"/>
      <c r="H33" s="64"/>
      <c r="I33" s="64"/>
      <c r="J33" s="64"/>
      <c r="K33" s="64"/>
      <c r="L33" s="64"/>
      <c r="M33" s="64"/>
      <c r="N33" s="64"/>
      <c r="O33" s="64"/>
      <c r="P33" s="64"/>
      <c r="Q33" s="64"/>
      <c r="R33" s="64"/>
      <c r="S33" s="64"/>
      <c r="T33" s="64"/>
      <c r="U33" s="64"/>
      <c r="V33" s="64"/>
      <c r="W33" s="64"/>
    </row>
    <row r="34" spans="1:23" ht="15.75" customHeight="1" x14ac:dyDescent="0.15">
      <c r="A34" s="64"/>
      <c r="B34" s="64"/>
      <c r="C34" s="64"/>
      <c r="D34" s="64"/>
      <c r="E34" s="64"/>
      <c r="F34" s="64"/>
      <c r="G34" s="64"/>
      <c r="H34" s="64"/>
      <c r="I34" s="64"/>
      <c r="J34" s="64"/>
      <c r="K34" s="64"/>
      <c r="L34" s="64"/>
      <c r="M34" s="64"/>
      <c r="N34" s="64"/>
      <c r="O34" s="64"/>
      <c r="P34" s="64"/>
      <c r="Q34" s="64"/>
      <c r="R34" s="64"/>
      <c r="S34" s="64"/>
      <c r="T34" s="64"/>
      <c r="U34" s="64"/>
      <c r="V34" s="64"/>
      <c r="W34" s="64"/>
    </row>
    <row r="35" spans="1:23" ht="15.75" customHeight="1" x14ac:dyDescent="0.15">
      <c r="B35" s="7"/>
      <c r="C35" s="72" t="s">
        <v>1399</v>
      </c>
      <c r="D35" s="73"/>
      <c r="E35" s="73"/>
      <c r="F35" s="73"/>
      <c r="G35" s="73"/>
      <c r="H35" s="74"/>
      <c r="I35" s="75" t="s">
        <v>1400</v>
      </c>
      <c r="J35" s="73"/>
      <c r="K35" s="73"/>
      <c r="L35" s="73"/>
      <c r="M35" s="73"/>
      <c r="N35" s="74"/>
      <c r="O35" s="76" t="s">
        <v>1401</v>
      </c>
      <c r="P35" s="73"/>
      <c r="Q35" s="73"/>
      <c r="R35" s="73"/>
      <c r="S35" s="73"/>
      <c r="T35" s="74"/>
    </row>
    <row r="36" spans="1:23" ht="15.75" customHeight="1" x14ac:dyDescent="0.15">
      <c r="B36" s="8"/>
      <c r="C36" s="69" t="s">
        <v>1402</v>
      </c>
      <c r="D36" s="68"/>
      <c r="E36" s="77" t="s">
        <v>1403</v>
      </c>
      <c r="F36" s="68"/>
      <c r="G36" s="77" t="s">
        <v>1404</v>
      </c>
      <c r="H36" s="68"/>
      <c r="I36" s="69" t="s">
        <v>1402</v>
      </c>
      <c r="J36" s="68"/>
      <c r="K36" s="69" t="s">
        <v>1403</v>
      </c>
      <c r="L36" s="68"/>
      <c r="M36" s="69" t="s">
        <v>1404</v>
      </c>
      <c r="N36" s="68"/>
      <c r="O36" s="70" t="s">
        <v>1402</v>
      </c>
      <c r="P36" s="68"/>
      <c r="Q36" s="70" t="s">
        <v>1403</v>
      </c>
      <c r="R36" s="68"/>
      <c r="S36" s="70" t="s">
        <v>1404</v>
      </c>
      <c r="T36" s="68"/>
    </row>
    <row r="37" spans="1:23" ht="15.75" customHeight="1" x14ac:dyDescent="0.15">
      <c r="B37" s="8"/>
      <c r="C37" s="9" t="s">
        <v>1405</v>
      </c>
      <c r="D37" s="10" t="s">
        <v>1406</v>
      </c>
      <c r="E37" s="12" t="s">
        <v>1405</v>
      </c>
      <c r="F37" s="10" t="s">
        <v>1406</v>
      </c>
      <c r="G37" s="12" t="s">
        <v>1405</v>
      </c>
      <c r="H37" s="10" t="s">
        <v>1406</v>
      </c>
      <c r="I37" s="9" t="s">
        <v>1405</v>
      </c>
      <c r="J37" s="10" t="s">
        <v>1406</v>
      </c>
      <c r="K37" s="9" t="s">
        <v>1405</v>
      </c>
      <c r="L37" s="10" t="s">
        <v>1406</v>
      </c>
      <c r="M37" s="9" t="s">
        <v>1405</v>
      </c>
      <c r="N37" s="10" t="s">
        <v>1406</v>
      </c>
      <c r="O37" s="13" t="s">
        <v>1405</v>
      </c>
      <c r="P37" s="14" t="s">
        <v>1406</v>
      </c>
      <c r="Q37" s="13" t="s">
        <v>1405</v>
      </c>
      <c r="R37" s="14" t="s">
        <v>1406</v>
      </c>
      <c r="S37" s="13" t="s">
        <v>1405</v>
      </c>
      <c r="T37" s="14" t="s">
        <v>1406</v>
      </c>
    </row>
    <row r="38" spans="1:23" ht="15.75" customHeight="1" x14ac:dyDescent="0.15">
      <c r="B38" s="15" t="s">
        <v>1407</v>
      </c>
      <c r="C38" s="16">
        <v>58.06</v>
      </c>
      <c r="D38" s="17">
        <v>63.3</v>
      </c>
      <c r="E38" s="16">
        <v>67.739999999999995</v>
      </c>
      <c r="F38" s="17">
        <v>99.18</v>
      </c>
      <c r="G38" s="16">
        <v>62.36</v>
      </c>
      <c r="H38" s="17">
        <v>75.27</v>
      </c>
      <c r="I38" s="16">
        <v>58.06</v>
      </c>
      <c r="J38" s="17">
        <v>87.2</v>
      </c>
      <c r="K38" s="16">
        <v>65.59</v>
      </c>
      <c r="L38" s="17">
        <v>99.18</v>
      </c>
      <c r="M38" s="16">
        <v>63.44</v>
      </c>
      <c r="N38" s="17">
        <v>76.63</v>
      </c>
      <c r="O38" s="16">
        <v>58.69</v>
      </c>
      <c r="P38" s="17">
        <v>99.72</v>
      </c>
      <c r="Q38" s="16">
        <v>63.04</v>
      </c>
      <c r="R38" s="17">
        <v>100</v>
      </c>
      <c r="S38" s="16">
        <v>57.6</v>
      </c>
      <c r="T38" s="19">
        <v>80.87</v>
      </c>
    </row>
    <row r="39" spans="1:23" ht="15.75" customHeight="1" x14ac:dyDescent="0.15">
      <c r="B39" s="20" t="s">
        <v>1408</v>
      </c>
      <c r="C39" s="21">
        <v>58.12</v>
      </c>
      <c r="D39" s="22">
        <v>63.08</v>
      </c>
      <c r="E39" s="21">
        <v>67.63</v>
      </c>
      <c r="F39" s="22">
        <v>99.11</v>
      </c>
      <c r="G39" s="21">
        <v>62.36</v>
      </c>
      <c r="H39" s="22">
        <v>75.27</v>
      </c>
      <c r="I39" s="21">
        <v>58.19</v>
      </c>
      <c r="J39" s="22">
        <v>87.34</v>
      </c>
      <c r="K39" s="21">
        <v>65.34</v>
      </c>
      <c r="L39" s="22">
        <v>99.15</v>
      </c>
      <c r="M39" s="21">
        <v>63.4</v>
      </c>
      <c r="N39" s="22">
        <v>76.53</v>
      </c>
      <c r="O39" s="21">
        <v>58.99</v>
      </c>
      <c r="P39" s="22">
        <v>99.7</v>
      </c>
      <c r="Q39" s="21">
        <v>63.73</v>
      </c>
      <c r="R39" s="22">
        <v>100</v>
      </c>
      <c r="S39" s="21">
        <v>58.33</v>
      </c>
      <c r="T39" s="24">
        <v>80.38</v>
      </c>
    </row>
    <row r="40" spans="1:23" ht="15.75" customHeight="1" x14ac:dyDescent="0.15">
      <c r="B40" s="20" t="s">
        <v>1409</v>
      </c>
      <c r="C40" s="21">
        <v>58.12</v>
      </c>
      <c r="D40" s="22">
        <v>63.08</v>
      </c>
      <c r="E40" s="21">
        <v>67.63</v>
      </c>
      <c r="F40" s="22">
        <v>99.11</v>
      </c>
      <c r="G40" s="21">
        <v>62.36</v>
      </c>
      <c r="H40" s="22">
        <v>75.27</v>
      </c>
      <c r="I40" s="21">
        <v>58.19</v>
      </c>
      <c r="J40" s="22">
        <v>87.34</v>
      </c>
      <c r="K40" s="21">
        <v>65.34</v>
      </c>
      <c r="L40" s="22">
        <v>99.15</v>
      </c>
      <c r="M40" s="21">
        <v>63.4</v>
      </c>
      <c r="N40" s="22">
        <v>76.53</v>
      </c>
      <c r="O40" s="21">
        <v>58.99</v>
      </c>
      <c r="P40" s="22">
        <v>99.7</v>
      </c>
      <c r="Q40" s="21">
        <v>63.73</v>
      </c>
      <c r="R40" s="22">
        <v>100</v>
      </c>
      <c r="S40" s="21">
        <v>58.33</v>
      </c>
      <c r="T40" s="24">
        <v>80.38</v>
      </c>
    </row>
    <row r="41" spans="1:23" ht="15.75" customHeight="1" x14ac:dyDescent="0.15">
      <c r="B41" s="20" t="s">
        <v>1410</v>
      </c>
      <c r="C41" s="21">
        <v>58.12</v>
      </c>
      <c r="D41" s="22">
        <v>63.09</v>
      </c>
      <c r="E41" s="21">
        <v>67.72</v>
      </c>
      <c r="F41" s="22">
        <v>99.25</v>
      </c>
      <c r="G41" s="21">
        <v>62.34</v>
      </c>
      <c r="H41" s="22">
        <v>75.16</v>
      </c>
      <c r="I41" s="21">
        <v>58.23</v>
      </c>
      <c r="J41" s="22">
        <v>87.15</v>
      </c>
      <c r="K41" s="21">
        <v>65.739999999999995</v>
      </c>
      <c r="L41" s="22">
        <v>99.2</v>
      </c>
      <c r="M41" s="21">
        <v>63.4</v>
      </c>
      <c r="N41" s="22">
        <v>76.489999999999995</v>
      </c>
      <c r="O41" s="21">
        <v>59.13</v>
      </c>
      <c r="P41" s="22">
        <v>99.75</v>
      </c>
      <c r="Q41" s="21">
        <v>65.099999999999994</v>
      </c>
      <c r="R41" s="22">
        <v>100</v>
      </c>
      <c r="S41" s="21">
        <v>59.3</v>
      </c>
      <c r="T41" s="24">
        <v>80.989999999999995</v>
      </c>
    </row>
    <row r="42" spans="1:23" ht="15.75" customHeight="1" x14ac:dyDescent="0.15">
      <c r="B42" s="20" t="s">
        <v>1411</v>
      </c>
      <c r="C42" s="21">
        <v>58.06</v>
      </c>
      <c r="D42" s="22">
        <v>63.08</v>
      </c>
      <c r="E42" s="21">
        <v>67.64</v>
      </c>
      <c r="F42" s="22">
        <v>99.17</v>
      </c>
      <c r="G42" s="21">
        <v>62.34</v>
      </c>
      <c r="H42" s="22">
        <v>75.19</v>
      </c>
      <c r="I42" s="21">
        <v>58.04</v>
      </c>
      <c r="J42" s="22">
        <v>87.19</v>
      </c>
      <c r="K42" s="21">
        <v>65.260000000000005</v>
      </c>
      <c r="L42" s="22">
        <v>99.17</v>
      </c>
      <c r="M42" s="21">
        <v>63.4</v>
      </c>
      <c r="N42" s="22">
        <v>76.510000000000005</v>
      </c>
      <c r="O42" s="21">
        <v>58.61</v>
      </c>
      <c r="P42" s="22">
        <v>99.72</v>
      </c>
      <c r="Q42" s="21">
        <v>62.4</v>
      </c>
      <c r="R42" s="22">
        <v>100</v>
      </c>
      <c r="S42" s="21">
        <v>56.74</v>
      </c>
      <c r="T42" s="24">
        <v>80.56</v>
      </c>
    </row>
    <row r="43" spans="1:23" ht="15.75" customHeight="1" x14ac:dyDescent="0.15">
      <c r="B43" s="25"/>
      <c r="C43" s="26"/>
      <c r="E43" s="26"/>
      <c r="G43" s="26"/>
      <c r="I43" s="26"/>
      <c r="K43" s="26"/>
      <c r="M43" s="26"/>
      <c r="O43" s="26"/>
      <c r="Q43" s="26"/>
      <c r="S43" s="26"/>
      <c r="T43" s="27"/>
    </row>
    <row r="44" spans="1:23" ht="15.75" customHeight="1" x14ac:dyDescent="0.15">
      <c r="B44" s="25"/>
      <c r="C44" s="26"/>
      <c r="E44" s="26"/>
      <c r="G44" s="26"/>
      <c r="I44" s="26"/>
      <c r="K44" s="26"/>
      <c r="M44" s="26"/>
      <c r="O44" s="26"/>
      <c r="Q44" s="26"/>
      <c r="S44" s="26"/>
      <c r="T44" s="27"/>
    </row>
    <row r="45" spans="1:23" ht="15.75" customHeight="1" x14ac:dyDescent="0.15">
      <c r="B45" s="25"/>
      <c r="C45" s="26"/>
      <c r="E45" s="26"/>
      <c r="G45" s="26"/>
      <c r="I45" s="26"/>
      <c r="K45" s="26"/>
      <c r="M45" s="26"/>
      <c r="O45" s="26"/>
      <c r="Q45" s="26"/>
      <c r="S45" s="26"/>
      <c r="T45" s="27"/>
    </row>
    <row r="46" spans="1:23" ht="15.75" customHeight="1" x14ac:dyDescent="0.15">
      <c r="B46" s="25"/>
      <c r="C46" s="67" t="s">
        <v>1412</v>
      </c>
      <c r="D46" s="68"/>
      <c r="E46" s="67" t="s">
        <v>1412</v>
      </c>
      <c r="F46" s="68"/>
      <c r="G46" s="67" t="s">
        <v>1412</v>
      </c>
      <c r="H46" s="68"/>
      <c r="I46" s="67" t="s">
        <v>1412</v>
      </c>
      <c r="J46" s="68"/>
      <c r="K46" s="67" t="s">
        <v>1412</v>
      </c>
      <c r="L46" s="68"/>
      <c r="M46" s="67" t="s">
        <v>1412</v>
      </c>
      <c r="N46" s="68"/>
      <c r="O46" s="67" t="s">
        <v>1412</v>
      </c>
      <c r="P46" s="68"/>
      <c r="Q46" s="67" t="s">
        <v>1412</v>
      </c>
      <c r="R46" s="68"/>
      <c r="S46" s="67" t="s">
        <v>1412</v>
      </c>
      <c r="T46" s="68"/>
      <c r="U46" s="64"/>
      <c r="V46" s="64"/>
    </row>
    <row r="47" spans="1:23" ht="15.75" customHeight="1" x14ac:dyDescent="0.15">
      <c r="B47" s="25"/>
      <c r="C47" s="60" t="s">
        <v>6</v>
      </c>
      <c r="D47" s="61"/>
      <c r="E47" s="60" t="s">
        <v>1431</v>
      </c>
      <c r="F47" s="61"/>
      <c r="G47" s="60"/>
      <c r="H47" s="61"/>
      <c r="I47" s="60" t="s">
        <v>6</v>
      </c>
      <c r="J47" s="61"/>
      <c r="K47" s="60" t="s">
        <v>1431</v>
      </c>
      <c r="L47" s="61"/>
      <c r="M47" s="62"/>
      <c r="N47" s="61"/>
      <c r="O47" s="62" t="s">
        <v>1425</v>
      </c>
      <c r="P47" s="61"/>
      <c r="Q47" s="60" t="s">
        <v>1431</v>
      </c>
      <c r="R47" s="61"/>
      <c r="S47" s="60"/>
      <c r="T47" s="61"/>
    </row>
    <row r="48" spans="1:23" ht="15.75" customHeight="1" x14ac:dyDescent="0.15">
      <c r="B48" s="25"/>
      <c r="C48" s="60" t="s">
        <v>8</v>
      </c>
      <c r="D48" s="61"/>
      <c r="E48" s="60" t="s">
        <v>6</v>
      </c>
      <c r="F48" s="61"/>
      <c r="G48" s="60"/>
      <c r="H48" s="61"/>
      <c r="I48" s="60" t="s">
        <v>5</v>
      </c>
      <c r="J48" s="61"/>
      <c r="K48" s="60" t="s">
        <v>6</v>
      </c>
      <c r="L48" s="61"/>
      <c r="M48" s="64"/>
      <c r="N48" s="64"/>
      <c r="O48" s="62" t="s">
        <v>1439</v>
      </c>
      <c r="P48" s="61"/>
      <c r="Q48" s="60" t="s">
        <v>6</v>
      </c>
      <c r="R48" s="61"/>
      <c r="S48" s="60"/>
      <c r="T48" s="61"/>
    </row>
    <row r="49" spans="2:20" ht="15.75" customHeight="1" x14ac:dyDescent="0.15">
      <c r="B49" s="25"/>
      <c r="C49" s="60" t="s">
        <v>1414</v>
      </c>
      <c r="D49" s="61"/>
      <c r="E49" s="60" t="s">
        <v>8</v>
      </c>
      <c r="F49" s="61"/>
      <c r="G49" s="60"/>
      <c r="H49" s="61"/>
      <c r="I49" s="60" t="s">
        <v>8</v>
      </c>
      <c r="J49" s="61"/>
      <c r="K49" s="60" t="s">
        <v>9</v>
      </c>
      <c r="L49" s="61"/>
      <c r="M49" s="64"/>
      <c r="N49" s="64"/>
      <c r="O49" s="63" t="s">
        <v>1443</v>
      </c>
      <c r="P49" s="64"/>
      <c r="Q49" s="60" t="s">
        <v>1414</v>
      </c>
      <c r="R49" s="61"/>
      <c r="S49" s="60"/>
      <c r="T49" s="61"/>
    </row>
    <row r="50" spans="2:20" ht="15.75" customHeight="1" x14ac:dyDescent="0.15">
      <c r="B50" s="25"/>
      <c r="C50" s="60" t="s">
        <v>1431</v>
      </c>
      <c r="D50" s="61"/>
      <c r="E50" s="80" t="s">
        <v>1414</v>
      </c>
      <c r="F50" s="64"/>
      <c r="G50" s="60"/>
      <c r="H50" s="61"/>
      <c r="I50" s="60" t="s">
        <v>1413</v>
      </c>
      <c r="J50" s="61"/>
      <c r="K50" s="60" t="s">
        <v>1414</v>
      </c>
      <c r="L50" s="61"/>
      <c r="M50" s="64"/>
      <c r="N50" s="64"/>
      <c r="O50" s="62" t="s">
        <v>1435</v>
      </c>
      <c r="P50" s="61"/>
      <c r="Q50" s="60" t="s">
        <v>7</v>
      </c>
      <c r="R50" s="61"/>
      <c r="S50" s="60"/>
      <c r="T50" s="61"/>
    </row>
    <row r="51" spans="2:20" ht="15.75" customHeight="1" x14ac:dyDescent="0.15">
      <c r="B51" s="25"/>
      <c r="C51" s="60" t="s">
        <v>9</v>
      </c>
      <c r="D51" s="61"/>
      <c r="E51" s="80" t="s">
        <v>5</v>
      </c>
      <c r="F51" s="64"/>
      <c r="G51" s="60"/>
      <c r="H51" s="61"/>
      <c r="I51" s="60" t="s">
        <v>1414</v>
      </c>
      <c r="J51" s="61"/>
      <c r="K51" s="60" t="s">
        <v>8</v>
      </c>
      <c r="L51" s="61"/>
      <c r="M51" s="62"/>
      <c r="N51" s="61"/>
      <c r="O51" s="62" t="s">
        <v>1417</v>
      </c>
      <c r="P51" s="61"/>
      <c r="Q51" s="60" t="s">
        <v>1417</v>
      </c>
      <c r="R51" s="61"/>
      <c r="S51" s="60"/>
      <c r="T51" s="61"/>
    </row>
    <row r="52" spans="2:20" ht="15.75" customHeight="1" x14ac:dyDescent="0.15">
      <c r="B52" s="25"/>
      <c r="C52" s="60" t="s">
        <v>7</v>
      </c>
      <c r="D52" s="61"/>
      <c r="E52" s="60" t="s">
        <v>9</v>
      </c>
      <c r="F52" s="61"/>
      <c r="G52" s="60"/>
      <c r="H52" s="61"/>
      <c r="I52" s="60" t="s">
        <v>1431</v>
      </c>
      <c r="J52" s="61"/>
      <c r="K52" s="60" t="s">
        <v>5</v>
      </c>
      <c r="L52" s="61"/>
      <c r="M52" s="64"/>
      <c r="N52" s="64"/>
      <c r="O52" s="63" t="s">
        <v>1436</v>
      </c>
      <c r="P52" s="64"/>
      <c r="Q52" s="60" t="s">
        <v>9</v>
      </c>
      <c r="R52" s="61"/>
      <c r="S52" s="60"/>
      <c r="T52" s="61"/>
    </row>
    <row r="53" spans="2:20" ht="15.75" customHeight="1" x14ac:dyDescent="0.15">
      <c r="B53" s="25"/>
      <c r="C53" s="60" t="s">
        <v>5</v>
      </c>
      <c r="D53" s="61"/>
      <c r="E53" s="60" t="s">
        <v>7</v>
      </c>
      <c r="F53" s="61"/>
      <c r="G53" s="60"/>
      <c r="H53" s="61"/>
      <c r="I53" s="60" t="s">
        <v>9</v>
      </c>
      <c r="J53" s="61"/>
      <c r="K53" s="60" t="s">
        <v>7</v>
      </c>
      <c r="L53" s="61"/>
      <c r="M53" s="64"/>
      <c r="N53" s="64"/>
      <c r="O53" s="62" t="s">
        <v>1442</v>
      </c>
      <c r="P53" s="61"/>
      <c r="Q53" s="60" t="s">
        <v>4</v>
      </c>
      <c r="R53" s="61"/>
      <c r="S53" s="60"/>
      <c r="T53" s="61"/>
    </row>
    <row r="54" spans="2:20" ht="15.75" customHeight="1" x14ac:dyDescent="0.15">
      <c r="B54" s="25"/>
      <c r="C54" s="60" t="s">
        <v>1433</v>
      </c>
      <c r="D54" s="61"/>
      <c r="E54" s="60" t="s">
        <v>4</v>
      </c>
      <c r="F54" s="61"/>
      <c r="G54" s="60"/>
      <c r="H54" s="61"/>
      <c r="I54" s="60" t="s">
        <v>1433</v>
      </c>
      <c r="J54" s="61"/>
      <c r="K54" s="60" t="s">
        <v>1413</v>
      </c>
      <c r="L54" s="61"/>
      <c r="M54" s="64"/>
      <c r="N54" s="64"/>
      <c r="O54" s="62" t="s">
        <v>1422</v>
      </c>
      <c r="P54" s="61"/>
      <c r="Q54" s="62" t="s">
        <v>1415</v>
      </c>
      <c r="R54" s="61"/>
      <c r="S54" s="60"/>
      <c r="T54" s="61"/>
    </row>
    <row r="55" spans="2:20" ht="15.75" customHeight="1" x14ac:dyDescent="0.15">
      <c r="B55" s="25"/>
      <c r="C55" s="60" t="s">
        <v>1437</v>
      </c>
      <c r="D55" s="61"/>
      <c r="E55" s="60" t="s">
        <v>1437</v>
      </c>
      <c r="F55" s="61"/>
      <c r="G55" s="60"/>
      <c r="H55" s="61"/>
      <c r="I55" s="60" t="s">
        <v>1441</v>
      </c>
      <c r="J55" s="61"/>
      <c r="K55" s="60" t="s">
        <v>4</v>
      </c>
      <c r="L55" s="61"/>
      <c r="M55" s="64"/>
      <c r="N55" s="64"/>
      <c r="O55" s="62" t="s">
        <v>1438</v>
      </c>
      <c r="P55" s="61"/>
      <c r="Q55" s="60" t="s">
        <v>5</v>
      </c>
      <c r="R55" s="61"/>
      <c r="S55" s="60"/>
      <c r="T55" s="61"/>
    </row>
    <row r="56" spans="2:20" ht="15.75" customHeight="1" x14ac:dyDescent="0.15">
      <c r="B56" s="25"/>
      <c r="C56" s="60" t="s">
        <v>4</v>
      </c>
      <c r="D56" s="61"/>
      <c r="E56" s="60" t="s">
        <v>1433</v>
      </c>
      <c r="F56" s="61"/>
      <c r="G56" s="60"/>
      <c r="H56" s="61"/>
      <c r="I56" s="60" t="s">
        <v>1437</v>
      </c>
      <c r="J56" s="61"/>
      <c r="K56" s="60" t="s">
        <v>1437</v>
      </c>
      <c r="L56" s="61"/>
      <c r="M56" s="64"/>
      <c r="N56" s="64"/>
      <c r="O56" s="62" t="s">
        <v>1444</v>
      </c>
      <c r="P56" s="61"/>
      <c r="Q56" s="60" t="s">
        <v>1420</v>
      </c>
      <c r="R56" s="61"/>
      <c r="S56" s="60"/>
      <c r="T56" s="61"/>
    </row>
    <row r="57" spans="2:20" ht="15.75" customHeight="1" x14ac:dyDescent="0.15">
      <c r="B57" s="25"/>
      <c r="C57" s="60"/>
      <c r="D57" s="61"/>
      <c r="E57" s="60"/>
      <c r="F57" s="61"/>
      <c r="G57" s="60"/>
      <c r="H57" s="61"/>
      <c r="I57" s="60"/>
      <c r="J57" s="61"/>
      <c r="K57" s="64"/>
      <c r="L57" s="64"/>
      <c r="M57" s="60"/>
      <c r="N57" s="61"/>
      <c r="O57" s="60"/>
      <c r="P57" s="61"/>
      <c r="Q57" s="60"/>
      <c r="R57" s="61"/>
      <c r="S57" s="60"/>
      <c r="T57" s="61"/>
    </row>
    <row r="58" spans="2:20" ht="15.75" customHeight="1" x14ac:dyDescent="0.15">
      <c r="B58" s="25"/>
      <c r="C58" s="65"/>
      <c r="D58" s="66"/>
      <c r="E58" s="65"/>
      <c r="F58" s="66"/>
      <c r="G58" s="65"/>
      <c r="H58" s="66"/>
      <c r="I58" s="65"/>
      <c r="J58" s="66"/>
      <c r="K58" s="65"/>
      <c r="L58" s="66"/>
      <c r="M58" s="65"/>
      <c r="N58" s="66"/>
      <c r="O58" s="65"/>
      <c r="P58" s="66"/>
      <c r="Q58" s="65"/>
      <c r="R58" s="66"/>
      <c r="S58" s="65"/>
      <c r="T58" s="66"/>
    </row>
    <row r="59" spans="2:20" ht="15.75" customHeight="1" x14ac:dyDescent="0.15">
      <c r="B59" s="25"/>
      <c r="T59" s="27"/>
    </row>
    <row r="60" spans="2:20" ht="15.75" customHeight="1" x14ac:dyDescent="0.15">
      <c r="B60" s="25"/>
      <c r="T60" s="27"/>
    </row>
    <row r="61" spans="2:20" ht="15.75" customHeight="1" x14ac:dyDescent="0.15">
      <c r="B61" s="25"/>
      <c r="T61" s="27"/>
    </row>
    <row r="62" spans="2:20" ht="15.75" customHeight="1" x14ac:dyDescent="0.15">
      <c r="B62" s="25"/>
      <c r="T62" s="27"/>
    </row>
    <row r="63" spans="2:20" ht="15.75" customHeight="1" x14ac:dyDescent="0.15">
      <c r="B63" s="28"/>
      <c r="C63" s="29"/>
      <c r="D63" s="29"/>
      <c r="E63" s="29"/>
      <c r="F63" s="29"/>
      <c r="G63" s="29"/>
      <c r="H63" s="29"/>
      <c r="I63" s="29"/>
      <c r="J63" s="29"/>
      <c r="K63" s="29"/>
      <c r="L63" s="29"/>
      <c r="M63" s="29"/>
      <c r="N63" s="29"/>
      <c r="O63" s="29"/>
      <c r="P63" s="29"/>
      <c r="Q63" s="29"/>
      <c r="R63" s="29"/>
      <c r="S63" s="29"/>
      <c r="T63" s="30"/>
    </row>
  </sheetData>
  <mergeCells count="261">
    <mergeCell ref="O25:P25"/>
    <mergeCell ref="Q16:R16"/>
    <mergeCell ref="S16:T16"/>
    <mergeCell ref="C16:D16"/>
    <mergeCell ref="E16:F16"/>
    <mergeCell ref="G16:H16"/>
    <mergeCell ref="I16:J16"/>
    <mergeCell ref="K16:L16"/>
    <mergeCell ref="M16:N16"/>
    <mergeCell ref="O16:P16"/>
    <mergeCell ref="O18:P18"/>
    <mergeCell ref="Q17:R17"/>
    <mergeCell ref="S17:T17"/>
    <mergeCell ref="C17:D17"/>
    <mergeCell ref="E17:F17"/>
    <mergeCell ref="G17:H17"/>
    <mergeCell ref="I17:J17"/>
    <mergeCell ref="K17:L17"/>
    <mergeCell ref="M17:N17"/>
    <mergeCell ref="O17:P17"/>
    <mergeCell ref="A1:W2"/>
    <mergeCell ref="C3:H3"/>
    <mergeCell ref="I3:N3"/>
    <mergeCell ref="O3:T3"/>
    <mergeCell ref="C4:D4"/>
    <mergeCell ref="E4:F4"/>
    <mergeCell ref="G4:H4"/>
    <mergeCell ref="Q26:R26"/>
    <mergeCell ref="S26:T26"/>
    <mergeCell ref="C26:D26"/>
    <mergeCell ref="E26:F26"/>
    <mergeCell ref="G26:H26"/>
    <mergeCell ref="I26:J26"/>
    <mergeCell ref="K26:L26"/>
    <mergeCell ref="M26:N26"/>
    <mergeCell ref="O26:P26"/>
    <mergeCell ref="Q18:R18"/>
    <mergeCell ref="S18:T18"/>
    <mergeCell ref="C18:D18"/>
    <mergeCell ref="E18:F18"/>
    <mergeCell ref="G18:H18"/>
    <mergeCell ref="I18:J18"/>
    <mergeCell ref="K18:L18"/>
    <mergeCell ref="M18:N18"/>
    <mergeCell ref="M14:N14"/>
    <mergeCell ref="O14:P14"/>
    <mergeCell ref="Q14:R14"/>
    <mergeCell ref="S14:T14"/>
    <mergeCell ref="I4:J4"/>
    <mergeCell ref="K4:L4"/>
    <mergeCell ref="C14:D14"/>
    <mergeCell ref="E14:F14"/>
    <mergeCell ref="G14:H14"/>
    <mergeCell ref="I14:J14"/>
    <mergeCell ref="K14:L14"/>
    <mergeCell ref="M4:N4"/>
    <mergeCell ref="O4:P4"/>
    <mergeCell ref="Q4:R4"/>
    <mergeCell ref="S4:T4"/>
    <mergeCell ref="Q15:R15"/>
    <mergeCell ref="S15:T15"/>
    <mergeCell ref="C15:D15"/>
    <mergeCell ref="E15:F15"/>
    <mergeCell ref="G15:H15"/>
    <mergeCell ref="I15:J15"/>
    <mergeCell ref="K15:L15"/>
    <mergeCell ref="M15:N15"/>
    <mergeCell ref="O15:P15"/>
    <mergeCell ref="Q19:R19"/>
    <mergeCell ref="S19:T19"/>
    <mergeCell ref="C19:D19"/>
    <mergeCell ref="E19:F19"/>
    <mergeCell ref="G19:H19"/>
    <mergeCell ref="I19:J19"/>
    <mergeCell ref="K19:L19"/>
    <mergeCell ref="M19:N19"/>
    <mergeCell ref="O19:P19"/>
    <mergeCell ref="Q20:R20"/>
    <mergeCell ref="S20:T20"/>
    <mergeCell ref="C20:D20"/>
    <mergeCell ref="E20:F20"/>
    <mergeCell ref="G20:H20"/>
    <mergeCell ref="I20:J20"/>
    <mergeCell ref="K20:L20"/>
    <mergeCell ref="M20:N20"/>
    <mergeCell ref="O20:P20"/>
    <mergeCell ref="Q21:R21"/>
    <mergeCell ref="S21:T21"/>
    <mergeCell ref="C21:D21"/>
    <mergeCell ref="E21:F21"/>
    <mergeCell ref="G21:H21"/>
    <mergeCell ref="I21:J21"/>
    <mergeCell ref="K21:L21"/>
    <mergeCell ref="M21:N21"/>
    <mergeCell ref="O21:P21"/>
    <mergeCell ref="Q22:R22"/>
    <mergeCell ref="S22:T22"/>
    <mergeCell ref="C22:D22"/>
    <mergeCell ref="E22:F22"/>
    <mergeCell ref="G22:H22"/>
    <mergeCell ref="I22:J22"/>
    <mergeCell ref="K22:L22"/>
    <mergeCell ref="M22:N22"/>
    <mergeCell ref="O22:P22"/>
    <mergeCell ref="Q23:R23"/>
    <mergeCell ref="S23:T23"/>
    <mergeCell ref="C23:D23"/>
    <mergeCell ref="E23:F23"/>
    <mergeCell ref="G23:H23"/>
    <mergeCell ref="I23:J23"/>
    <mergeCell ref="K23:L23"/>
    <mergeCell ref="M23:N23"/>
    <mergeCell ref="O23:P23"/>
    <mergeCell ref="A33:W34"/>
    <mergeCell ref="C35:H35"/>
    <mergeCell ref="I35:N35"/>
    <mergeCell ref="O35:T35"/>
    <mergeCell ref="C36:D36"/>
    <mergeCell ref="E36:F36"/>
    <mergeCell ref="G36:H36"/>
    <mergeCell ref="Q24:R24"/>
    <mergeCell ref="S24:T24"/>
    <mergeCell ref="C24:D24"/>
    <mergeCell ref="E24:F24"/>
    <mergeCell ref="G24:H24"/>
    <mergeCell ref="I24:J24"/>
    <mergeCell ref="K24:L24"/>
    <mergeCell ref="M24:N24"/>
    <mergeCell ref="O24:P24"/>
    <mergeCell ref="Q25:R25"/>
    <mergeCell ref="S25:T25"/>
    <mergeCell ref="C25:D25"/>
    <mergeCell ref="E25:F25"/>
    <mergeCell ref="G25:H25"/>
    <mergeCell ref="I25:J25"/>
    <mergeCell ref="K25:L25"/>
    <mergeCell ref="M25:N25"/>
    <mergeCell ref="M46:N46"/>
    <mergeCell ref="O46:P46"/>
    <mergeCell ref="Q46:R46"/>
    <mergeCell ref="S46:T46"/>
    <mergeCell ref="U46:V46"/>
    <mergeCell ref="I36:J36"/>
    <mergeCell ref="K36:L36"/>
    <mergeCell ref="C46:D46"/>
    <mergeCell ref="E46:F46"/>
    <mergeCell ref="G46:H46"/>
    <mergeCell ref="I46:J46"/>
    <mergeCell ref="K46:L46"/>
    <mergeCell ref="M36:N36"/>
    <mergeCell ref="O36:P36"/>
    <mergeCell ref="Q36:R36"/>
    <mergeCell ref="S36:T36"/>
    <mergeCell ref="Q57:R57"/>
    <mergeCell ref="S57:T57"/>
    <mergeCell ref="C57:D57"/>
    <mergeCell ref="E57:F57"/>
    <mergeCell ref="G57:H57"/>
    <mergeCell ref="I57:J57"/>
    <mergeCell ref="K57:L57"/>
    <mergeCell ref="M57:N57"/>
    <mergeCell ref="O57:P57"/>
    <mergeCell ref="Q47:R47"/>
    <mergeCell ref="S47:T47"/>
    <mergeCell ref="C47:D47"/>
    <mergeCell ref="E47:F47"/>
    <mergeCell ref="G47:H47"/>
    <mergeCell ref="I47:J47"/>
    <mergeCell ref="K47:L47"/>
    <mergeCell ref="M47:N47"/>
    <mergeCell ref="O47:P47"/>
    <mergeCell ref="Q48:R48"/>
    <mergeCell ref="S48:T48"/>
    <mergeCell ref="C48:D48"/>
    <mergeCell ref="E48:F48"/>
    <mergeCell ref="G48:H48"/>
    <mergeCell ref="I48:J48"/>
    <mergeCell ref="K48:L48"/>
    <mergeCell ref="M48:N48"/>
    <mergeCell ref="O48:P48"/>
    <mergeCell ref="Q49:R49"/>
    <mergeCell ref="S49:T49"/>
    <mergeCell ref="C49:D49"/>
    <mergeCell ref="E49:F49"/>
    <mergeCell ref="G49:H49"/>
    <mergeCell ref="I49:J49"/>
    <mergeCell ref="K49:L49"/>
    <mergeCell ref="M49:N49"/>
    <mergeCell ref="O49:P49"/>
    <mergeCell ref="Q58:R58"/>
    <mergeCell ref="S58:T58"/>
    <mergeCell ref="C58:D58"/>
    <mergeCell ref="E58:F58"/>
    <mergeCell ref="G58:H58"/>
    <mergeCell ref="I58:J58"/>
    <mergeCell ref="K58:L58"/>
    <mergeCell ref="M58:N58"/>
    <mergeCell ref="O58:P58"/>
    <mergeCell ref="Q50:R50"/>
    <mergeCell ref="S50:T50"/>
    <mergeCell ref="C50:D50"/>
    <mergeCell ref="E50:F50"/>
    <mergeCell ref="G50:H50"/>
    <mergeCell ref="I50:J50"/>
    <mergeCell ref="K50:L50"/>
    <mergeCell ref="M50:N50"/>
    <mergeCell ref="O50:P50"/>
    <mergeCell ref="Q51:R51"/>
    <mergeCell ref="S51:T51"/>
    <mergeCell ref="C51:D51"/>
    <mergeCell ref="E51:F51"/>
    <mergeCell ref="G51:H51"/>
    <mergeCell ref="I51:J51"/>
    <mergeCell ref="K51:L51"/>
    <mergeCell ref="M51:N51"/>
    <mergeCell ref="O51:P51"/>
    <mergeCell ref="Q52:R52"/>
    <mergeCell ref="S52:T52"/>
    <mergeCell ref="C52:D52"/>
    <mergeCell ref="E52:F52"/>
    <mergeCell ref="G52:H52"/>
    <mergeCell ref="I52:J52"/>
    <mergeCell ref="K52:L52"/>
    <mergeCell ref="M52:N52"/>
    <mergeCell ref="O52:P52"/>
    <mergeCell ref="Q53:R53"/>
    <mergeCell ref="S53:T53"/>
    <mergeCell ref="C53:D53"/>
    <mergeCell ref="E53:F53"/>
    <mergeCell ref="G53:H53"/>
    <mergeCell ref="I53:J53"/>
    <mergeCell ref="K53:L53"/>
    <mergeCell ref="M53:N53"/>
    <mergeCell ref="O53:P53"/>
    <mergeCell ref="Q54:R54"/>
    <mergeCell ref="S54:T54"/>
    <mergeCell ref="C54:D54"/>
    <mergeCell ref="E54:F54"/>
    <mergeCell ref="G54:H54"/>
    <mergeCell ref="I54:J54"/>
    <mergeCell ref="K54:L54"/>
    <mergeCell ref="M54:N54"/>
    <mergeCell ref="O54:P54"/>
    <mergeCell ref="Q55:R55"/>
    <mergeCell ref="S55:T55"/>
    <mergeCell ref="C55:D55"/>
    <mergeCell ref="E55:F55"/>
    <mergeCell ref="G55:H55"/>
    <mergeCell ref="I55:J55"/>
    <mergeCell ref="K55:L55"/>
    <mergeCell ref="M55:N55"/>
    <mergeCell ref="O55:P55"/>
    <mergeCell ref="Q56:R56"/>
    <mergeCell ref="S56:T56"/>
    <mergeCell ref="C56:D56"/>
    <mergeCell ref="E56:F56"/>
    <mergeCell ref="G56:H56"/>
    <mergeCell ref="I56:J56"/>
    <mergeCell ref="K56:L56"/>
    <mergeCell ref="M56:N56"/>
    <mergeCell ref="O56:P5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66"/>
  <sheetViews>
    <sheetView topLeftCell="D1" zoomScale="226" workbookViewId="0">
      <selection activeCell="O16" sqref="O16:P16"/>
    </sheetView>
  </sheetViews>
  <sheetFormatPr baseColWidth="10" defaultColWidth="12.6640625" defaultRowHeight="15.75" customHeight="1" x14ac:dyDescent="0.15"/>
  <cols>
    <col min="16" max="16" width="25.83203125" customWidth="1"/>
    <col min="18" max="18" width="17.83203125" customWidth="1"/>
  </cols>
  <sheetData>
    <row r="1" spans="1:23" ht="15.75" customHeight="1" x14ac:dyDescent="0.15">
      <c r="A1" s="71" t="s">
        <v>1398</v>
      </c>
      <c r="B1" s="64"/>
      <c r="C1" s="64"/>
      <c r="D1" s="64"/>
      <c r="E1" s="64"/>
      <c r="F1" s="64"/>
      <c r="G1" s="64"/>
      <c r="H1" s="64"/>
      <c r="I1" s="64"/>
      <c r="J1" s="64"/>
      <c r="K1" s="64"/>
      <c r="L1" s="64"/>
      <c r="M1" s="64"/>
      <c r="N1" s="64"/>
      <c r="O1" s="64"/>
      <c r="P1" s="64"/>
      <c r="Q1" s="64"/>
      <c r="R1" s="64"/>
      <c r="S1" s="64"/>
      <c r="T1" s="64"/>
      <c r="U1" s="64"/>
      <c r="V1" s="64"/>
      <c r="W1" s="64"/>
    </row>
    <row r="2" spans="1:23" ht="15.75" customHeight="1" x14ac:dyDescent="0.15">
      <c r="A2" s="64"/>
      <c r="B2" s="64"/>
      <c r="C2" s="64"/>
      <c r="D2" s="64"/>
      <c r="E2" s="64"/>
      <c r="F2" s="64"/>
      <c r="G2" s="64"/>
      <c r="H2" s="64"/>
      <c r="I2" s="64"/>
      <c r="J2" s="64"/>
      <c r="K2" s="64"/>
      <c r="L2" s="64"/>
      <c r="M2" s="64"/>
      <c r="N2" s="64"/>
      <c r="O2" s="64"/>
      <c r="P2" s="64"/>
      <c r="Q2" s="64"/>
      <c r="R2" s="64"/>
      <c r="S2" s="64"/>
      <c r="T2" s="64"/>
      <c r="U2" s="64"/>
      <c r="V2" s="64"/>
      <c r="W2" s="64"/>
    </row>
    <row r="3" spans="1:23" ht="15.75" customHeight="1" x14ac:dyDescent="0.15">
      <c r="B3" s="7"/>
      <c r="C3" s="72" t="s">
        <v>1399</v>
      </c>
      <c r="D3" s="73"/>
      <c r="E3" s="73"/>
      <c r="F3" s="73"/>
      <c r="G3" s="73"/>
      <c r="H3" s="74"/>
      <c r="I3" s="75" t="s">
        <v>1400</v>
      </c>
      <c r="J3" s="73"/>
      <c r="K3" s="73"/>
      <c r="L3" s="73"/>
      <c r="M3" s="73"/>
      <c r="N3" s="74"/>
      <c r="O3" s="76" t="s">
        <v>1401</v>
      </c>
      <c r="P3" s="73"/>
      <c r="Q3" s="73"/>
      <c r="R3" s="73"/>
      <c r="S3" s="73"/>
      <c r="T3" s="78"/>
    </row>
    <row r="4" spans="1:23" ht="15.75" customHeight="1" x14ac:dyDescent="0.15">
      <c r="B4" s="8"/>
      <c r="C4" s="69" t="s">
        <v>1402</v>
      </c>
      <c r="D4" s="68"/>
      <c r="E4" s="77" t="s">
        <v>1403</v>
      </c>
      <c r="F4" s="68"/>
      <c r="G4" s="77" t="s">
        <v>1404</v>
      </c>
      <c r="H4" s="68"/>
      <c r="I4" s="69" t="s">
        <v>1402</v>
      </c>
      <c r="J4" s="68"/>
      <c r="K4" s="69" t="s">
        <v>1403</v>
      </c>
      <c r="L4" s="68"/>
      <c r="M4" s="69" t="s">
        <v>1404</v>
      </c>
      <c r="N4" s="68"/>
      <c r="O4" s="70" t="s">
        <v>1402</v>
      </c>
      <c r="P4" s="68"/>
      <c r="Q4" s="70" t="s">
        <v>1403</v>
      </c>
      <c r="R4" s="68"/>
      <c r="S4" s="70" t="s">
        <v>1404</v>
      </c>
      <c r="T4" s="68"/>
    </row>
    <row r="5" spans="1:23" ht="15.75" customHeight="1" x14ac:dyDescent="0.15">
      <c r="B5" s="8"/>
      <c r="C5" s="9" t="s">
        <v>1405</v>
      </c>
      <c r="D5" s="10" t="s">
        <v>1406</v>
      </c>
      <c r="E5" s="11" t="s">
        <v>1405</v>
      </c>
      <c r="F5" s="10" t="s">
        <v>1406</v>
      </c>
      <c r="G5" s="12" t="s">
        <v>1405</v>
      </c>
      <c r="H5" s="10" t="s">
        <v>1406</v>
      </c>
      <c r="I5" s="9" t="s">
        <v>1405</v>
      </c>
      <c r="J5" s="10" t="s">
        <v>1406</v>
      </c>
      <c r="K5" s="9" t="s">
        <v>1405</v>
      </c>
      <c r="L5" s="10" t="s">
        <v>1406</v>
      </c>
      <c r="M5" s="9" t="s">
        <v>1405</v>
      </c>
      <c r="N5" s="10" t="s">
        <v>1406</v>
      </c>
      <c r="O5" s="13" t="s">
        <v>1405</v>
      </c>
      <c r="P5" s="14" t="s">
        <v>1406</v>
      </c>
      <c r="Q5" s="13" t="s">
        <v>1405</v>
      </c>
      <c r="R5" s="14" t="s">
        <v>1406</v>
      </c>
      <c r="S5" s="13" t="s">
        <v>1405</v>
      </c>
      <c r="T5" s="14" t="s">
        <v>1406</v>
      </c>
    </row>
    <row r="6" spans="1:23" ht="15.75" customHeight="1" x14ac:dyDescent="0.15">
      <c r="B6" s="15" t="s">
        <v>1407</v>
      </c>
      <c r="C6" s="16">
        <v>55.1</v>
      </c>
      <c r="D6" s="17">
        <v>58.89</v>
      </c>
      <c r="E6" s="18">
        <v>55.91</v>
      </c>
      <c r="F6" s="17">
        <v>97.82</v>
      </c>
      <c r="G6" s="16">
        <v>53.8</v>
      </c>
      <c r="H6" s="17">
        <v>61.65</v>
      </c>
      <c r="I6" s="16">
        <v>49.67</v>
      </c>
      <c r="J6" s="17">
        <v>72.069999999999993</v>
      </c>
      <c r="K6" s="16">
        <v>60.2</v>
      </c>
      <c r="L6" s="17">
        <v>97.28</v>
      </c>
      <c r="M6" s="16">
        <v>54.02</v>
      </c>
      <c r="N6" s="17">
        <v>62.9</v>
      </c>
      <c r="O6" s="16">
        <v>48.03</v>
      </c>
      <c r="P6" s="17">
        <v>99.39</v>
      </c>
      <c r="Q6" s="16">
        <v>46.7</v>
      </c>
      <c r="R6" s="17">
        <v>99.72</v>
      </c>
      <c r="S6" s="16">
        <v>46.5</v>
      </c>
      <c r="T6" s="19">
        <v>68.099999999999994</v>
      </c>
    </row>
    <row r="7" spans="1:23" ht="15.75" customHeight="1" x14ac:dyDescent="0.15">
      <c r="B7" s="20" t="s">
        <v>1408</v>
      </c>
      <c r="C7" s="21">
        <v>46.9</v>
      </c>
      <c r="D7" s="22">
        <v>49.59</v>
      </c>
      <c r="E7" s="23">
        <v>47.59</v>
      </c>
      <c r="F7" s="22">
        <v>96.9</v>
      </c>
      <c r="G7" s="21">
        <v>44.3</v>
      </c>
      <c r="H7" s="22">
        <v>51.96</v>
      </c>
      <c r="I7" s="21">
        <v>42.99</v>
      </c>
      <c r="J7" s="22">
        <v>67</v>
      </c>
      <c r="K7" s="21">
        <v>50.97</v>
      </c>
      <c r="L7" s="22">
        <v>96.29</v>
      </c>
      <c r="M7" s="21">
        <v>44.8</v>
      </c>
      <c r="N7" s="22">
        <v>53.3</v>
      </c>
      <c r="O7" s="21">
        <v>42.01</v>
      </c>
      <c r="P7" s="22">
        <v>99.58</v>
      </c>
      <c r="Q7" s="21">
        <v>36.200000000000003</v>
      </c>
      <c r="R7" s="22">
        <v>99.7</v>
      </c>
      <c r="S7" s="21">
        <v>36.700000000000003</v>
      </c>
      <c r="T7" s="24">
        <v>58.3</v>
      </c>
    </row>
    <row r="8" spans="1:23" ht="15.75" customHeight="1" x14ac:dyDescent="0.15">
      <c r="B8" s="20" t="s">
        <v>1409</v>
      </c>
      <c r="C8" s="21">
        <v>46.9</v>
      </c>
      <c r="D8" s="22">
        <v>49.59</v>
      </c>
      <c r="E8" s="23">
        <v>47.59</v>
      </c>
      <c r="F8" s="22">
        <v>96.9</v>
      </c>
      <c r="G8" s="21">
        <v>44.3</v>
      </c>
      <c r="H8" s="22">
        <v>51.96</v>
      </c>
      <c r="I8" s="21">
        <v>42.99</v>
      </c>
      <c r="J8" s="22">
        <v>67</v>
      </c>
      <c r="K8" s="21">
        <v>50.97</v>
      </c>
      <c r="L8" s="22">
        <v>96.29</v>
      </c>
      <c r="M8" s="21">
        <v>44.8</v>
      </c>
      <c r="N8" s="22">
        <v>53.3</v>
      </c>
      <c r="O8" s="21">
        <v>42.01</v>
      </c>
      <c r="P8" s="22">
        <v>99.58</v>
      </c>
      <c r="Q8" s="21">
        <v>36.200000000000003</v>
      </c>
      <c r="R8" s="22">
        <v>99.7</v>
      </c>
      <c r="S8" s="21">
        <v>36.700000000000003</v>
      </c>
      <c r="T8" s="24">
        <v>58.3</v>
      </c>
    </row>
    <row r="9" spans="1:23" ht="15.75" customHeight="1" x14ac:dyDescent="0.15">
      <c r="B9" s="20" t="s">
        <v>1410</v>
      </c>
      <c r="C9" s="21">
        <v>45.4</v>
      </c>
      <c r="D9" s="22">
        <v>53.4</v>
      </c>
      <c r="E9" s="23">
        <v>60.79</v>
      </c>
      <c r="F9" s="22">
        <v>98.39</v>
      </c>
      <c r="G9" s="21">
        <v>36.07</v>
      </c>
      <c r="H9" s="22">
        <v>66.650000000000006</v>
      </c>
      <c r="I9" s="21">
        <v>40.340000000000003</v>
      </c>
      <c r="J9" s="22">
        <v>71.209999999999994</v>
      </c>
      <c r="K9" s="21">
        <v>72.44</v>
      </c>
      <c r="L9" s="22">
        <v>97.93</v>
      </c>
      <c r="M9" s="21">
        <v>42.9</v>
      </c>
      <c r="N9" s="22">
        <v>62.8</v>
      </c>
      <c r="O9" s="21">
        <v>42.28</v>
      </c>
      <c r="P9" s="22">
        <v>99.35</v>
      </c>
      <c r="Q9" s="21">
        <v>36.299999999999997</v>
      </c>
      <c r="R9" s="22">
        <v>99.8</v>
      </c>
      <c r="S9" s="21">
        <v>31.5</v>
      </c>
      <c r="T9" s="24">
        <v>76.900000000000006</v>
      </c>
    </row>
    <row r="10" spans="1:23" ht="15.75" customHeight="1" x14ac:dyDescent="0.15">
      <c r="B10" s="20" t="s">
        <v>1411</v>
      </c>
      <c r="C10" s="21">
        <v>43.2</v>
      </c>
      <c r="D10" s="22">
        <v>46.5</v>
      </c>
      <c r="E10" s="23">
        <v>47.01</v>
      </c>
      <c r="F10" s="22">
        <v>97.58</v>
      </c>
      <c r="G10" s="21">
        <v>39.049999999999997</v>
      </c>
      <c r="H10" s="22">
        <v>48.8</v>
      </c>
      <c r="I10" s="21">
        <v>40.729999999999997</v>
      </c>
      <c r="J10" s="22">
        <v>67.13</v>
      </c>
      <c r="K10" s="21">
        <v>48.87</v>
      </c>
      <c r="L10" s="22">
        <v>97.02</v>
      </c>
      <c r="M10" s="21">
        <v>40.33</v>
      </c>
      <c r="N10" s="22">
        <v>50.8</v>
      </c>
      <c r="O10" s="21">
        <v>41.44</v>
      </c>
      <c r="P10" s="22">
        <v>99.45</v>
      </c>
      <c r="Q10" s="21">
        <v>35.6</v>
      </c>
      <c r="R10" s="22">
        <v>99.65</v>
      </c>
      <c r="S10" s="21">
        <v>32.5</v>
      </c>
      <c r="T10" s="24">
        <v>56.7</v>
      </c>
    </row>
    <row r="11" spans="1:23" ht="15.75" customHeight="1" x14ac:dyDescent="0.15">
      <c r="B11" s="25"/>
      <c r="C11" s="26"/>
      <c r="E11" s="26"/>
      <c r="G11" s="26"/>
      <c r="I11" s="26"/>
      <c r="K11" s="26"/>
      <c r="M11" s="26"/>
      <c r="O11" s="26"/>
      <c r="Q11" s="26"/>
      <c r="S11" s="26"/>
      <c r="T11" s="27"/>
    </row>
    <row r="12" spans="1:23" ht="15.75" customHeight="1" x14ac:dyDescent="0.15">
      <c r="B12" s="25"/>
      <c r="C12" s="26"/>
      <c r="E12" s="26"/>
      <c r="G12" s="26"/>
      <c r="I12" s="26"/>
      <c r="K12" s="26"/>
      <c r="M12" s="26"/>
      <c r="O12" s="26"/>
      <c r="Q12" s="26"/>
      <c r="S12" s="26"/>
      <c r="T12" s="27"/>
    </row>
    <row r="13" spans="1:23" ht="15.75" customHeight="1" x14ac:dyDescent="0.15">
      <c r="B13" s="25"/>
      <c r="C13" s="26"/>
      <c r="E13" s="26"/>
      <c r="G13" s="26"/>
      <c r="I13" s="26"/>
      <c r="K13" s="26"/>
      <c r="M13" s="26"/>
      <c r="O13" s="26"/>
      <c r="Q13" s="26"/>
      <c r="S13" s="26"/>
      <c r="T13" s="27"/>
    </row>
    <row r="14" spans="1:23" ht="15.75" customHeight="1" x14ac:dyDescent="0.15">
      <c r="B14" s="25"/>
      <c r="C14" s="67" t="s">
        <v>1412</v>
      </c>
      <c r="D14" s="68"/>
      <c r="E14" s="67" t="s">
        <v>1412</v>
      </c>
      <c r="F14" s="68"/>
      <c r="G14" s="67" t="s">
        <v>1412</v>
      </c>
      <c r="H14" s="68"/>
      <c r="I14" s="67" t="s">
        <v>1412</v>
      </c>
      <c r="J14" s="68"/>
      <c r="K14" s="67" t="s">
        <v>1412</v>
      </c>
      <c r="L14" s="68"/>
      <c r="M14" s="67" t="s">
        <v>1412</v>
      </c>
      <c r="N14" s="68"/>
      <c r="O14" s="67" t="s">
        <v>1412</v>
      </c>
      <c r="P14" s="68"/>
      <c r="Q14" s="67" t="s">
        <v>1412</v>
      </c>
      <c r="R14" s="68"/>
      <c r="S14" s="67" t="s">
        <v>1412</v>
      </c>
      <c r="T14" s="68"/>
    </row>
    <row r="15" spans="1:23" ht="15.75" customHeight="1" x14ac:dyDescent="0.15">
      <c r="B15" s="25"/>
      <c r="C15" s="60" t="s">
        <v>1431</v>
      </c>
      <c r="D15" s="61"/>
      <c r="E15" s="60" t="s">
        <v>1431</v>
      </c>
      <c r="F15" s="61"/>
      <c r="G15" s="60"/>
      <c r="H15" s="61"/>
      <c r="I15" s="60" t="s">
        <v>6</v>
      </c>
      <c r="J15" s="61"/>
      <c r="K15" s="60" t="s">
        <v>1431</v>
      </c>
      <c r="L15" s="61"/>
      <c r="M15" s="62"/>
      <c r="N15" s="61"/>
      <c r="O15" s="62" t="s">
        <v>1425</v>
      </c>
      <c r="P15" s="61"/>
      <c r="Q15" s="60" t="s">
        <v>1431</v>
      </c>
      <c r="R15" s="61"/>
      <c r="S15" s="60"/>
      <c r="T15" s="61"/>
    </row>
    <row r="16" spans="1:23" ht="15.75" customHeight="1" x14ac:dyDescent="0.15">
      <c r="B16" s="25"/>
      <c r="C16" s="60" t="s">
        <v>7</v>
      </c>
      <c r="D16" s="61"/>
      <c r="E16" s="60" t="s">
        <v>6</v>
      </c>
      <c r="F16" s="61"/>
      <c r="G16" s="60"/>
      <c r="H16" s="61"/>
      <c r="I16" s="60" t="s">
        <v>8</v>
      </c>
      <c r="J16" s="61"/>
      <c r="K16" s="60" t="s">
        <v>6</v>
      </c>
      <c r="L16" s="61"/>
      <c r="M16" s="62"/>
      <c r="N16" s="61"/>
      <c r="O16" s="80" t="s">
        <v>1417</v>
      </c>
      <c r="P16" s="64"/>
      <c r="Q16" s="60" t="s">
        <v>1414</v>
      </c>
      <c r="R16" s="61"/>
      <c r="S16" s="60"/>
      <c r="T16" s="61"/>
    </row>
    <row r="17" spans="2:20" ht="15.75" customHeight="1" x14ac:dyDescent="0.15">
      <c r="B17" s="25"/>
      <c r="C17" s="60" t="s">
        <v>8</v>
      </c>
      <c r="D17" s="61"/>
      <c r="E17" s="60" t="s">
        <v>1414</v>
      </c>
      <c r="F17" s="61"/>
      <c r="G17" s="60"/>
      <c r="H17" s="61"/>
      <c r="I17" s="60" t="s">
        <v>1431</v>
      </c>
      <c r="J17" s="61"/>
      <c r="K17" s="60" t="s">
        <v>1413</v>
      </c>
      <c r="L17" s="61"/>
      <c r="M17" s="62"/>
      <c r="N17" s="61"/>
      <c r="O17" s="60" t="s">
        <v>1439</v>
      </c>
      <c r="P17" s="61"/>
      <c r="Q17" s="60" t="s">
        <v>1413</v>
      </c>
      <c r="R17" s="61"/>
      <c r="S17" s="60"/>
      <c r="T17" s="61"/>
    </row>
    <row r="18" spans="2:20" ht="15.75" customHeight="1" x14ac:dyDescent="0.15">
      <c r="B18" s="25"/>
      <c r="C18" s="60" t="s">
        <v>5</v>
      </c>
      <c r="D18" s="61"/>
      <c r="E18" s="60" t="s">
        <v>9</v>
      </c>
      <c r="F18" s="61"/>
      <c r="G18" s="60"/>
      <c r="H18" s="61"/>
      <c r="I18" s="60" t="s">
        <v>1414</v>
      </c>
      <c r="J18" s="61"/>
      <c r="K18" s="60" t="s">
        <v>1414</v>
      </c>
      <c r="L18" s="61"/>
      <c r="M18" s="64"/>
      <c r="N18" s="64"/>
      <c r="O18" s="60" t="s">
        <v>1445</v>
      </c>
      <c r="P18" s="61"/>
      <c r="Q18" s="60" t="s">
        <v>6</v>
      </c>
      <c r="R18" s="61"/>
      <c r="S18" s="60"/>
      <c r="T18" s="61"/>
    </row>
    <row r="19" spans="2:20" ht="15.75" customHeight="1" x14ac:dyDescent="0.15">
      <c r="B19" s="25"/>
      <c r="C19" s="60" t="s">
        <v>1437</v>
      </c>
      <c r="D19" s="61"/>
      <c r="E19" s="60" t="s">
        <v>8</v>
      </c>
      <c r="F19" s="61"/>
      <c r="G19" s="60"/>
      <c r="H19" s="61"/>
      <c r="I19" s="60" t="s">
        <v>7</v>
      </c>
      <c r="J19" s="61"/>
      <c r="K19" s="60" t="s">
        <v>8</v>
      </c>
      <c r="L19" s="61"/>
      <c r="M19" s="64"/>
      <c r="N19" s="64"/>
      <c r="O19" s="60" t="s">
        <v>1429</v>
      </c>
      <c r="P19" s="61"/>
      <c r="Q19" s="60" t="s">
        <v>7</v>
      </c>
      <c r="R19" s="61"/>
      <c r="S19" s="60"/>
      <c r="T19" s="61"/>
    </row>
    <row r="20" spans="2:20" ht="15.75" customHeight="1" x14ac:dyDescent="0.15">
      <c r="B20" s="25"/>
      <c r="C20" s="60" t="s">
        <v>4</v>
      </c>
      <c r="D20" s="61"/>
      <c r="E20" s="60" t="s">
        <v>7</v>
      </c>
      <c r="F20" s="61"/>
      <c r="G20" s="60"/>
      <c r="H20" s="61"/>
      <c r="I20" s="60" t="s">
        <v>5</v>
      </c>
      <c r="J20" s="61"/>
      <c r="K20" s="60" t="s">
        <v>9</v>
      </c>
      <c r="L20" s="61"/>
      <c r="M20" s="60"/>
      <c r="N20" s="61"/>
      <c r="O20" s="60" t="s">
        <v>1432</v>
      </c>
      <c r="P20" s="61"/>
      <c r="Q20" s="60" t="s">
        <v>5</v>
      </c>
      <c r="R20" s="61"/>
      <c r="S20" s="60"/>
      <c r="T20" s="61"/>
    </row>
    <row r="21" spans="2:20" ht="15.75" customHeight="1" x14ac:dyDescent="0.15">
      <c r="B21" s="25"/>
      <c r="C21" s="60" t="s">
        <v>1414</v>
      </c>
      <c r="D21" s="61"/>
      <c r="E21" s="60" t="s">
        <v>4</v>
      </c>
      <c r="F21" s="61"/>
      <c r="G21" s="60"/>
      <c r="H21" s="61"/>
      <c r="I21" s="60" t="s">
        <v>4</v>
      </c>
      <c r="J21" s="61"/>
      <c r="K21" s="60" t="s">
        <v>4</v>
      </c>
      <c r="L21" s="61"/>
      <c r="M21" s="64"/>
      <c r="N21" s="64"/>
      <c r="O21" s="60" t="s">
        <v>1443</v>
      </c>
      <c r="P21" s="61"/>
      <c r="Q21" s="60" t="s">
        <v>1420</v>
      </c>
      <c r="R21" s="61"/>
      <c r="S21" s="60"/>
      <c r="T21" s="61"/>
    </row>
    <row r="22" spans="2:20" ht="15.75" customHeight="1" x14ac:dyDescent="0.15">
      <c r="B22" s="25"/>
      <c r="C22" s="60" t="s">
        <v>6</v>
      </c>
      <c r="D22" s="61"/>
      <c r="E22" s="60" t="s">
        <v>5</v>
      </c>
      <c r="F22" s="61"/>
      <c r="G22" s="60"/>
      <c r="H22" s="61"/>
      <c r="I22" s="60" t="s">
        <v>9</v>
      </c>
      <c r="J22" s="61"/>
      <c r="K22" s="60" t="s">
        <v>7</v>
      </c>
      <c r="L22" s="61"/>
      <c r="M22" s="60"/>
      <c r="N22" s="61"/>
      <c r="O22" s="60" t="s">
        <v>1436</v>
      </c>
      <c r="P22" s="61"/>
      <c r="Q22" s="60" t="s">
        <v>1417</v>
      </c>
      <c r="R22" s="61"/>
      <c r="S22" s="60"/>
      <c r="T22" s="61"/>
    </row>
    <row r="23" spans="2:20" ht="15.75" customHeight="1" x14ac:dyDescent="0.15">
      <c r="B23" s="25"/>
      <c r="C23" s="60" t="s">
        <v>9</v>
      </c>
      <c r="D23" s="61"/>
      <c r="E23" s="60" t="s">
        <v>1433</v>
      </c>
      <c r="F23" s="61"/>
      <c r="G23" s="60"/>
      <c r="H23" s="61"/>
      <c r="I23" s="60" t="s">
        <v>1433</v>
      </c>
      <c r="J23" s="61"/>
      <c r="K23" s="60" t="s">
        <v>5</v>
      </c>
      <c r="L23" s="61"/>
      <c r="M23" s="60"/>
      <c r="N23" s="61"/>
      <c r="O23" s="60" t="s">
        <v>1435</v>
      </c>
      <c r="P23" s="61"/>
      <c r="Q23" s="62" t="s">
        <v>1415</v>
      </c>
      <c r="R23" s="61"/>
      <c r="S23" s="60"/>
      <c r="T23" s="61"/>
    </row>
    <row r="24" spans="2:20" ht="15.75" customHeight="1" x14ac:dyDescent="0.15">
      <c r="B24" s="25"/>
      <c r="C24" s="60" t="s">
        <v>1446</v>
      </c>
      <c r="D24" s="61"/>
      <c r="E24" s="60" t="s">
        <v>1437</v>
      </c>
      <c r="F24" s="61"/>
      <c r="G24" s="60"/>
      <c r="H24" s="61"/>
      <c r="I24" s="60" t="s">
        <v>1413</v>
      </c>
      <c r="J24" s="61"/>
      <c r="K24" s="60" t="s">
        <v>1433</v>
      </c>
      <c r="L24" s="61"/>
      <c r="M24" s="64"/>
      <c r="N24" s="64"/>
      <c r="O24" s="60" t="s">
        <v>1447</v>
      </c>
      <c r="P24" s="61"/>
      <c r="Q24" s="60" t="s">
        <v>9</v>
      </c>
      <c r="R24" s="61"/>
      <c r="S24" s="60"/>
      <c r="T24" s="61"/>
    </row>
    <row r="25" spans="2:20" ht="15.75" customHeight="1" x14ac:dyDescent="0.15">
      <c r="B25" s="25"/>
      <c r="C25" s="60"/>
      <c r="D25" s="61"/>
      <c r="E25" s="60"/>
      <c r="F25" s="61"/>
      <c r="G25" s="60"/>
      <c r="H25" s="61"/>
      <c r="I25" s="60"/>
      <c r="J25" s="61"/>
      <c r="K25" s="60"/>
      <c r="L25" s="61"/>
      <c r="M25" s="83"/>
      <c r="N25" s="84"/>
      <c r="O25" s="60"/>
      <c r="P25" s="61"/>
      <c r="Q25" s="60"/>
      <c r="R25" s="61"/>
      <c r="S25" s="60"/>
      <c r="T25" s="61"/>
    </row>
    <row r="26" spans="2:20" ht="15.75" customHeight="1" x14ac:dyDescent="0.15">
      <c r="B26" s="25"/>
      <c r="C26" s="65"/>
      <c r="D26" s="66"/>
      <c r="E26" s="65"/>
      <c r="F26" s="66"/>
      <c r="G26" s="65"/>
      <c r="H26" s="66"/>
      <c r="I26" s="65"/>
      <c r="J26" s="66"/>
      <c r="K26" s="65"/>
      <c r="L26" s="66"/>
      <c r="M26" s="65"/>
      <c r="N26" s="66"/>
      <c r="O26" s="81"/>
      <c r="P26" s="82"/>
      <c r="Q26" s="65"/>
      <c r="R26" s="66"/>
      <c r="S26" s="65"/>
      <c r="T26" s="66"/>
    </row>
    <row r="27" spans="2:20" ht="15.75" customHeight="1" x14ac:dyDescent="0.15">
      <c r="B27" s="25"/>
      <c r="T27" s="27"/>
    </row>
    <row r="28" spans="2:20" ht="15.75" customHeight="1" x14ac:dyDescent="0.15">
      <c r="B28" s="25"/>
      <c r="C28" s="85" t="s">
        <v>1448</v>
      </c>
      <c r="D28" s="64"/>
      <c r="E28" s="64"/>
      <c r="F28" s="64"/>
      <c r="G28" s="64"/>
      <c r="H28" s="64"/>
      <c r="I28" s="64"/>
      <c r="J28" s="64"/>
      <c r="K28" s="64"/>
      <c r="L28" s="64"/>
      <c r="M28" s="64"/>
      <c r="N28" s="64"/>
      <c r="O28" s="64"/>
      <c r="P28" s="64"/>
      <c r="Q28" s="64"/>
      <c r="R28" s="64"/>
      <c r="S28" s="64"/>
      <c r="T28" s="27"/>
    </row>
    <row r="29" spans="2:20" ht="15.75" customHeight="1" x14ac:dyDescent="0.15">
      <c r="B29" s="25"/>
      <c r="C29" s="64"/>
      <c r="D29" s="64"/>
      <c r="E29" s="64"/>
      <c r="F29" s="64"/>
      <c r="G29" s="64"/>
      <c r="H29" s="64"/>
      <c r="I29" s="64"/>
      <c r="J29" s="64"/>
      <c r="K29" s="64"/>
      <c r="L29" s="64"/>
      <c r="M29" s="64"/>
      <c r="N29" s="64"/>
      <c r="O29" s="64"/>
      <c r="P29" s="64"/>
      <c r="Q29" s="64"/>
      <c r="R29" s="64"/>
      <c r="S29" s="64"/>
      <c r="T29" s="27"/>
    </row>
    <row r="30" spans="2:20" ht="15.75" customHeight="1" x14ac:dyDescent="0.15">
      <c r="B30" s="25"/>
      <c r="C30" s="64"/>
      <c r="D30" s="64"/>
      <c r="E30" s="64"/>
      <c r="F30" s="64"/>
      <c r="G30" s="64"/>
      <c r="H30" s="64"/>
      <c r="I30" s="64"/>
      <c r="J30" s="64"/>
      <c r="K30" s="64"/>
      <c r="L30" s="64"/>
      <c r="M30" s="64"/>
      <c r="N30" s="64"/>
      <c r="O30" s="64"/>
      <c r="P30" s="64"/>
      <c r="Q30" s="64"/>
      <c r="R30" s="64"/>
      <c r="S30" s="64"/>
      <c r="T30" s="27"/>
    </row>
    <row r="31" spans="2:20" ht="15.75" customHeight="1" x14ac:dyDescent="0.15">
      <c r="B31" s="25"/>
      <c r="C31" s="64"/>
      <c r="D31" s="64"/>
      <c r="E31" s="64"/>
      <c r="F31" s="64"/>
      <c r="G31" s="64"/>
      <c r="H31" s="64"/>
      <c r="I31" s="64"/>
      <c r="J31" s="64"/>
      <c r="K31" s="64"/>
      <c r="L31" s="64"/>
      <c r="M31" s="64"/>
      <c r="N31" s="64"/>
      <c r="O31" s="64"/>
      <c r="P31" s="64"/>
      <c r="Q31" s="64"/>
      <c r="R31" s="64"/>
      <c r="S31" s="64"/>
      <c r="T31" s="27"/>
    </row>
    <row r="32" spans="2:20" ht="15.75" customHeight="1" x14ac:dyDescent="0.15">
      <c r="B32" s="25"/>
      <c r="C32" s="64"/>
      <c r="D32" s="64"/>
      <c r="E32" s="64"/>
      <c r="F32" s="64"/>
      <c r="G32" s="64"/>
      <c r="H32" s="64"/>
      <c r="I32" s="64"/>
      <c r="J32" s="64"/>
      <c r="K32" s="64"/>
      <c r="L32" s="64"/>
      <c r="M32" s="64"/>
      <c r="N32" s="64"/>
      <c r="O32" s="64"/>
      <c r="P32" s="64"/>
      <c r="Q32" s="64"/>
      <c r="R32" s="64"/>
      <c r="S32" s="64"/>
      <c r="T32" s="27"/>
    </row>
    <row r="33" spans="1:23" ht="15.75" customHeight="1" x14ac:dyDescent="0.15">
      <c r="B33" s="25"/>
      <c r="C33" s="64"/>
      <c r="D33" s="64"/>
      <c r="E33" s="64"/>
      <c r="F33" s="64"/>
      <c r="G33" s="64"/>
      <c r="H33" s="64"/>
      <c r="I33" s="64"/>
      <c r="J33" s="64"/>
      <c r="K33" s="64"/>
      <c r="L33" s="64"/>
      <c r="M33" s="64"/>
      <c r="N33" s="64"/>
      <c r="O33" s="64"/>
      <c r="P33" s="64"/>
      <c r="Q33" s="64"/>
      <c r="R33" s="64"/>
      <c r="S33" s="64"/>
      <c r="T33" s="27"/>
    </row>
    <row r="34" spans="1:23" ht="15.75" customHeight="1" x14ac:dyDescent="0.15">
      <c r="B34" s="28"/>
      <c r="C34" s="29"/>
      <c r="D34" s="29"/>
      <c r="E34" s="29"/>
      <c r="F34" s="29"/>
      <c r="G34" s="29"/>
      <c r="H34" s="29"/>
      <c r="I34" s="29"/>
      <c r="J34" s="29"/>
      <c r="K34" s="29"/>
      <c r="L34" s="29"/>
      <c r="M34" s="29"/>
      <c r="N34" s="29"/>
      <c r="Q34" s="29"/>
      <c r="R34" s="29"/>
      <c r="S34" s="29"/>
      <c r="T34" s="30"/>
    </row>
    <row r="36" spans="1:23" ht="15.75" customHeight="1" x14ac:dyDescent="0.15">
      <c r="A36" s="71" t="s">
        <v>1424</v>
      </c>
      <c r="B36" s="64"/>
      <c r="C36" s="64"/>
      <c r="D36" s="64"/>
      <c r="E36" s="64"/>
      <c r="F36" s="64"/>
      <c r="G36" s="64"/>
      <c r="H36" s="64"/>
      <c r="I36" s="64"/>
      <c r="J36" s="64"/>
      <c r="K36" s="64"/>
      <c r="L36" s="64"/>
      <c r="M36" s="64"/>
      <c r="N36" s="64"/>
      <c r="O36" s="64"/>
      <c r="P36" s="64"/>
      <c r="Q36" s="64"/>
      <c r="R36" s="64"/>
      <c r="S36" s="64"/>
      <c r="T36" s="64"/>
      <c r="U36" s="64"/>
      <c r="V36" s="64"/>
      <c r="W36" s="64"/>
    </row>
    <row r="37" spans="1:23" ht="15.75" customHeight="1" x14ac:dyDescent="0.15">
      <c r="A37" s="64"/>
      <c r="B37" s="64"/>
      <c r="C37" s="64"/>
      <c r="D37" s="64"/>
      <c r="E37" s="64"/>
      <c r="F37" s="64"/>
      <c r="G37" s="64"/>
      <c r="H37" s="64"/>
      <c r="I37" s="64"/>
      <c r="J37" s="64"/>
      <c r="K37" s="64"/>
      <c r="L37" s="64"/>
      <c r="M37" s="64"/>
      <c r="N37" s="64"/>
      <c r="O37" s="64"/>
      <c r="P37" s="64"/>
      <c r="Q37" s="64"/>
      <c r="R37" s="64"/>
      <c r="S37" s="64"/>
      <c r="T37" s="64"/>
      <c r="U37" s="64"/>
      <c r="V37" s="64"/>
      <c r="W37" s="64"/>
    </row>
    <row r="38" spans="1:23" ht="15.75" customHeight="1" x14ac:dyDescent="0.15">
      <c r="B38" s="7"/>
      <c r="C38" s="72" t="s">
        <v>1399</v>
      </c>
      <c r="D38" s="73"/>
      <c r="E38" s="73"/>
      <c r="F38" s="73"/>
      <c r="G38" s="73"/>
      <c r="H38" s="74"/>
      <c r="I38" s="75" t="s">
        <v>1400</v>
      </c>
      <c r="J38" s="73"/>
      <c r="K38" s="73"/>
      <c r="L38" s="73"/>
      <c r="M38" s="73"/>
      <c r="N38" s="74"/>
      <c r="O38" s="76" t="s">
        <v>1401</v>
      </c>
      <c r="P38" s="73"/>
      <c r="Q38" s="73"/>
      <c r="R38" s="73"/>
      <c r="S38" s="73"/>
      <c r="T38" s="74"/>
    </row>
    <row r="39" spans="1:23" ht="15.75" customHeight="1" x14ac:dyDescent="0.15">
      <c r="B39" s="8"/>
      <c r="C39" s="69" t="s">
        <v>1402</v>
      </c>
      <c r="D39" s="68"/>
      <c r="E39" s="77" t="s">
        <v>1403</v>
      </c>
      <c r="F39" s="68"/>
      <c r="G39" s="77" t="s">
        <v>1404</v>
      </c>
      <c r="H39" s="68"/>
      <c r="I39" s="69" t="s">
        <v>1402</v>
      </c>
      <c r="J39" s="68"/>
      <c r="K39" s="69" t="s">
        <v>1403</v>
      </c>
      <c r="L39" s="68"/>
      <c r="M39" s="69" t="s">
        <v>1404</v>
      </c>
      <c r="N39" s="68"/>
      <c r="O39" s="70" t="s">
        <v>1402</v>
      </c>
      <c r="P39" s="68"/>
      <c r="Q39" s="70" t="s">
        <v>1403</v>
      </c>
      <c r="R39" s="68"/>
      <c r="S39" s="70" t="s">
        <v>1404</v>
      </c>
      <c r="T39" s="68"/>
    </row>
    <row r="40" spans="1:23" ht="15.75" customHeight="1" x14ac:dyDescent="0.15">
      <c r="B40" s="8"/>
      <c r="C40" s="9" t="s">
        <v>1405</v>
      </c>
      <c r="D40" s="10" t="s">
        <v>1406</v>
      </c>
      <c r="E40" s="12" t="s">
        <v>1405</v>
      </c>
      <c r="F40" s="10" t="s">
        <v>1406</v>
      </c>
      <c r="G40" s="12" t="s">
        <v>1405</v>
      </c>
      <c r="H40" s="10" t="s">
        <v>1406</v>
      </c>
      <c r="I40" s="9" t="s">
        <v>1405</v>
      </c>
      <c r="J40" s="10" t="s">
        <v>1406</v>
      </c>
      <c r="K40" s="9" t="s">
        <v>1405</v>
      </c>
      <c r="L40" s="10" t="s">
        <v>1406</v>
      </c>
      <c r="M40" s="9" t="s">
        <v>1405</v>
      </c>
      <c r="N40" s="10" t="s">
        <v>1406</v>
      </c>
      <c r="O40" s="13" t="s">
        <v>1405</v>
      </c>
      <c r="P40" s="14" t="s">
        <v>1406</v>
      </c>
      <c r="Q40" s="13" t="s">
        <v>1405</v>
      </c>
      <c r="R40" s="14" t="s">
        <v>1406</v>
      </c>
      <c r="S40" s="13" t="s">
        <v>1405</v>
      </c>
      <c r="T40" s="14" t="s">
        <v>1406</v>
      </c>
    </row>
    <row r="41" spans="1:23" ht="15.75" customHeight="1" x14ac:dyDescent="0.15">
      <c r="B41" s="15" t="s">
        <v>1407</v>
      </c>
      <c r="C41" s="16">
        <v>60.96</v>
      </c>
      <c r="D41" s="17">
        <v>84.54</v>
      </c>
      <c r="E41" s="16">
        <v>67.739999999999995</v>
      </c>
      <c r="F41" s="17">
        <v>99.18</v>
      </c>
      <c r="G41" s="16">
        <v>64.2</v>
      </c>
      <c r="H41" s="17">
        <v>74.8</v>
      </c>
      <c r="I41" s="16">
        <v>62.26</v>
      </c>
      <c r="J41" s="17">
        <v>84.65</v>
      </c>
      <c r="K41" s="16">
        <v>65.59</v>
      </c>
      <c r="L41" s="17">
        <v>99.18</v>
      </c>
      <c r="M41" s="16">
        <v>64.599999999999994</v>
      </c>
      <c r="N41" s="17">
        <v>75.8</v>
      </c>
      <c r="O41" s="16">
        <v>59.17</v>
      </c>
      <c r="P41" s="17">
        <v>99.94</v>
      </c>
      <c r="Q41" s="16">
        <v>63.04</v>
      </c>
      <c r="R41" s="17">
        <v>100</v>
      </c>
      <c r="S41" s="16">
        <v>61.3</v>
      </c>
      <c r="T41" s="19">
        <v>78.900000000000006</v>
      </c>
    </row>
    <row r="42" spans="1:23" ht="15.75" customHeight="1" x14ac:dyDescent="0.15">
      <c r="B42" s="20" t="s">
        <v>1408</v>
      </c>
      <c r="C42" s="21">
        <v>61.1</v>
      </c>
      <c r="D42" s="22">
        <v>84.43</v>
      </c>
      <c r="E42" s="21">
        <v>67.63</v>
      </c>
      <c r="F42" s="22">
        <v>99.11</v>
      </c>
      <c r="G42" s="21">
        <v>64.2</v>
      </c>
      <c r="H42" s="22">
        <v>74.5</v>
      </c>
      <c r="I42" s="21">
        <v>62.37</v>
      </c>
      <c r="J42" s="22">
        <v>84.63</v>
      </c>
      <c r="K42" s="21">
        <v>65.34</v>
      </c>
      <c r="L42" s="22">
        <v>99.15</v>
      </c>
      <c r="M42" s="21">
        <v>64.599999999999994</v>
      </c>
      <c r="N42" s="22">
        <v>75.599999999999994</v>
      </c>
      <c r="O42" s="21">
        <v>59.34</v>
      </c>
      <c r="P42" s="22">
        <v>99.94</v>
      </c>
      <c r="Q42" s="21">
        <v>63.73</v>
      </c>
      <c r="R42" s="22">
        <v>100</v>
      </c>
      <c r="S42" s="21">
        <v>61.4</v>
      </c>
      <c r="T42" s="24">
        <v>78.599999999999994</v>
      </c>
    </row>
    <row r="43" spans="1:23" ht="15.75" customHeight="1" x14ac:dyDescent="0.15">
      <c r="B43" s="20" t="s">
        <v>1409</v>
      </c>
      <c r="C43" s="21">
        <v>61.1</v>
      </c>
      <c r="D43" s="22">
        <v>84.43</v>
      </c>
      <c r="E43" s="21">
        <v>67.63</v>
      </c>
      <c r="F43" s="22">
        <v>99.11</v>
      </c>
      <c r="G43" s="21">
        <v>64.2</v>
      </c>
      <c r="H43" s="22">
        <v>74.5</v>
      </c>
      <c r="I43" s="21">
        <v>62.37</v>
      </c>
      <c r="J43" s="22">
        <v>84.63</v>
      </c>
      <c r="K43" s="21">
        <v>65.34</v>
      </c>
      <c r="L43" s="22">
        <v>99.15</v>
      </c>
      <c r="M43" s="21">
        <v>64.599999999999994</v>
      </c>
      <c r="N43" s="22">
        <v>75.599999999999994</v>
      </c>
      <c r="O43" s="21">
        <v>59.34</v>
      </c>
      <c r="P43" s="22">
        <v>99.94</v>
      </c>
      <c r="Q43" s="21">
        <v>63.73</v>
      </c>
      <c r="R43" s="22">
        <v>100</v>
      </c>
      <c r="S43" s="21">
        <v>61.4</v>
      </c>
      <c r="T43" s="24">
        <v>78.599999999999994</v>
      </c>
    </row>
    <row r="44" spans="1:23" ht="15.75" customHeight="1" x14ac:dyDescent="0.15">
      <c r="B44" s="20" t="s">
        <v>1410</v>
      </c>
      <c r="C44" s="21">
        <v>61.26</v>
      </c>
      <c r="D44" s="22">
        <v>84.6</v>
      </c>
      <c r="E44" s="21">
        <v>67.72</v>
      </c>
      <c r="F44" s="22">
        <v>99.25</v>
      </c>
      <c r="G44" s="21">
        <v>64.5</v>
      </c>
      <c r="H44" s="22">
        <v>74.8</v>
      </c>
      <c r="I44" s="21">
        <v>62.34</v>
      </c>
      <c r="J44" s="22">
        <v>84.65</v>
      </c>
      <c r="K44" s="21">
        <v>65.739999999999995</v>
      </c>
      <c r="L44" s="22">
        <v>99.2</v>
      </c>
      <c r="M44" s="21">
        <v>64.8</v>
      </c>
      <c r="N44" s="22">
        <v>75.7</v>
      </c>
      <c r="O44" s="21">
        <v>59.93</v>
      </c>
      <c r="P44" s="22">
        <v>99.94</v>
      </c>
      <c r="Q44" s="21">
        <v>65.099999999999994</v>
      </c>
      <c r="R44" s="22">
        <v>100</v>
      </c>
      <c r="S44" s="21">
        <v>61.6</v>
      </c>
      <c r="T44" s="24">
        <v>78.900000000000006</v>
      </c>
    </row>
    <row r="45" spans="1:23" ht="15.75" customHeight="1" x14ac:dyDescent="0.15">
      <c r="B45" s="20" t="s">
        <v>1411</v>
      </c>
      <c r="C45" s="21">
        <v>60.65</v>
      </c>
      <c r="D45" s="22">
        <v>84.45</v>
      </c>
      <c r="E45" s="21">
        <v>67.64</v>
      </c>
      <c r="F45" s="22">
        <v>99.17</v>
      </c>
      <c r="G45" s="21">
        <v>63.8</v>
      </c>
      <c r="H45" s="22">
        <v>74.599999999999994</v>
      </c>
      <c r="I45" s="21">
        <v>62.12</v>
      </c>
      <c r="J45" s="22">
        <v>84.58</v>
      </c>
      <c r="K45" s="21">
        <v>65.260000000000005</v>
      </c>
      <c r="L45" s="22">
        <v>99.17</v>
      </c>
      <c r="M45" s="21">
        <v>64.3</v>
      </c>
      <c r="N45" s="22">
        <v>75.599999999999994</v>
      </c>
      <c r="O45" s="21">
        <v>59.03</v>
      </c>
      <c r="P45" s="22">
        <v>99.94</v>
      </c>
      <c r="Q45" s="21">
        <v>62.4</v>
      </c>
      <c r="R45" s="22">
        <v>100</v>
      </c>
      <c r="S45" s="21">
        <v>60.9</v>
      </c>
      <c r="T45" s="24">
        <v>78.7</v>
      </c>
    </row>
    <row r="46" spans="1:23" ht="15.75" customHeight="1" x14ac:dyDescent="0.15">
      <c r="B46" s="25"/>
      <c r="C46" s="26"/>
      <c r="E46" s="26"/>
      <c r="G46" s="26"/>
      <c r="I46" s="26"/>
      <c r="K46" s="26"/>
      <c r="M46" s="26"/>
      <c r="O46" s="26"/>
      <c r="Q46" s="26"/>
      <c r="S46" s="26"/>
      <c r="T46" s="27"/>
    </row>
    <row r="47" spans="1:23" ht="15.75" customHeight="1" x14ac:dyDescent="0.15">
      <c r="B47" s="25"/>
      <c r="C47" s="26"/>
      <c r="E47" s="26"/>
      <c r="G47" s="26"/>
      <c r="I47" s="26"/>
      <c r="K47" s="26"/>
      <c r="M47" s="26"/>
      <c r="O47" s="26"/>
      <c r="Q47" s="26"/>
      <c r="S47" s="26"/>
      <c r="T47" s="27"/>
    </row>
    <row r="48" spans="1:23" ht="15.75" customHeight="1" x14ac:dyDescent="0.15">
      <c r="B48" s="25"/>
      <c r="C48" s="26"/>
      <c r="E48" s="26"/>
      <c r="G48" s="26"/>
      <c r="I48" s="26"/>
      <c r="K48" s="26"/>
      <c r="M48" s="26"/>
      <c r="O48" s="26"/>
      <c r="Q48" s="26"/>
      <c r="S48" s="26"/>
      <c r="T48" s="27"/>
    </row>
    <row r="49" spans="2:22" ht="15.75" customHeight="1" x14ac:dyDescent="0.15">
      <c r="B49" s="25"/>
      <c r="C49" s="67" t="s">
        <v>1412</v>
      </c>
      <c r="D49" s="68"/>
      <c r="E49" s="67" t="s">
        <v>1412</v>
      </c>
      <c r="F49" s="68"/>
      <c r="G49" s="67" t="s">
        <v>1412</v>
      </c>
      <c r="H49" s="68"/>
      <c r="I49" s="67" t="s">
        <v>1412</v>
      </c>
      <c r="J49" s="68"/>
      <c r="K49" s="67" t="s">
        <v>1412</v>
      </c>
      <c r="L49" s="68"/>
      <c r="M49" s="67" t="s">
        <v>1412</v>
      </c>
      <c r="N49" s="68"/>
      <c r="O49" s="67" t="s">
        <v>1412</v>
      </c>
      <c r="P49" s="68"/>
      <c r="Q49" s="67" t="s">
        <v>1412</v>
      </c>
      <c r="R49" s="68"/>
      <c r="S49" s="67" t="s">
        <v>1412</v>
      </c>
      <c r="T49" s="68"/>
      <c r="U49" s="64"/>
      <c r="V49" s="64"/>
    </row>
    <row r="50" spans="2:22" ht="15.75" customHeight="1" x14ac:dyDescent="0.15">
      <c r="B50" s="25"/>
      <c r="C50" s="86" t="s">
        <v>1414</v>
      </c>
      <c r="D50" s="64"/>
      <c r="E50" s="60" t="s">
        <v>1431</v>
      </c>
      <c r="F50" s="61"/>
      <c r="G50" s="60"/>
      <c r="H50" s="61"/>
      <c r="I50" s="60" t="s">
        <v>6</v>
      </c>
      <c r="J50" s="61"/>
      <c r="K50" s="60" t="s">
        <v>1431</v>
      </c>
      <c r="L50" s="61"/>
      <c r="M50" s="62"/>
      <c r="N50" s="61"/>
      <c r="O50" s="62" t="s">
        <v>1425</v>
      </c>
      <c r="P50" s="61"/>
      <c r="Q50" s="60" t="s">
        <v>1431</v>
      </c>
      <c r="R50" s="61"/>
      <c r="S50" s="60"/>
      <c r="T50" s="61"/>
    </row>
    <row r="51" spans="2:22" ht="15.75" customHeight="1" x14ac:dyDescent="0.15">
      <c r="B51" s="25"/>
      <c r="C51" s="60" t="s">
        <v>6</v>
      </c>
      <c r="D51" s="61"/>
      <c r="E51" s="60" t="s">
        <v>6</v>
      </c>
      <c r="F51" s="61"/>
      <c r="G51" s="60"/>
      <c r="H51" s="61"/>
      <c r="I51" s="60" t="s">
        <v>8</v>
      </c>
      <c r="J51" s="61"/>
      <c r="K51" s="60" t="s">
        <v>6</v>
      </c>
      <c r="L51" s="61"/>
      <c r="M51" s="64"/>
      <c r="N51" s="64"/>
      <c r="O51" s="62" t="s">
        <v>1417</v>
      </c>
      <c r="P51" s="61"/>
      <c r="Q51" s="60" t="s">
        <v>6</v>
      </c>
      <c r="R51" s="61"/>
      <c r="S51" s="60"/>
      <c r="T51" s="61"/>
    </row>
    <row r="52" spans="2:22" ht="15.75" customHeight="1" x14ac:dyDescent="0.15">
      <c r="B52" s="25"/>
      <c r="C52" s="60" t="s">
        <v>8</v>
      </c>
      <c r="D52" s="61"/>
      <c r="E52" s="60" t="s">
        <v>8</v>
      </c>
      <c r="F52" s="61"/>
      <c r="G52" s="60"/>
      <c r="H52" s="61"/>
      <c r="I52" s="60" t="s">
        <v>1431</v>
      </c>
      <c r="J52" s="61"/>
      <c r="K52" s="60" t="s">
        <v>9</v>
      </c>
      <c r="L52" s="61"/>
      <c r="M52" s="62"/>
      <c r="N52" s="61"/>
      <c r="O52" s="63" t="s">
        <v>1439</v>
      </c>
      <c r="P52" s="64"/>
      <c r="Q52" s="60" t="s">
        <v>1414</v>
      </c>
      <c r="R52" s="61"/>
      <c r="S52" s="60"/>
      <c r="T52" s="61"/>
    </row>
    <row r="53" spans="2:22" ht="15.75" customHeight="1" x14ac:dyDescent="0.15">
      <c r="B53" s="25"/>
      <c r="C53" s="60" t="s">
        <v>1431</v>
      </c>
      <c r="D53" s="61"/>
      <c r="E53" s="80" t="s">
        <v>1414</v>
      </c>
      <c r="F53" s="64"/>
      <c r="G53" s="60"/>
      <c r="H53" s="61"/>
      <c r="I53" s="60" t="s">
        <v>1414</v>
      </c>
      <c r="J53" s="61"/>
      <c r="K53" s="60" t="s">
        <v>1414</v>
      </c>
      <c r="L53" s="61"/>
      <c r="M53" s="62"/>
      <c r="N53" s="61"/>
      <c r="O53" s="80" t="s">
        <v>1432</v>
      </c>
      <c r="P53" s="64"/>
      <c r="Q53" s="60" t="s">
        <v>7</v>
      </c>
      <c r="R53" s="61"/>
      <c r="S53" s="60"/>
      <c r="T53" s="61"/>
    </row>
    <row r="54" spans="2:22" ht="15.75" customHeight="1" x14ac:dyDescent="0.15">
      <c r="B54" s="25"/>
      <c r="C54" s="60" t="s">
        <v>5</v>
      </c>
      <c r="D54" s="61"/>
      <c r="E54" s="80" t="s">
        <v>5</v>
      </c>
      <c r="F54" s="64"/>
      <c r="G54" s="60"/>
      <c r="H54" s="61"/>
      <c r="I54" s="60" t="s">
        <v>5</v>
      </c>
      <c r="J54" s="61"/>
      <c r="K54" s="60" t="s">
        <v>8</v>
      </c>
      <c r="L54" s="61"/>
      <c r="M54" s="62"/>
      <c r="N54" s="61"/>
      <c r="O54" s="60" t="s">
        <v>1445</v>
      </c>
      <c r="P54" s="61"/>
      <c r="Q54" s="60" t="s">
        <v>1417</v>
      </c>
      <c r="R54" s="61"/>
      <c r="S54" s="60"/>
      <c r="T54" s="61"/>
    </row>
    <row r="55" spans="2:22" ht="15.75" customHeight="1" x14ac:dyDescent="0.15">
      <c r="B55" s="25"/>
      <c r="C55" s="60" t="s">
        <v>7</v>
      </c>
      <c r="D55" s="61"/>
      <c r="E55" s="60" t="s">
        <v>9</v>
      </c>
      <c r="F55" s="61"/>
      <c r="G55" s="60"/>
      <c r="H55" s="61"/>
      <c r="I55" s="60" t="s">
        <v>4</v>
      </c>
      <c r="J55" s="61"/>
      <c r="K55" s="60" t="s">
        <v>5</v>
      </c>
      <c r="L55" s="61"/>
      <c r="M55" s="62"/>
      <c r="N55" s="61"/>
      <c r="O55" s="62" t="s">
        <v>1435</v>
      </c>
      <c r="P55" s="61"/>
      <c r="Q55" s="60" t="s">
        <v>9</v>
      </c>
      <c r="R55" s="61"/>
      <c r="S55" s="60"/>
      <c r="T55" s="61"/>
    </row>
    <row r="56" spans="2:22" ht="15.75" customHeight="1" x14ac:dyDescent="0.15">
      <c r="B56" s="25"/>
      <c r="C56" s="60" t="s">
        <v>9</v>
      </c>
      <c r="D56" s="61"/>
      <c r="E56" s="60" t="s">
        <v>7</v>
      </c>
      <c r="F56" s="61"/>
      <c r="G56" s="60"/>
      <c r="H56" s="61"/>
      <c r="I56" s="60" t="s">
        <v>1437</v>
      </c>
      <c r="J56" s="61"/>
      <c r="K56" s="60" t="s">
        <v>7</v>
      </c>
      <c r="L56" s="61"/>
      <c r="M56" s="62"/>
      <c r="N56" s="61"/>
      <c r="O56" s="60" t="s">
        <v>6</v>
      </c>
      <c r="P56" s="61"/>
      <c r="Q56" s="60" t="s">
        <v>4</v>
      </c>
      <c r="R56" s="61"/>
      <c r="S56" s="60"/>
      <c r="T56" s="61"/>
    </row>
    <row r="57" spans="2:22" ht="15.75" customHeight="1" x14ac:dyDescent="0.15">
      <c r="B57" s="25"/>
      <c r="C57" s="60" t="s">
        <v>4</v>
      </c>
      <c r="D57" s="61"/>
      <c r="E57" s="60" t="s">
        <v>4</v>
      </c>
      <c r="F57" s="61"/>
      <c r="G57" s="60"/>
      <c r="H57" s="61"/>
      <c r="I57" s="60" t="s">
        <v>7</v>
      </c>
      <c r="J57" s="61"/>
      <c r="K57" s="60" t="s">
        <v>1413</v>
      </c>
      <c r="L57" s="61"/>
      <c r="M57" s="62"/>
      <c r="N57" s="61"/>
      <c r="O57" s="60" t="s">
        <v>1447</v>
      </c>
      <c r="P57" s="61"/>
      <c r="Q57" s="62" t="s">
        <v>1415</v>
      </c>
      <c r="R57" s="61"/>
      <c r="S57" s="60"/>
      <c r="T57" s="61"/>
    </row>
    <row r="58" spans="2:22" ht="15.75" customHeight="1" x14ac:dyDescent="0.15">
      <c r="B58" s="25"/>
      <c r="C58" s="60" t="s">
        <v>1433</v>
      </c>
      <c r="D58" s="61"/>
      <c r="E58" s="60" t="s">
        <v>1437</v>
      </c>
      <c r="F58" s="61"/>
      <c r="G58" s="60"/>
      <c r="H58" s="61"/>
      <c r="I58" s="60" t="s">
        <v>9</v>
      </c>
      <c r="J58" s="61"/>
      <c r="K58" s="60" t="s">
        <v>4</v>
      </c>
      <c r="L58" s="61"/>
      <c r="M58" s="62"/>
      <c r="N58" s="61"/>
      <c r="O58" s="60" t="s">
        <v>1443</v>
      </c>
      <c r="P58" s="61"/>
      <c r="Q58" s="60" t="s">
        <v>5</v>
      </c>
      <c r="R58" s="61"/>
      <c r="S58" s="60"/>
      <c r="T58" s="61"/>
    </row>
    <row r="59" spans="2:22" ht="15.75" customHeight="1" x14ac:dyDescent="0.15">
      <c r="B59" s="25"/>
      <c r="C59" s="60" t="s">
        <v>1437</v>
      </c>
      <c r="D59" s="61"/>
      <c r="E59" s="60" t="s">
        <v>1433</v>
      </c>
      <c r="F59" s="61"/>
      <c r="G59" s="60"/>
      <c r="H59" s="61"/>
      <c r="I59" s="60" t="s">
        <v>1440</v>
      </c>
      <c r="J59" s="61"/>
      <c r="K59" s="60" t="s">
        <v>1437</v>
      </c>
      <c r="L59" s="61"/>
      <c r="M59" s="62"/>
      <c r="N59" s="61"/>
      <c r="O59" s="60" t="s">
        <v>1436</v>
      </c>
      <c r="P59" s="61"/>
      <c r="Q59" s="60" t="s">
        <v>1420</v>
      </c>
      <c r="R59" s="61"/>
      <c r="S59" s="60"/>
      <c r="T59" s="61"/>
    </row>
    <row r="60" spans="2:22" ht="15.75" customHeight="1" x14ac:dyDescent="0.15">
      <c r="B60" s="25"/>
      <c r="C60" s="60"/>
      <c r="D60" s="61"/>
      <c r="E60" s="60"/>
      <c r="F60" s="61"/>
      <c r="G60" s="60"/>
      <c r="H60" s="61"/>
      <c r="I60" s="60"/>
      <c r="J60" s="61"/>
      <c r="K60" s="64"/>
      <c r="L60" s="64"/>
      <c r="M60" s="62"/>
      <c r="N60" s="61"/>
      <c r="O60" s="60"/>
      <c r="P60" s="61"/>
      <c r="Q60" s="60"/>
      <c r="R60" s="61"/>
      <c r="S60" s="60"/>
      <c r="T60" s="61"/>
    </row>
    <row r="61" spans="2:22" ht="15.75" customHeight="1" x14ac:dyDescent="0.15">
      <c r="B61" s="25"/>
      <c r="C61" s="65"/>
      <c r="D61" s="66"/>
      <c r="E61" s="65"/>
      <c r="F61" s="66"/>
      <c r="G61" s="65"/>
      <c r="H61" s="66"/>
      <c r="I61" s="65"/>
      <c r="J61" s="66"/>
      <c r="K61" s="65"/>
      <c r="L61" s="66"/>
      <c r="M61" s="65"/>
      <c r="N61" s="66"/>
      <c r="O61" s="65"/>
      <c r="P61" s="66"/>
      <c r="Q61" s="65"/>
      <c r="R61" s="66"/>
      <c r="S61" s="65"/>
      <c r="T61" s="66"/>
    </row>
    <row r="62" spans="2:22" ht="15.75" customHeight="1" x14ac:dyDescent="0.15">
      <c r="B62" s="25"/>
      <c r="T62" s="27"/>
    </row>
    <row r="63" spans="2:22" ht="15.75" customHeight="1" x14ac:dyDescent="0.15">
      <c r="B63" s="25"/>
      <c r="T63" s="27"/>
    </row>
    <row r="64" spans="2:22" ht="15.75" customHeight="1" x14ac:dyDescent="0.15">
      <c r="B64" s="25"/>
      <c r="T64" s="27"/>
    </row>
    <row r="65" spans="2:20" ht="15.75" customHeight="1" x14ac:dyDescent="0.15">
      <c r="B65" s="25"/>
      <c r="T65" s="27"/>
    </row>
    <row r="66" spans="2:20" ht="15.75" customHeight="1" x14ac:dyDescent="0.15">
      <c r="B66" s="28"/>
      <c r="C66" s="29"/>
      <c r="D66" s="29"/>
      <c r="E66" s="29"/>
      <c r="F66" s="29"/>
      <c r="G66" s="29"/>
      <c r="H66" s="29"/>
      <c r="I66" s="29"/>
      <c r="J66" s="29"/>
      <c r="K66" s="29"/>
      <c r="L66" s="29"/>
      <c r="M66" s="29"/>
      <c r="N66" s="29"/>
      <c r="O66" s="29"/>
      <c r="P66" s="29"/>
      <c r="Q66" s="29"/>
      <c r="R66" s="29"/>
      <c r="S66" s="29"/>
      <c r="T66" s="30"/>
    </row>
  </sheetData>
  <mergeCells count="262">
    <mergeCell ref="A1:W2"/>
    <mergeCell ref="C3:H3"/>
    <mergeCell ref="I3:N3"/>
    <mergeCell ref="O3:T3"/>
    <mergeCell ref="C4:D4"/>
    <mergeCell ref="E4:F4"/>
    <mergeCell ref="G4:H4"/>
    <mergeCell ref="M14:N14"/>
    <mergeCell ref="O14:P14"/>
    <mergeCell ref="Q14:R14"/>
    <mergeCell ref="S14:T14"/>
    <mergeCell ref="I4:J4"/>
    <mergeCell ref="K4:L4"/>
    <mergeCell ref="C14:D14"/>
    <mergeCell ref="E14:F14"/>
    <mergeCell ref="G14:H14"/>
    <mergeCell ref="I14:J14"/>
    <mergeCell ref="K14:L14"/>
    <mergeCell ref="M4:N4"/>
    <mergeCell ref="O4:P4"/>
    <mergeCell ref="Q4:R4"/>
    <mergeCell ref="S4:T4"/>
    <mergeCell ref="Q15:R15"/>
    <mergeCell ref="S15:T15"/>
    <mergeCell ref="C15:D15"/>
    <mergeCell ref="E15:F15"/>
    <mergeCell ref="G15:H15"/>
    <mergeCell ref="I15:J15"/>
    <mergeCell ref="K15:L15"/>
    <mergeCell ref="M15:N15"/>
    <mergeCell ref="O15:P15"/>
    <mergeCell ref="Q19:R19"/>
    <mergeCell ref="S19:T19"/>
    <mergeCell ref="C19:D19"/>
    <mergeCell ref="E19:F19"/>
    <mergeCell ref="G19:H19"/>
    <mergeCell ref="I19:J19"/>
    <mergeCell ref="K19:L19"/>
    <mergeCell ref="M19:N19"/>
    <mergeCell ref="O19:P19"/>
    <mergeCell ref="Q20:R20"/>
    <mergeCell ref="S20:T20"/>
    <mergeCell ref="C20:D20"/>
    <mergeCell ref="E20:F20"/>
    <mergeCell ref="G20:H20"/>
    <mergeCell ref="I20:J20"/>
    <mergeCell ref="K20:L20"/>
    <mergeCell ref="M20:N20"/>
    <mergeCell ref="O20:P20"/>
    <mergeCell ref="Q21:R21"/>
    <mergeCell ref="S21:T21"/>
    <mergeCell ref="C21:D21"/>
    <mergeCell ref="E21:F21"/>
    <mergeCell ref="G21:H21"/>
    <mergeCell ref="I21:J21"/>
    <mergeCell ref="K21:L21"/>
    <mergeCell ref="M21:N21"/>
    <mergeCell ref="O21:P21"/>
    <mergeCell ref="C23:D23"/>
    <mergeCell ref="E23:F23"/>
    <mergeCell ref="G23:H23"/>
    <mergeCell ref="I23:J23"/>
    <mergeCell ref="K23:L23"/>
    <mergeCell ref="M23:N23"/>
    <mergeCell ref="O23:P23"/>
    <mergeCell ref="Q22:R22"/>
    <mergeCell ref="S22:T22"/>
    <mergeCell ref="C22:D22"/>
    <mergeCell ref="E22:F22"/>
    <mergeCell ref="G22:H22"/>
    <mergeCell ref="I22:J22"/>
    <mergeCell ref="K22:L22"/>
    <mergeCell ref="M22:N22"/>
    <mergeCell ref="O22:P22"/>
    <mergeCell ref="Q16:R16"/>
    <mergeCell ref="S16:T16"/>
    <mergeCell ref="C16:D16"/>
    <mergeCell ref="E16:F16"/>
    <mergeCell ref="G16:H16"/>
    <mergeCell ref="I16:J16"/>
    <mergeCell ref="K16:L16"/>
    <mergeCell ref="M16:N16"/>
    <mergeCell ref="O16:P16"/>
    <mergeCell ref="Q17:R17"/>
    <mergeCell ref="S17:T17"/>
    <mergeCell ref="C17:D17"/>
    <mergeCell ref="E17:F17"/>
    <mergeCell ref="G17:H17"/>
    <mergeCell ref="I17:J17"/>
    <mergeCell ref="K17:L17"/>
    <mergeCell ref="M17:N17"/>
    <mergeCell ref="O17:P17"/>
    <mergeCell ref="I54:J54"/>
    <mergeCell ref="K54:L54"/>
    <mergeCell ref="Q50:R50"/>
    <mergeCell ref="S50:T50"/>
    <mergeCell ref="Q18:R18"/>
    <mergeCell ref="S18:T18"/>
    <mergeCell ref="C18:D18"/>
    <mergeCell ref="E18:F18"/>
    <mergeCell ref="G18:H18"/>
    <mergeCell ref="I18:J18"/>
    <mergeCell ref="K18:L18"/>
    <mergeCell ref="M18:N18"/>
    <mergeCell ref="O18:P18"/>
    <mergeCell ref="Q24:R24"/>
    <mergeCell ref="S24:T24"/>
    <mergeCell ref="C24:D24"/>
    <mergeCell ref="E24:F24"/>
    <mergeCell ref="G24:H24"/>
    <mergeCell ref="I24:J24"/>
    <mergeCell ref="K24:L24"/>
    <mergeCell ref="M24:N24"/>
    <mergeCell ref="O24:P24"/>
    <mergeCell ref="Q23:R23"/>
    <mergeCell ref="S23:T23"/>
    <mergeCell ref="C54:D54"/>
    <mergeCell ref="E54:F54"/>
    <mergeCell ref="G54:H54"/>
    <mergeCell ref="E55:F55"/>
    <mergeCell ref="G55:H55"/>
    <mergeCell ref="Q54:R54"/>
    <mergeCell ref="S54:T54"/>
    <mergeCell ref="G39:H39"/>
    <mergeCell ref="I39:J39"/>
    <mergeCell ref="C49:D49"/>
    <mergeCell ref="E49:F49"/>
    <mergeCell ref="G49:H49"/>
    <mergeCell ref="I49:J49"/>
    <mergeCell ref="K49:L49"/>
    <mergeCell ref="G51:H51"/>
    <mergeCell ref="I51:J51"/>
    <mergeCell ref="C50:D50"/>
    <mergeCell ref="E50:F50"/>
    <mergeCell ref="G50:H50"/>
    <mergeCell ref="I50:J50"/>
    <mergeCell ref="K50:L50"/>
    <mergeCell ref="E51:F51"/>
    <mergeCell ref="K51:L51"/>
    <mergeCell ref="I53:J53"/>
    <mergeCell ref="C51:D51"/>
    <mergeCell ref="C52:D52"/>
    <mergeCell ref="E52:F52"/>
    <mergeCell ref="G52:H52"/>
    <mergeCell ref="I52:J52"/>
    <mergeCell ref="K52:L52"/>
    <mergeCell ref="C53:D53"/>
    <mergeCell ref="E53:F53"/>
    <mergeCell ref="G53:H53"/>
    <mergeCell ref="K53:L53"/>
    <mergeCell ref="C58:D58"/>
    <mergeCell ref="E58:F58"/>
    <mergeCell ref="G58:H58"/>
    <mergeCell ref="I58:J58"/>
    <mergeCell ref="K58:L58"/>
    <mergeCell ref="Q25:R25"/>
    <mergeCell ref="S25:T25"/>
    <mergeCell ref="C25:D25"/>
    <mergeCell ref="E25:F25"/>
    <mergeCell ref="G25:H25"/>
    <mergeCell ref="I25:J25"/>
    <mergeCell ref="K25:L25"/>
    <mergeCell ref="M25:N25"/>
    <mergeCell ref="O25:P25"/>
    <mergeCell ref="Q26:R26"/>
    <mergeCell ref="S26:T26"/>
    <mergeCell ref="C26:D26"/>
    <mergeCell ref="E26:F26"/>
    <mergeCell ref="G26:H26"/>
    <mergeCell ref="I26:J26"/>
    <mergeCell ref="K26:L26"/>
    <mergeCell ref="M26:N26"/>
    <mergeCell ref="I55:J55"/>
    <mergeCell ref="K55:L55"/>
    <mergeCell ref="O26:P26"/>
    <mergeCell ref="K39:L39"/>
    <mergeCell ref="M39:N39"/>
    <mergeCell ref="O39:P39"/>
    <mergeCell ref="Q39:R39"/>
    <mergeCell ref="C28:S33"/>
    <mergeCell ref="A36:W37"/>
    <mergeCell ref="C38:H38"/>
    <mergeCell ref="I38:N38"/>
    <mergeCell ref="O38:T38"/>
    <mergeCell ref="C39:D39"/>
    <mergeCell ref="E39:F39"/>
    <mergeCell ref="S39:T39"/>
    <mergeCell ref="M49:N49"/>
    <mergeCell ref="O49:P49"/>
    <mergeCell ref="Q49:R49"/>
    <mergeCell ref="S49:T49"/>
    <mergeCell ref="U49:V49"/>
    <mergeCell ref="M50:N50"/>
    <mergeCell ref="O50:P50"/>
    <mergeCell ref="M51:N51"/>
    <mergeCell ref="O51:P51"/>
    <mergeCell ref="Q51:R51"/>
    <mergeCell ref="S51:T51"/>
    <mergeCell ref="M58:N58"/>
    <mergeCell ref="O58:P58"/>
    <mergeCell ref="Q58:R58"/>
    <mergeCell ref="S58:T58"/>
    <mergeCell ref="M59:N59"/>
    <mergeCell ref="O59:P59"/>
    <mergeCell ref="O52:P52"/>
    <mergeCell ref="Q52:R52"/>
    <mergeCell ref="S52:T52"/>
    <mergeCell ref="M52:N52"/>
    <mergeCell ref="M53:N53"/>
    <mergeCell ref="O53:P53"/>
    <mergeCell ref="Q53:R53"/>
    <mergeCell ref="S53:T53"/>
    <mergeCell ref="M54:N54"/>
    <mergeCell ref="O54:P54"/>
    <mergeCell ref="I57:J57"/>
    <mergeCell ref="K57:L57"/>
    <mergeCell ref="M57:N57"/>
    <mergeCell ref="O57:P57"/>
    <mergeCell ref="Q57:R57"/>
    <mergeCell ref="S57:T57"/>
    <mergeCell ref="C55:D55"/>
    <mergeCell ref="C56:D56"/>
    <mergeCell ref="E56:F56"/>
    <mergeCell ref="G56:H56"/>
    <mergeCell ref="I56:J56"/>
    <mergeCell ref="K56:L56"/>
    <mergeCell ref="C57:D57"/>
    <mergeCell ref="M55:N55"/>
    <mergeCell ref="O55:P55"/>
    <mergeCell ref="Q55:R55"/>
    <mergeCell ref="S55:T55"/>
    <mergeCell ref="O56:P56"/>
    <mergeCell ref="Q56:R56"/>
    <mergeCell ref="S56:T56"/>
    <mergeCell ref="M56:N56"/>
    <mergeCell ref="E57:F57"/>
    <mergeCell ref="G57:H57"/>
    <mergeCell ref="G60:H60"/>
    <mergeCell ref="I60:J60"/>
    <mergeCell ref="K60:L60"/>
    <mergeCell ref="M60:N60"/>
    <mergeCell ref="O60:P60"/>
    <mergeCell ref="Q60:R60"/>
    <mergeCell ref="S60:T60"/>
    <mergeCell ref="C59:D59"/>
    <mergeCell ref="E59:F59"/>
    <mergeCell ref="G59:H59"/>
    <mergeCell ref="I59:J59"/>
    <mergeCell ref="K59:L59"/>
    <mergeCell ref="C60:D60"/>
    <mergeCell ref="E60:F60"/>
    <mergeCell ref="Q59:R59"/>
    <mergeCell ref="S59:T59"/>
    <mergeCell ref="Q61:R61"/>
    <mergeCell ref="S61:T61"/>
    <mergeCell ref="C61:D61"/>
    <mergeCell ref="E61:F61"/>
    <mergeCell ref="G61:H61"/>
    <mergeCell ref="I61:J61"/>
    <mergeCell ref="K61:L61"/>
    <mergeCell ref="M61:N61"/>
    <mergeCell ref="O61:P6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4:H9"/>
  <sheetViews>
    <sheetView workbookViewId="0"/>
  </sheetViews>
  <sheetFormatPr baseColWidth="10" defaultColWidth="12.6640625" defaultRowHeight="15.75" customHeight="1" x14ac:dyDescent="0.15"/>
  <cols>
    <col min="2" max="2" width="41.5" customWidth="1"/>
  </cols>
  <sheetData>
    <row r="4" spans="2:8" ht="15.75" customHeight="1" x14ac:dyDescent="0.15">
      <c r="B4" s="32"/>
      <c r="C4" s="87" t="s">
        <v>1407</v>
      </c>
      <c r="D4" s="88"/>
      <c r="E4" s="88"/>
      <c r="F4" s="88"/>
      <c r="G4" s="88"/>
      <c r="H4" s="88"/>
    </row>
    <row r="5" spans="2:8" ht="15.75" customHeight="1" x14ac:dyDescent="0.15">
      <c r="B5" s="31"/>
      <c r="C5" s="89" t="s">
        <v>1402</v>
      </c>
      <c r="D5" s="64"/>
      <c r="E5" s="89" t="s">
        <v>1403</v>
      </c>
      <c r="F5" s="64"/>
      <c r="G5" s="89" t="s">
        <v>1404</v>
      </c>
      <c r="H5" s="64"/>
    </row>
    <row r="6" spans="2:8" ht="15.75" customHeight="1" x14ac:dyDescent="0.15">
      <c r="B6" s="31"/>
      <c r="C6" s="33" t="s">
        <v>1405</v>
      </c>
      <c r="D6" s="33" t="s">
        <v>1406</v>
      </c>
      <c r="E6" s="33" t="s">
        <v>1405</v>
      </c>
      <c r="F6" s="33" t="s">
        <v>1406</v>
      </c>
      <c r="G6" s="33" t="s">
        <v>1405</v>
      </c>
      <c r="H6" s="31" t="s">
        <v>1406</v>
      </c>
    </row>
    <row r="7" spans="2:8" ht="15.75" customHeight="1" x14ac:dyDescent="0.15">
      <c r="B7" s="34" t="s">
        <v>1449</v>
      </c>
      <c r="C7" s="35">
        <v>0.50760000000000005</v>
      </c>
      <c r="D7" s="35">
        <v>0.7147</v>
      </c>
      <c r="E7" s="35">
        <v>0.55910000000000004</v>
      </c>
      <c r="F7" s="35">
        <v>0.97819999999999996</v>
      </c>
      <c r="G7" s="35">
        <v>0.53800000000000003</v>
      </c>
      <c r="H7" s="36">
        <v>0.61650000000000005</v>
      </c>
    </row>
    <row r="8" spans="2:8" ht="15.75" customHeight="1" x14ac:dyDescent="0.15">
      <c r="B8" s="31" t="s">
        <v>1450</v>
      </c>
      <c r="C8" s="35">
        <v>0.49669999999999997</v>
      </c>
      <c r="D8" s="35">
        <v>0.72070000000000001</v>
      </c>
      <c r="E8" s="35">
        <v>0.60199999999999998</v>
      </c>
      <c r="F8" s="35">
        <v>0.9728</v>
      </c>
      <c r="G8" s="35">
        <v>0.54020000000000001</v>
      </c>
      <c r="H8" s="37">
        <v>0.629</v>
      </c>
    </row>
    <row r="9" spans="2:8" ht="15.75" customHeight="1" x14ac:dyDescent="0.15">
      <c r="B9" s="38" t="s">
        <v>1451</v>
      </c>
      <c r="C9" s="39">
        <v>0.4803</v>
      </c>
      <c r="D9" s="39">
        <v>0.99390000000000001</v>
      </c>
      <c r="E9" s="39">
        <v>0.46700000000000003</v>
      </c>
      <c r="F9" s="39">
        <v>0.99719999999999998</v>
      </c>
      <c r="G9" s="39">
        <v>0.46500000000000002</v>
      </c>
      <c r="H9" s="40">
        <v>0.68100000000000005</v>
      </c>
    </row>
  </sheetData>
  <mergeCells count="4">
    <mergeCell ref="C4:H4"/>
    <mergeCell ref="C5:D5"/>
    <mergeCell ref="E5:F5"/>
    <mergeCell ref="G5:H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B474"/>
  <sheetViews>
    <sheetView zoomScale="131" workbookViewId="0">
      <pane xSplit="4" topLeftCell="AB1" activePane="topRight" state="frozen"/>
      <selection pane="topRight" activeCell="M1" sqref="M1:M1048576"/>
    </sheetView>
  </sheetViews>
  <sheetFormatPr baseColWidth="10" defaultColWidth="12.6640625" defaultRowHeight="15.75" customHeight="1" x14ac:dyDescent="0.15"/>
  <cols>
    <col min="1" max="1" width="17.5" customWidth="1"/>
    <col min="2" max="2" width="14.83203125" customWidth="1"/>
    <col min="3" max="3" width="10.1640625" customWidth="1"/>
    <col min="4" max="4" width="23.6640625" customWidth="1"/>
    <col min="9" max="9" width="16.1640625" customWidth="1"/>
    <col min="11" max="11" width="13.5" customWidth="1"/>
    <col min="13" max="13" width="20.6640625" customWidth="1"/>
    <col min="15" max="15" width="16.1640625" customWidth="1"/>
    <col min="16" max="16" width="29" customWidth="1"/>
    <col min="17" max="17" width="37.1640625" customWidth="1"/>
  </cols>
  <sheetData>
    <row r="1" spans="1:54" ht="15.75" customHeight="1" x14ac:dyDescent="0.15">
      <c r="A1" s="1" t="s">
        <v>0</v>
      </c>
      <c r="B1" s="1" t="s">
        <v>1</v>
      </c>
      <c r="C1" s="1" t="s">
        <v>2</v>
      </c>
      <c r="D1" s="1" t="s">
        <v>3</v>
      </c>
      <c r="E1" s="2" t="s">
        <v>4</v>
      </c>
      <c r="F1" s="2" t="s">
        <v>5</v>
      </c>
      <c r="G1" s="2" t="s">
        <v>6</v>
      </c>
      <c r="H1" s="2" t="s">
        <v>7</v>
      </c>
      <c r="I1" s="2" t="s">
        <v>1414</v>
      </c>
      <c r="J1" s="2" t="s">
        <v>8</v>
      </c>
      <c r="K1" s="2" t="s">
        <v>9</v>
      </c>
      <c r="L1" s="2" t="s">
        <v>10</v>
      </c>
      <c r="M1" s="2" t="s">
        <v>1420</v>
      </c>
      <c r="N1" s="2" t="s">
        <v>1416</v>
      </c>
      <c r="O1" s="2" t="s">
        <v>1434</v>
      </c>
      <c r="P1" s="2" t="s">
        <v>1452</v>
      </c>
      <c r="Q1" s="2" t="s">
        <v>1444</v>
      </c>
      <c r="R1" s="2" t="s">
        <v>1423</v>
      </c>
      <c r="S1" s="2" t="s">
        <v>1415</v>
      </c>
      <c r="T1" s="2" t="s">
        <v>1425</v>
      </c>
      <c r="U1" s="2" t="s">
        <v>1418</v>
      </c>
      <c r="V1" s="2" t="s">
        <v>1453</v>
      </c>
      <c r="W1" s="2" t="s">
        <v>1428</v>
      </c>
      <c r="X1" s="2" t="s">
        <v>1443</v>
      </c>
      <c r="Y1" s="2" t="s">
        <v>1429</v>
      </c>
      <c r="Z1" s="2" t="s">
        <v>1454</v>
      </c>
      <c r="AA1" s="2" t="s">
        <v>1455</v>
      </c>
      <c r="AB1" s="2" t="s">
        <v>1417</v>
      </c>
      <c r="AC1" s="2" t="s">
        <v>1456</v>
      </c>
      <c r="AD1" s="2" t="s">
        <v>1457</v>
      </c>
      <c r="AE1" s="2" t="s">
        <v>1419</v>
      </c>
      <c r="AF1" s="2" t="s">
        <v>1458</v>
      </c>
      <c r="AG1" s="2" t="s">
        <v>1427</v>
      </c>
      <c r="AH1" s="2" t="s">
        <v>1459</v>
      </c>
      <c r="AI1" s="2" t="s">
        <v>1460</v>
      </c>
      <c r="AJ1" s="2" t="s">
        <v>1421</v>
      </c>
      <c r="AK1" s="2" t="s">
        <v>1447</v>
      </c>
      <c r="AL1" s="2" t="s">
        <v>1461</v>
      </c>
      <c r="AM1" s="2" t="s">
        <v>1462</v>
      </c>
      <c r="AN1" s="2" t="s">
        <v>1438</v>
      </c>
      <c r="AO1" s="2" t="s">
        <v>1442</v>
      </c>
      <c r="AP1" s="2" t="s">
        <v>1463</v>
      </c>
      <c r="AQ1" s="2" t="s">
        <v>1464</v>
      </c>
      <c r="AR1" s="2" t="s">
        <v>1430</v>
      </c>
      <c r="AS1" s="2" t="s">
        <v>1436</v>
      </c>
      <c r="AT1" s="2" t="s">
        <v>1465</v>
      </c>
      <c r="AU1" s="2" t="s">
        <v>1426</v>
      </c>
      <c r="AV1" s="2" t="s">
        <v>1445</v>
      </c>
      <c r="AW1" s="2" t="s">
        <v>1466</v>
      </c>
      <c r="AX1" s="2" t="s">
        <v>1439</v>
      </c>
      <c r="AY1" s="2" t="s">
        <v>1432</v>
      </c>
      <c r="AZ1" s="2" t="s">
        <v>1422</v>
      </c>
      <c r="BA1" s="2" t="s">
        <v>1435</v>
      </c>
      <c r="BB1" s="2" t="s">
        <v>1467</v>
      </c>
    </row>
    <row r="2" spans="1:54" ht="15" x14ac:dyDescent="0.2">
      <c r="A2" s="3" t="s">
        <v>11</v>
      </c>
      <c r="B2" s="1" t="s">
        <v>12</v>
      </c>
      <c r="C2" s="4" t="s">
        <v>13</v>
      </c>
      <c r="D2" s="1" t="s">
        <v>14</v>
      </c>
      <c r="E2" s="2">
        <v>11738</v>
      </c>
      <c r="F2" s="2">
        <v>12836</v>
      </c>
      <c r="G2" s="2">
        <v>32731</v>
      </c>
      <c r="H2" s="2">
        <f t="shared" ref="H2:H256" si="0">SUM(E2:G2)</f>
        <v>57305</v>
      </c>
      <c r="I2" s="2">
        <v>72694</v>
      </c>
      <c r="J2" s="2">
        <v>1480170</v>
      </c>
      <c r="K2" s="2">
        <f t="shared" ref="K2:K256" si="1">H2/J2</f>
        <v>3.871514758439909E-2</v>
      </c>
      <c r="M2" s="2">
        <v>0.75845257973901004</v>
      </c>
      <c r="N2" s="2">
        <v>0.62914767752383205</v>
      </c>
      <c r="O2" s="2">
        <v>23.805426946168701</v>
      </c>
      <c r="P2" s="2">
        <v>37.837582171265304</v>
      </c>
      <c r="Q2" s="2">
        <v>48.703182647543699</v>
      </c>
      <c r="R2" s="2">
        <v>28.698011808882899</v>
      </c>
      <c r="S2" s="2">
        <v>0.36047729607922402</v>
      </c>
      <c r="T2" s="2">
        <v>6882.3766338476198</v>
      </c>
      <c r="U2" s="2">
        <v>608</v>
      </c>
      <c r="V2" s="2">
        <v>1276</v>
      </c>
      <c r="W2" s="2">
        <v>1098.2780706966601</v>
      </c>
      <c r="X2" s="2">
        <v>377933.15394127602</v>
      </c>
      <c r="Y2" s="2">
        <v>4278.7388013728996</v>
      </c>
      <c r="Z2" s="2">
        <v>385.02058268409201</v>
      </c>
      <c r="AA2" s="2">
        <v>47.441930053162103</v>
      </c>
      <c r="AB2" s="2">
        <v>0.781185337252572</v>
      </c>
      <c r="AC2" s="2">
        <v>5.1140676147925497</v>
      </c>
      <c r="AD2" s="2">
        <v>3.8390458257366999</v>
      </c>
      <c r="AE2" s="2">
        <v>0.28612834077180499</v>
      </c>
      <c r="AF2" s="2">
        <v>0.19519727869401299</v>
      </c>
      <c r="AG2" s="2">
        <v>0.98864990964426103</v>
      </c>
      <c r="AH2" s="2">
        <v>0.928786507113604</v>
      </c>
      <c r="AI2" s="2">
        <v>-0.146779756973904</v>
      </c>
      <c r="AJ2" s="2">
        <v>0.88227131461175101</v>
      </c>
      <c r="AK2" s="2">
        <v>1.5780852552751501E-3</v>
      </c>
      <c r="AL2" s="2">
        <v>9.8296557067741404</v>
      </c>
      <c r="AM2" s="2">
        <v>7.5320082897665497</v>
      </c>
      <c r="AN2" s="2">
        <v>2672.6062361560698</v>
      </c>
      <c r="AO2" s="2">
        <v>0.22768838270200001</v>
      </c>
      <c r="AP2" s="2">
        <v>362.97784971886199</v>
      </c>
      <c r="AQ2" s="2">
        <v>101.431209597191</v>
      </c>
      <c r="AR2" s="2">
        <v>1065.4866246379299</v>
      </c>
      <c r="AS2" s="2">
        <v>8.4803203271426106</v>
      </c>
      <c r="AT2" s="2">
        <v>8955.7163060146504</v>
      </c>
      <c r="AU2" s="2">
        <v>1.23806015454704E-2</v>
      </c>
      <c r="AV2" s="2">
        <v>1.51499532196436E-3</v>
      </c>
      <c r="AW2" s="2">
        <v>0.58598204328107095</v>
      </c>
      <c r="AX2" s="2">
        <v>1.00674198624832E-3</v>
      </c>
      <c r="AY2" s="2">
        <v>4534.3680349610704</v>
      </c>
      <c r="AZ2" s="2">
        <v>0.17351143544037201</v>
      </c>
      <c r="BA2" s="2">
        <v>1.3850408363722899</v>
      </c>
      <c r="BB2" s="2">
        <v>224</v>
      </c>
    </row>
    <row r="3" spans="1:54" ht="15" x14ac:dyDescent="0.2">
      <c r="A3" s="3" t="s">
        <v>15</v>
      </c>
      <c r="B3" s="1" t="s">
        <v>16</v>
      </c>
      <c r="C3" s="4" t="s">
        <v>17</v>
      </c>
      <c r="D3" s="1" t="s">
        <v>14</v>
      </c>
      <c r="E3" s="2">
        <v>11248</v>
      </c>
      <c r="F3" s="2">
        <v>155695</v>
      </c>
      <c r="G3" s="2">
        <v>23651</v>
      </c>
      <c r="H3" s="2">
        <f t="shared" si="0"/>
        <v>190594</v>
      </c>
      <c r="I3" s="2">
        <v>263014</v>
      </c>
      <c r="J3" s="2">
        <v>1392388</v>
      </c>
      <c r="K3" s="2">
        <f t="shared" si="1"/>
        <v>0.13688282289132053</v>
      </c>
      <c r="M3" s="2">
        <v>0.708959651933596</v>
      </c>
      <c r="N3" s="2">
        <v>0.64509889860501901</v>
      </c>
      <c r="O3" s="2">
        <v>22.850475077873</v>
      </c>
      <c r="P3" s="2">
        <v>35.421661899106603</v>
      </c>
      <c r="Q3" s="2">
        <v>41.400483088968898</v>
      </c>
      <c r="R3" s="2">
        <v>25.1125290909002</v>
      </c>
      <c r="S3" s="2">
        <v>0.45576895787181998</v>
      </c>
      <c r="T3" s="2">
        <v>5292.4580954682497</v>
      </c>
      <c r="U3" s="2">
        <v>533</v>
      </c>
      <c r="V3" s="2">
        <v>1136</v>
      </c>
      <c r="W3" s="2">
        <v>664.46547690354703</v>
      </c>
      <c r="X3" s="2">
        <v>156881.615967258</v>
      </c>
      <c r="Y3" s="2">
        <v>-1303.5063500536701</v>
      </c>
      <c r="Z3" s="2">
        <v>290.374352121622</v>
      </c>
      <c r="AA3" s="2">
        <v>16.404333265922801</v>
      </c>
      <c r="AB3" s="2">
        <v>0.89262850564135299</v>
      </c>
      <c r="AC3" s="2">
        <v>2.9817325653600202</v>
      </c>
      <c r="AD3" s="2">
        <v>3.1184530703023801</v>
      </c>
      <c r="AE3" s="2">
        <v>0.38744587650421303</v>
      </c>
      <c r="AF3" s="2">
        <v>0.30460030461767101</v>
      </c>
      <c r="AG3" s="2">
        <v>0.99147472934318404</v>
      </c>
      <c r="AH3" s="2">
        <v>0.93821346661237803</v>
      </c>
      <c r="AI3" s="2">
        <v>-0.235302160891631</v>
      </c>
      <c r="AJ3" s="2">
        <v>0.94640387710343399</v>
      </c>
      <c r="AK3" s="2">
        <v>2.91041196482745E-3</v>
      </c>
      <c r="AL3" s="2">
        <v>8.8175838777473299</v>
      </c>
      <c r="AM3" s="2">
        <v>7.9051933843122502</v>
      </c>
      <c r="AN3" s="2">
        <v>1635.2179943101</v>
      </c>
      <c r="AO3" s="2">
        <v>0.14537855568190799</v>
      </c>
      <c r="AP3" s="2">
        <v>368.98719772404002</v>
      </c>
      <c r="AQ3" s="2">
        <v>80.728110341158796</v>
      </c>
      <c r="AR3" s="2">
        <v>640.39464793741104</v>
      </c>
      <c r="AS3" s="2">
        <v>19.416785206258901</v>
      </c>
      <c r="AT3" s="2">
        <v>11134.806987909</v>
      </c>
      <c r="AU3" s="2">
        <v>7.9981900228942596E-2</v>
      </c>
      <c r="AV3" s="2">
        <v>3.54245624271457E-3</v>
      </c>
      <c r="AW3" s="2">
        <v>0.69115436081124404</v>
      </c>
      <c r="AX3" s="2">
        <v>1.63841109496195E-3</v>
      </c>
      <c r="AY3" s="2">
        <v>1200.40511144364</v>
      </c>
      <c r="AZ3" s="2">
        <v>0.161244588360617</v>
      </c>
      <c r="BA3" s="2">
        <v>0.99894654150079398</v>
      </c>
      <c r="BB3" s="2">
        <v>313</v>
      </c>
    </row>
    <row r="4" spans="1:54" ht="15" x14ac:dyDescent="0.2">
      <c r="A4" s="3" t="s">
        <v>18</v>
      </c>
      <c r="B4" s="1" t="s">
        <v>19</v>
      </c>
      <c r="C4" s="4" t="s">
        <v>20</v>
      </c>
      <c r="D4" s="1" t="s">
        <v>14</v>
      </c>
      <c r="E4" s="2">
        <v>17214</v>
      </c>
      <c r="F4" s="2">
        <v>57773</v>
      </c>
      <c r="G4" s="2">
        <v>24252</v>
      </c>
      <c r="H4" s="2">
        <f t="shared" si="0"/>
        <v>99239</v>
      </c>
      <c r="I4" s="2">
        <v>114268</v>
      </c>
      <c r="J4" s="2">
        <v>1617269</v>
      </c>
      <c r="K4" s="2">
        <f t="shared" si="1"/>
        <v>6.1362086331958381E-2</v>
      </c>
      <c r="M4" s="2">
        <v>0.88206647682099604</v>
      </c>
      <c r="N4" s="2">
        <v>0.68346059018333105</v>
      </c>
      <c r="O4" s="2">
        <v>24.2007798318018</v>
      </c>
      <c r="P4" s="2">
        <v>35.409181128220197</v>
      </c>
      <c r="Q4" s="2">
        <v>42.011903075200003</v>
      </c>
      <c r="R4" s="2">
        <v>31.233251644885701</v>
      </c>
      <c r="S4" s="2">
        <v>0.63704885815268597</v>
      </c>
      <c r="T4" s="2">
        <v>5044.2251024592797</v>
      </c>
      <c r="U4" s="2">
        <v>712.3</v>
      </c>
      <c r="V4" s="2">
        <v>1172.7</v>
      </c>
      <c r="W4" s="2">
        <v>1220.5859508446899</v>
      </c>
      <c r="X4" s="2">
        <v>113436.125244144</v>
      </c>
      <c r="Y4" s="2">
        <v>-469.22856956223802</v>
      </c>
      <c r="Z4" s="2">
        <v>191.157346205941</v>
      </c>
      <c r="AA4" s="2">
        <v>29.874736404822801</v>
      </c>
      <c r="AB4" s="2">
        <v>0.72983981614614502</v>
      </c>
      <c r="AC4" s="2">
        <v>4.0384734028444198</v>
      </c>
      <c r="AD4" s="2">
        <v>3.51903835854309</v>
      </c>
      <c r="AE4" s="2">
        <v>0.32712617858826898</v>
      </c>
      <c r="AF4" s="2">
        <v>0.23724498488602999</v>
      </c>
      <c r="AG4" s="2">
        <v>0.99118977282447396</v>
      </c>
      <c r="AH4" s="2">
        <v>0.93694891638775402</v>
      </c>
      <c r="AI4" s="2">
        <v>-0.137332820063675</v>
      </c>
      <c r="AJ4" s="2">
        <v>0.85048248572900798</v>
      </c>
      <c r="AK4" s="2">
        <v>2.5047543483993099E-3</v>
      </c>
      <c r="AL4" s="2">
        <v>9.1661259394797394</v>
      </c>
      <c r="AM4" s="2">
        <v>7.53480061794468</v>
      </c>
      <c r="AN4" s="2">
        <v>3066.0395027303398</v>
      </c>
      <c r="AO4" s="2">
        <v>0.178113134816448</v>
      </c>
      <c r="AP4" s="2">
        <v>662.479144882073</v>
      </c>
      <c r="AQ4" s="2">
        <v>54.848022235934302</v>
      </c>
      <c r="AR4" s="2">
        <v>1210.6505170210301</v>
      </c>
      <c r="AS4" s="2">
        <v>13.1017776228651</v>
      </c>
      <c r="AT4" s="2">
        <v>16569.708841640499</v>
      </c>
      <c r="AU4" s="2">
        <v>1.2515274704312501E-2</v>
      </c>
      <c r="AV4" s="2">
        <v>1.21141757423526E-3</v>
      </c>
      <c r="AW4" s="2">
        <v>0.62743284246840803</v>
      </c>
      <c r="AX4" s="2">
        <v>7.2916692596600196E-4</v>
      </c>
      <c r="AY4" s="2">
        <v>3092.1548037051698</v>
      </c>
      <c r="AZ4" s="2">
        <v>8.80312043429098E-2</v>
      </c>
      <c r="BA4" s="2">
        <v>0.87175610563024397</v>
      </c>
      <c r="BB4" s="2">
        <v>241</v>
      </c>
    </row>
    <row r="5" spans="1:54" ht="15" x14ac:dyDescent="0.2">
      <c r="A5" s="3" t="s">
        <v>21</v>
      </c>
      <c r="B5" s="1" t="s">
        <v>22</v>
      </c>
      <c r="C5" s="4" t="s">
        <v>23</v>
      </c>
      <c r="D5" s="1" t="s">
        <v>14</v>
      </c>
      <c r="E5" s="2">
        <v>24187</v>
      </c>
      <c r="F5" s="2">
        <v>76742</v>
      </c>
      <c r="G5" s="2">
        <v>23854</v>
      </c>
      <c r="H5" s="2">
        <f t="shared" si="0"/>
        <v>124783</v>
      </c>
      <c r="I5" s="2">
        <v>164625</v>
      </c>
      <c r="J5" s="2">
        <v>1292510</v>
      </c>
      <c r="K5" s="2">
        <f t="shared" si="1"/>
        <v>9.6543160207657963E-2</v>
      </c>
      <c r="M5" s="2">
        <v>0.98874856103267195</v>
      </c>
      <c r="N5" s="2">
        <v>0.61317378658413302</v>
      </c>
      <c r="O5" s="2">
        <v>24.949429545224699</v>
      </c>
      <c r="P5" s="2">
        <v>40.689002190085297</v>
      </c>
      <c r="Q5" s="2">
        <v>44.777226354476198</v>
      </c>
      <c r="R5" s="2">
        <v>40.2311923653021</v>
      </c>
      <c r="S5" s="2">
        <v>0.61995049913980604</v>
      </c>
      <c r="T5" s="2">
        <v>6506.96820362158</v>
      </c>
      <c r="U5" s="2">
        <v>1505</v>
      </c>
      <c r="V5" s="2">
        <v>1850</v>
      </c>
      <c r="W5" s="2">
        <v>2662.0356038486898</v>
      </c>
      <c r="X5" s="2">
        <v>321137.01541209401</v>
      </c>
      <c r="Y5" s="2">
        <v>-5368.0026269660802</v>
      </c>
      <c r="Z5" s="2">
        <v>159.62512677695901</v>
      </c>
      <c r="AA5" s="2">
        <v>13.763691879628301</v>
      </c>
      <c r="AB5" s="2">
        <v>0.83920660633850397</v>
      </c>
      <c r="AC5" s="2">
        <v>2.0492583124676398</v>
      </c>
      <c r="AD5" s="2">
        <v>2.62273920338991</v>
      </c>
      <c r="AE5" s="2">
        <v>0.52149677756625301</v>
      </c>
      <c r="AF5" s="2">
        <v>0.47147116266862499</v>
      </c>
      <c r="AG5" s="2">
        <v>0.99670950089347599</v>
      </c>
      <c r="AH5" s="2">
        <v>0.97037866401280704</v>
      </c>
      <c r="AI5" s="2">
        <v>-0.25866845301512398</v>
      </c>
      <c r="AJ5" s="2">
        <v>0.938591647873109</v>
      </c>
      <c r="AK5" s="2">
        <v>1.4347838042066401E-2</v>
      </c>
      <c r="AL5" s="2">
        <v>7.2921105659785903</v>
      </c>
      <c r="AM5" s="2">
        <v>7.9325380748063203</v>
      </c>
      <c r="AN5" s="2">
        <v>1747.2707239426099</v>
      </c>
      <c r="AO5" s="2">
        <v>7.2240076236929504E-2</v>
      </c>
      <c r="AP5" s="2">
        <v>1715.48067143507</v>
      </c>
      <c r="AQ5" s="2">
        <v>55.330344422994898</v>
      </c>
      <c r="AR5" s="2">
        <v>2617.42200355563</v>
      </c>
      <c r="AS5" s="2">
        <v>62.426716831355698</v>
      </c>
      <c r="AT5" s="2">
        <v>176551.77028982501</v>
      </c>
      <c r="AU5" s="2">
        <v>2.2794853675901599E-2</v>
      </c>
      <c r="AV5" s="2">
        <v>5.2621670688645804E-4</v>
      </c>
      <c r="AW5" s="2">
        <v>0.36614019951939902</v>
      </c>
      <c r="AX5" s="2">
        <v>5.6261495830662895E-4</v>
      </c>
      <c r="AY5" s="2">
        <v>3174.8589547639399</v>
      </c>
      <c r="AZ5" s="2">
        <v>4.74880531305907E-2</v>
      </c>
      <c r="BA5" s="2">
        <v>2.1851761007730901</v>
      </c>
      <c r="BB5" s="2">
        <v>1650</v>
      </c>
    </row>
    <row r="6" spans="1:54" ht="15" x14ac:dyDescent="0.2">
      <c r="A6" s="3" t="s">
        <v>24</v>
      </c>
      <c r="B6" s="1" t="s">
        <v>25</v>
      </c>
      <c r="C6" s="4" t="s">
        <v>26</v>
      </c>
      <c r="D6" s="1" t="s">
        <v>14</v>
      </c>
      <c r="E6" s="2">
        <v>25506</v>
      </c>
      <c r="F6" s="2">
        <v>85957</v>
      </c>
      <c r="G6" s="2">
        <v>26448</v>
      </c>
      <c r="H6" s="2">
        <f t="shared" si="0"/>
        <v>137911</v>
      </c>
      <c r="I6" s="2">
        <v>164904</v>
      </c>
      <c r="J6" s="2">
        <v>1519600</v>
      </c>
      <c r="K6" s="2">
        <f t="shared" si="1"/>
        <v>9.0754803895762043E-2</v>
      </c>
      <c r="M6" s="2">
        <v>0.78482660815255001</v>
      </c>
      <c r="N6" s="2">
        <v>0.58393934926491298</v>
      </c>
      <c r="O6" s="2">
        <v>25.148792882077</v>
      </c>
      <c r="P6" s="2">
        <v>43.067474239808199</v>
      </c>
      <c r="Q6" s="2">
        <v>48.5077313425396</v>
      </c>
      <c r="R6" s="2">
        <v>33.800499729325999</v>
      </c>
      <c r="S6" s="2">
        <v>0.72575731432068902</v>
      </c>
      <c r="T6" s="2">
        <v>5770.0406144019998</v>
      </c>
      <c r="U6" s="2">
        <v>1227</v>
      </c>
      <c r="V6" s="2">
        <v>1536.5</v>
      </c>
      <c r="W6" s="2">
        <v>1953.7265802131301</v>
      </c>
      <c r="X6" s="2">
        <v>27631.497914618001</v>
      </c>
      <c r="Y6" s="2">
        <v>-305.335359747979</v>
      </c>
      <c r="Z6" s="2">
        <v>81.849054863615393</v>
      </c>
      <c r="AA6" s="2">
        <v>17.526196805904501</v>
      </c>
      <c r="AB6" s="2">
        <v>0.64729586354884205</v>
      </c>
      <c r="AC6" s="2">
        <v>3.10313367549176</v>
      </c>
      <c r="AD6" s="2">
        <v>3.1550674520833701</v>
      </c>
      <c r="AE6" s="2">
        <v>0.37169835096790199</v>
      </c>
      <c r="AF6" s="2">
        <v>0.28475558755713698</v>
      </c>
      <c r="AG6" s="2">
        <v>0.99511381023337198</v>
      </c>
      <c r="AH6" s="2">
        <v>0.95182647976519896</v>
      </c>
      <c r="AI6" s="2">
        <v>-0.110098198152174</v>
      </c>
      <c r="AJ6" s="2">
        <v>0.76869594557459997</v>
      </c>
      <c r="AK6" s="2">
        <v>4.9147173812549502E-3</v>
      </c>
      <c r="AL6" s="2">
        <v>8.1886706166532708</v>
      </c>
      <c r="AM6" s="2">
        <v>7.1474151974818598</v>
      </c>
      <c r="AN6" s="2">
        <v>3930.4282129694998</v>
      </c>
      <c r="AO6" s="2">
        <v>0.154098181328687</v>
      </c>
      <c r="AP6" s="2">
        <v>1475.2256723908099</v>
      </c>
      <c r="AQ6" s="2">
        <v>24.820922531568101</v>
      </c>
      <c r="AR6" s="2">
        <v>1949.4177056378901</v>
      </c>
      <c r="AS6" s="2">
        <v>17.667529208813601</v>
      </c>
      <c r="AT6" s="2">
        <v>35442.267701717297</v>
      </c>
      <c r="AU6" s="2">
        <v>9.2984300737449892E-3</v>
      </c>
      <c r="AV6" s="2">
        <v>6.1072110253581897E-4</v>
      </c>
      <c r="AW6" s="2">
        <v>0.79649365700860097</v>
      </c>
      <c r="AX6" s="2">
        <v>4.1214623239264599E-4</v>
      </c>
      <c r="AY6" s="2">
        <v>2594.1748766509199</v>
      </c>
      <c r="AZ6" s="2">
        <v>3.88367056622934E-2</v>
      </c>
      <c r="BA6" s="2">
        <v>0.75254749435191504</v>
      </c>
      <c r="BB6" s="2">
        <v>1611</v>
      </c>
    </row>
    <row r="7" spans="1:54" ht="15" x14ac:dyDescent="0.2">
      <c r="A7" s="3" t="s">
        <v>27</v>
      </c>
      <c r="B7" s="1" t="s">
        <v>28</v>
      </c>
      <c r="C7" s="4" t="s">
        <v>29</v>
      </c>
      <c r="D7" s="1" t="s">
        <v>14</v>
      </c>
      <c r="E7" s="2">
        <v>16</v>
      </c>
      <c r="F7" s="2">
        <v>18135</v>
      </c>
      <c r="G7" s="2">
        <v>311</v>
      </c>
      <c r="H7" s="2">
        <f t="shared" si="0"/>
        <v>18462</v>
      </c>
      <c r="I7" s="2">
        <v>21386</v>
      </c>
      <c r="J7" s="2">
        <v>1432101</v>
      </c>
      <c r="K7" s="2">
        <f t="shared" si="1"/>
        <v>1.2891548850255674E-2</v>
      </c>
      <c r="M7" s="2">
        <v>0.85600402360732897</v>
      </c>
      <c r="N7" s="2">
        <v>0.60652412585028004</v>
      </c>
      <c r="O7" s="2">
        <v>2.0792823521983101</v>
      </c>
      <c r="P7" s="2">
        <v>3.4281939721414698</v>
      </c>
      <c r="Q7" s="2">
        <v>3.60555127546399</v>
      </c>
      <c r="R7" s="2">
        <v>2.9345478338594901</v>
      </c>
      <c r="S7" s="2">
        <v>0.88412734366908496</v>
      </c>
      <c r="T7" s="2">
        <v>30.755901397162699</v>
      </c>
      <c r="U7" s="2">
        <v>990</v>
      </c>
      <c r="V7" s="2">
        <v>1132.5</v>
      </c>
      <c r="W7" s="2">
        <v>43.4083028083028</v>
      </c>
      <c r="X7" s="2">
        <v>373.03722509792101</v>
      </c>
      <c r="Y7" s="2">
        <v>-13.223191460111201</v>
      </c>
      <c r="Z7" s="2">
        <v>14.2683626833924</v>
      </c>
      <c r="AA7" s="2">
        <v>7.0282967032967001</v>
      </c>
      <c r="AB7" s="2">
        <v>0.40925163950034898</v>
      </c>
      <c r="AC7" s="2">
        <v>2.0258547008546999</v>
      </c>
      <c r="AD7" s="2">
        <v>1.64719477968933</v>
      </c>
      <c r="AE7" s="2">
        <v>0.47828856328856301</v>
      </c>
      <c r="AF7" s="2">
        <v>0.407134362620788</v>
      </c>
      <c r="AG7" s="2">
        <v>0.92872150866258296</v>
      </c>
      <c r="AH7" s="2">
        <v>0.83511310270925598</v>
      </c>
      <c r="AI7" s="2">
        <v>-0.69285845269422897</v>
      </c>
      <c r="AJ7" s="2">
        <v>0.97460972417809499</v>
      </c>
      <c r="AK7" s="2">
        <v>0.15051586695931901</v>
      </c>
      <c r="AL7" s="2">
        <v>3.0226803544771599</v>
      </c>
      <c r="AM7" s="2">
        <v>2.7743974703476999</v>
      </c>
      <c r="AN7" s="2">
        <v>4.875</v>
      </c>
      <c r="AO7" s="2">
        <v>0.3046875</v>
      </c>
      <c r="AP7" s="2">
        <v>3</v>
      </c>
      <c r="AQ7" s="2">
        <v>6.27734375</v>
      </c>
      <c r="AR7" s="2">
        <v>44.5625</v>
      </c>
      <c r="AS7" s="2">
        <v>10.125</v>
      </c>
      <c r="AT7" s="2">
        <v>699.4375</v>
      </c>
      <c r="AU7" s="2">
        <v>0.26358603395061703</v>
      </c>
      <c r="AV7" s="2">
        <v>9.5446566358024704E-2</v>
      </c>
      <c r="AW7" s="2">
        <v>0.11079663825757601</v>
      </c>
      <c r="AX7" s="2">
        <v>0.225638614972062</v>
      </c>
      <c r="AY7" s="2">
        <v>38.2268182945527</v>
      </c>
      <c r="AZ7" s="2">
        <v>0.45589718509029997</v>
      </c>
      <c r="BA7" s="2">
        <v>8.0678960603520498</v>
      </c>
      <c r="BB7" s="2">
        <v>1797</v>
      </c>
    </row>
    <row r="8" spans="1:54" ht="15" x14ac:dyDescent="0.2">
      <c r="A8" s="3" t="s">
        <v>30</v>
      </c>
      <c r="B8" s="1" t="s">
        <v>31</v>
      </c>
      <c r="C8" s="4" t="s">
        <v>32</v>
      </c>
      <c r="D8" s="1" t="s">
        <v>14</v>
      </c>
      <c r="E8" s="2">
        <v>385</v>
      </c>
      <c r="F8" s="2">
        <v>25588</v>
      </c>
      <c r="G8" s="2">
        <v>1480</v>
      </c>
      <c r="H8" s="2">
        <f t="shared" si="0"/>
        <v>27453</v>
      </c>
      <c r="I8" s="2">
        <v>60603</v>
      </c>
      <c r="J8" s="2">
        <v>1418669</v>
      </c>
      <c r="K8" s="2">
        <f t="shared" si="1"/>
        <v>1.9351236969300096E-2</v>
      </c>
      <c r="M8" s="2">
        <v>0.73773021818485895</v>
      </c>
      <c r="N8" s="2">
        <v>0.56953442641465402</v>
      </c>
      <c r="O8" s="2">
        <v>6.3082179454142997</v>
      </c>
      <c r="P8" s="2">
        <v>11.0760959352816</v>
      </c>
      <c r="Q8" s="2">
        <v>12.2065556157337</v>
      </c>
      <c r="R8" s="2">
        <v>8.1711706709717493</v>
      </c>
      <c r="S8" s="2">
        <v>0.798563977046026</v>
      </c>
      <c r="T8" s="2">
        <v>314.613056806168</v>
      </c>
      <c r="U8" s="2">
        <v>238</v>
      </c>
      <c r="V8" s="2">
        <v>404.6</v>
      </c>
      <c r="W8" s="2">
        <v>77.514621286772595</v>
      </c>
      <c r="X8" s="2">
        <v>899.20281311674103</v>
      </c>
      <c r="Y8" s="2">
        <v>-18.868645575655801</v>
      </c>
      <c r="Z8" s="2">
        <v>16.510134406122699</v>
      </c>
      <c r="AA8" s="2">
        <v>5.9218118593012097</v>
      </c>
      <c r="AB8" s="2">
        <v>0.47363794032658502</v>
      </c>
      <c r="AC8" s="2">
        <v>1.7597276406983</v>
      </c>
      <c r="AD8" s="2">
        <v>2.4325812944308298</v>
      </c>
      <c r="AE8" s="2">
        <v>0.49990737835908</v>
      </c>
      <c r="AF8" s="2">
        <v>0.43811455609563399</v>
      </c>
      <c r="AG8" s="2">
        <v>0.97902646563516904</v>
      </c>
      <c r="AH8" s="2">
        <v>0.90809681384776597</v>
      </c>
      <c r="AI8" s="2">
        <v>-0.15046624771754999</v>
      </c>
      <c r="AJ8" s="2">
        <v>0.77665989138189395</v>
      </c>
      <c r="AK8" s="2">
        <v>2.35447509217654E-2</v>
      </c>
      <c r="AL8" s="2">
        <v>5.99529482978748</v>
      </c>
      <c r="AM8" s="2">
        <v>6.2281942009890097</v>
      </c>
      <c r="AN8" s="2">
        <v>42.241558441558396</v>
      </c>
      <c r="AO8" s="2">
        <v>0.109718333614438</v>
      </c>
      <c r="AP8" s="2">
        <v>45.940259740259698</v>
      </c>
      <c r="AQ8" s="2">
        <v>6.5832754258728299</v>
      </c>
      <c r="AR8" s="2">
        <v>79.963636363636397</v>
      </c>
      <c r="AS8" s="2">
        <v>35.3116883116883</v>
      </c>
      <c r="AT8" s="2">
        <v>2639.80779220779</v>
      </c>
      <c r="AU8" s="2">
        <v>0.59959547785993705</v>
      </c>
      <c r="AV8" s="2">
        <v>2.7056635067700001E-2</v>
      </c>
      <c r="AW8" s="2">
        <v>0.27650596409488298</v>
      </c>
      <c r="AX8" s="2">
        <v>2.4031326023691599E-2</v>
      </c>
      <c r="AY8" s="2">
        <v>120.962704827145</v>
      </c>
      <c r="AZ8" s="2">
        <v>6.8264085953529799E-2</v>
      </c>
      <c r="BA8" s="2">
        <v>1.8594757164203299</v>
      </c>
      <c r="BB8" s="2">
        <v>567</v>
      </c>
    </row>
    <row r="9" spans="1:54" ht="15" x14ac:dyDescent="0.2">
      <c r="A9" s="3" t="s">
        <v>33</v>
      </c>
      <c r="B9" s="1" t="s">
        <v>34</v>
      </c>
      <c r="C9" s="4" t="s">
        <v>35</v>
      </c>
      <c r="D9" s="1" t="s">
        <v>14</v>
      </c>
      <c r="E9" s="2">
        <v>16</v>
      </c>
      <c r="F9" s="2">
        <v>60815</v>
      </c>
      <c r="G9" s="2">
        <v>9353</v>
      </c>
      <c r="H9" s="2">
        <f t="shared" si="0"/>
        <v>70184</v>
      </c>
      <c r="I9" s="2">
        <v>86009</v>
      </c>
      <c r="J9" s="2">
        <v>1429805</v>
      </c>
      <c r="K9" s="2">
        <f t="shared" si="1"/>
        <v>4.9086413881613229E-2</v>
      </c>
      <c r="M9" s="2">
        <v>0.167643731036731</v>
      </c>
      <c r="N9" s="2">
        <v>8.5608911619079894E-2</v>
      </c>
      <c r="O9" s="2">
        <v>2.3131343367623298</v>
      </c>
      <c r="P9" s="2">
        <v>27.019784424485</v>
      </c>
      <c r="Q9" s="2">
        <v>5.0990195135927801</v>
      </c>
      <c r="R9" s="2">
        <v>4.5296974727288397</v>
      </c>
      <c r="S9" s="2">
        <v>0.71751737313458397</v>
      </c>
      <c r="T9" s="2">
        <v>31.196758880094102</v>
      </c>
      <c r="U9" s="2">
        <v>926.5</v>
      </c>
      <c r="V9" s="2">
        <v>1219.5</v>
      </c>
      <c r="W9" s="2">
        <v>450.68461538461497</v>
      </c>
      <c r="X9" s="2">
        <v>1575.65904216524</v>
      </c>
      <c r="Y9" s="2">
        <v>-84.959703703703894</v>
      </c>
      <c r="Z9" s="2">
        <v>11.6818803418803</v>
      </c>
      <c r="AA9" s="2">
        <v>6.06666666666667</v>
      </c>
      <c r="AB9" s="2">
        <v>-0.21441876361626799</v>
      </c>
      <c r="AC9" s="2">
        <v>2.1512820512820499</v>
      </c>
      <c r="AD9" s="2">
        <v>1.11014202386324</v>
      </c>
      <c r="AE9" s="2">
        <v>0.380192307692308</v>
      </c>
      <c r="AF9" s="2">
        <v>0.28652743937811798</v>
      </c>
      <c r="AG9" s="2">
        <v>0.98967647498593503</v>
      </c>
      <c r="AH9" s="2">
        <v>0.91965075262688001</v>
      </c>
      <c r="AI9" s="2">
        <v>-0.751225473674342</v>
      </c>
      <c r="AJ9" s="2">
        <v>0.97319917182888205</v>
      </c>
      <c r="AK9" s="2">
        <v>0.162008547008547</v>
      </c>
      <c r="AL9" s="2">
        <v>2.7436758701058399</v>
      </c>
      <c r="AM9" s="2">
        <v>3.5</v>
      </c>
      <c r="AN9" s="2">
        <v>7.375</v>
      </c>
      <c r="AO9" s="2">
        <v>0.4609375</v>
      </c>
      <c r="AP9" s="2">
        <v>2</v>
      </c>
      <c r="AQ9" s="2">
        <v>34.484375</v>
      </c>
      <c r="AR9" s="2">
        <v>372.125</v>
      </c>
      <c r="AS9" s="2">
        <v>2.625</v>
      </c>
      <c r="AT9" s="2">
        <v>1150.375</v>
      </c>
      <c r="AU9" s="2">
        <v>6.8887350638417805E-2</v>
      </c>
      <c r="AV9" s="2">
        <v>6.5445446230151597E-2</v>
      </c>
      <c r="AW9" s="2">
        <v>1.9801405410649099E-2</v>
      </c>
      <c r="AX9" s="2">
        <v>0.339505653069192</v>
      </c>
      <c r="AY9" s="2">
        <v>106.252037487975</v>
      </c>
      <c r="AZ9" s="2">
        <v>1.1244086058376399</v>
      </c>
      <c r="BA9" s="2">
        <v>71.305192310647399</v>
      </c>
      <c r="BB9" s="2">
        <v>1328</v>
      </c>
    </row>
    <row r="10" spans="1:54" ht="15" x14ac:dyDescent="0.2">
      <c r="A10" s="3" t="s">
        <v>36</v>
      </c>
      <c r="B10" s="1" t="s">
        <v>37</v>
      </c>
      <c r="C10" s="4" t="s">
        <v>38</v>
      </c>
      <c r="D10" s="1" t="s">
        <v>14</v>
      </c>
      <c r="E10" s="2">
        <v>171723</v>
      </c>
      <c r="F10" s="2">
        <v>91862</v>
      </c>
      <c r="G10" s="2">
        <v>224</v>
      </c>
      <c r="H10" s="2">
        <f t="shared" si="0"/>
        <v>263809</v>
      </c>
      <c r="I10" s="2">
        <v>300613</v>
      </c>
      <c r="J10" s="2">
        <v>1631346</v>
      </c>
      <c r="K10" s="2">
        <f t="shared" si="1"/>
        <v>0.16171247546504544</v>
      </c>
      <c r="M10" s="2">
        <v>0.76050708677953205</v>
      </c>
      <c r="N10" s="2">
        <v>0.70107034170018401</v>
      </c>
      <c r="O10" s="2">
        <v>55.110985296520099</v>
      </c>
      <c r="P10" s="2">
        <v>78.609779958554498</v>
      </c>
      <c r="Q10" s="2">
        <v>87.132083643167903</v>
      </c>
      <c r="R10" s="2">
        <v>59.783294748660303</v>
      </c>
      <c r="S10" s="2">
        <v>0.59084379677767396</v>
      </c>
      <c r="T10" s="2">
        <v>25325.357001720498</v>
      </c>
      <c r="U10" s="2">
        <v>548</v>
      </c>
      <c r="V10" s="2">
        <v>878</v>
      </c>
      <c r="W10" s="2">
        <v>808.11231002175202</v>
      </c>
      <c r="X10" s="2">
        <v>68355.638155173394</v>
      </c>
      <c r="Y10" s="2">
        <v>894.32550789806498</v>
      </c>
      <c r="Z10" s="2">
        <v>120.853299066175</v>
      </c>
      <c r="AA10" s="2">
        <v>16.456038131800799</v>
      </c>
      <c r="AB10" s="2">
        <v>0.76039052007359498</v>
      </c>
      <c r="AC10" s="2">
        <v>2.6401074184209201</v>
      </c>
      <c r="AD10" s="2">
        <v>3.0172003210688501</v>
      </c>
      <c r="AE10" s="2">
        <v>0.44915047316909701</v>
      </c>
      <c r="AF10" s="2">
        <v>0.38172379562363901</v>
      </c>
      <c r="AG10" s="2">
        <v>0.99459971896643895</v>
      </c>
      <c r="AH10" s="2">
        <v>0.95590306999008001</v>
      </c>
      <c r="AI10" s="2">
        <v>-0.17662313506625699</v>
      </c>
      <c r="AJ10" s="2">
        <v>0.88414214669699798</v>
      </c>
      <c r="AK10" s="2">
        <v>6.8061374446318898E-3</v>
      </c>
      <c r="AL10" s="2">
        <v>8.1617698908861804</v>
      </c>
      <c r="AM10" s="2">
        <v>8.0608205467917298</v>
      </c>
      <c r="AN10" s="2">
        <v>16147.0996721464</v>
      </c>
      <c r="AO10" s="2">
        <v>9.4029918369387996E-2</v>
      </c>
      <c r="AP10" s="2">
        <v>9877.4749509384292</v>
      </c>
      <c r="AQ10" s="2">
        <v>34.259861917368802</v>
      </c>
      <c r="AR10" s="2">
        <v>810.70238116035705</v>
      </c>
      <c r="AS10" s="2">
        <v>45.422110026030303</v>
      </c>
      <c r="AT10" s="2">
        <v>39830.8866430239</v>
      </c>
      <c r="AU10" s="2">
        <v>6.0458032436537301E-2</v>
      </c>
      <c r="AV10" s="2">
        <v>1.5291109426820799E-3</v>
      </c>
      <c r="AW10" s="2">
        <v>6.1434222049855496</v>
      </c>
      <c r="AX10" s="41">
        <v>7.9182839873976506E-5</v>
      </c>
      <c r="AY10" s="2">
        <v>2100.80885914186</v>
      </c>
      <c r="AZ10" s="2">
        <v>3.8875581868342002E-2</v>
      </c>
      <c r="BA10" s="2">
        <v>0.107406158404579</v>
      </c>
      <c r="BB10" s="2">
        <v>1907</v>
      </c>
    </row>
    <row r="11" spans="1:54" ht="15" x14ac:dyDescent="0.2">
      <c r="A11" s="3" t="s">
        <v>39</v>
      </c>
      <c r="B11" s="1" t="s">
        <v>40</v>
      </c>
      <c r="C11" s="4" t="s">
        <v>41</v>
      </c>
      <c r="D11" s="1" t="s">
        <v>14</v>
      </c>
      <c r="E11" s="2">
        <v>2</v>
      </c>
      <c r="F11" s="2">
        <v>35799</v>
      </c>
      <c r="G11" s="2">
        <v>2557</v>
      </c>
      <c r="H11" s="2">
        <f t="shared" si="0"/>
        <v>38358</v>
      </c>
      <c r="I11" s="2">
        <v>44148</v>
      </c>
      <c r="J11" s="2">
        <v>1413415</v>
      </c>
      <c r="K11" s="2">
        <f t="shared" si="1"/>
        <v>2.7138526193651546E-2</v>
      </c>
      <c r="M11" s="2"/>
      <c r="N11" s="2"/>
      <c r="O11" s="2"/>
      <c r="P11" s="2">
        <v>21.725560982400399</v>
      </c>
      <c r="Q11" s="2">
        <v>10.816653826392001</v>
      </c>
      <c r="R11" s="2"/>
      <c r="S11" s="2">
        <v>0.67113929131284999</v>
      </c>
      <c r="T11" s="2">
        <v>3.4641016151377602</v>
      </c>
      <c r="U11" s="2">
        <v>620.20000000000005</v>
      </c>
      <c r="V11" s="2">
        <v>629.79999999999995</v>
      </c>
      <c r="W11" s="2" t="s">
        <v>1468</v>
      </c>
      <c r="X11" s="2" t="s">
        <v>1468</v>
      </c>
      <c r="Y11" s="2" t="s">
        <v>1468</v>
      </c>
      <c r="Z11" s="2" t="s">
        <v>1468</v>
      </c>
      <c r="AA11" s="2" t="s">
        <v>1468</v>
      </c>
      <c r="AB11" s="2" t="s">
        <v>1468</v>
      </c>
      <c r="AC11" s="2" t="s">
        <v>1468</v>
      </c>
      <c r="AD11" s="2" t="s">
        <v>1468</v>
      </c>
      <c r="AE11" s="2" t="s">
        <v>1468</v>
      </c>
      <c r="AF11" s="2" t="s">
        <v>1468</v>
      </c>
      <c r="AG11" s="2" t="s">
        <v>1468</v>
      </c>
      <c r="AH11" s="2" t="s">
        <v>1468</v>
      </c>
      <c r="AI11" s="2" t="s">
        <v>1468</v>
      </c>
      <c r="AJ11" s="2" t="s">
        <v>1468</v>
      </c>
      <c r="AK11" s="2" t="s">
        <v>1468</v>
      </c>
      <c r="AL11" s="2" t="s">
        <v>1468</v>
      </c>
      <c r="AM11" s="2">
        <v>0.999999999999999</v>
      </c>
      <c r="AN11" s="2">
        <v>2</v>
      </c>
      <c r="AO11" s="2">
        <v>1</v>
      </c>
      <c r="AP11" s="2">
        <v>1</v>
      </c>
      <c r="AQ11" s="2">
        <v>0.25</v>
      </c>
      <c r="AR11" s="2">
        <v>2.5</v>
      </c>
      <c r="AS11" s="2">
        <v>1</v>
      </c>
      <c r="AT11" s="2">
        <v>2.5</v>
      </c>
      <c r="AU11" s="2">
        <v>0.625</v>
      </c>
      <c r="AV11" s="2">
        <v>0.625</v>
      </c>
      <c r="AW11" s="2">
        <v>0</v>
      </c>
      <c r="AX11" s="2">
        <v>1000000</v>
      </c>
      <c r="AY11" s="2">
        <v>0</v>
      </c>
      <c r="AZ11" s="2">
        <v>0</v>
      </c>
      <c r="BA11" s="2">
        <v>0</v>
      </c>
      <c r="BB11" s="2">
        <v>351</v>
      </c>
    </row>
    <row r="12" spans="1:54" ht="15" x14ac:dyDescent="0.2">
      <c r="A12" s="3" t="s">
        <v>42</v>
      </c>
      <c r="B12" s="1" t="s">
        <v>43</v>
      </c>
      <c r="C12" s="4" t="s">
        <v>44</v>
      </c>
      <c r="D12" s="1" t="s">
        <v>14</v>
      </c>
      <c r="E12" s="2">
        <v>10606</v>
      </c>
      <c r="F12" s="2">
        <v>51246</v>
      </c>
      <c r="G12" s="2">
        <v>12694</v>
      </c>
      <c r="H12" s="2">
        <f t="shared" si="0"/>
        <v>74546</v>
      </c>
      <c r="I12" s="2">
        <v>107200</v>
      </c>
      <c r="J12" s="2">
        <v>1395046</v>
      </c>
      <c r="K12" s="2">
        <f t="shared" si="1"/>
        <v>5.3436230776619555E-2</v>
      </c>
      <c r="M12" s="2">
        <v>0.85909931990705601</v>
      </c>
      <c r="N12" s="2">
        <v>0.71033063876915303</v>
      </c>
      <c r="O12" s="2">
        <v>21.149074791260599</v>
      </c>
      <c r="P12" s="2">
        <v>29.773564079830798</v>
      </c>
      <c r="Q12" s="2">
        <v>35.510561809129399</v>
      </c>
      <c r="R12" s="2">
        <v>25.578448652191799</v>
      </c>
      <c r="S12" s="2">
        <v>0.61449184482735297</v>
      </c>
      <c r="T12" s="2">
        <v>3793.2947717320899</v>
      </c>
      <c r="U12" s="2">
        <v>868</v>
      </c>
      <c r="V12" s="2">
        <v>1308</v>
      </c>
      <c r="W12" s="2">
        <v>857.25626866852201</v>
      </c>
      <c r="X12" s="2">
        <v>92265.301863083296</v>
      </c>
      <c r="Y12" s="2">
        <v>-98.287915266868296</v>
      </c>
      <c r="Z12" s="2">
        <v>177.53448782289399</v>
      </c>
      <c r="AA12" s="2">
        <v>22.679608832634798</v>
      </c>
      <c r="AB12" s="2">
        <v>0.77341779332882499</v>
      </c>
      <c r="AC12" s="2">
        <v>3.42736700407433</v>
      </c>
      <c r="AD12" s="2">
        <v>3.3082476047301901</v>
      </c>
      <c r="AE12" s="2">
        <v>0.36611271627186498</v>
      </c>
      <c r="AF12" s="2">
        <v>0.28154822312303401</v>
      </c>
      <c r="AG12" s="2">
        <v>0.99279515906786298</v>
      </c>
      <c r="AH12" s="2">
        <v>0.94408896183698399</v>
      </c>
      <c r="AI12" s="2">
        <v>-0.172352827928759</v>
      </c>
      <c r="AJ12" s="2">
        <v>0.89088529830318397</v>
      </c>
      <c r="AK12" s="2">
        <v>3.22161371699286E-3</v>
      </c>
      <c r="AL12" s="2">
        <v>8.8714435278671306</v>
      </c>
      <c r="AM12" s="2">
        <v>7.7059050406641898</v>
      </c>
      <c r="AN12" s="2">
        <v>1597.64039223081</v>
      </c>
      <c r="AO12" s="2">
        <v>0.150635526327627</v>
      </c>
      <c r="AP12" s="2">
        <v>426.49707712615498</v>
      </c>
      <c r="AQ12" s="2">
        <v>49.631027328291701</v>
      </c>
      <c r="AR12" s="2">
        <v>845.55610032057302</v>
      </c>
      <c r="AS12" s="2">
        <v>18.409202338299099</v>
      </c>
      <c r="AT12" s="2">
        <v>16856.775598717701</v>
      </c>
      <c r="AU12" s="2">
        <v>2.5683107398220901E-2</v>
      </c>
      <c r="AV12" s="2">
        <v>1.84006375434104E-3</v>
      </c>
      <c r="AW12" s="2">
        <v>0.413967655347943</v>
      </c>
      <c r="AX12" s="2">
        <v>1.3267615093292399E-3</v>
      </c>
      <c r="AY12" s="2">
        <v>2516.9765801048202</v>
      </c>
      <c r="AZ12" s="2">
        <v>6.9710116539566394E-2</v>
      </c>
      <c r="BA12" s="2">
        <v>1.48963317365457</v>
      </c>
      <c r="BB12" s="2">
        <v>298</v>
      </c>
    </row>
    <row r="13" spans="1:54" ht="15" x14ac:dyDescent="0.2">
      <c r="A13" s="3" t="s">
        <v>45</v>
      </c>
      <c r="B13" s="1" t="s">
        <v>46</v>
      </c>
      <c r="C13" s="4" t="s">
        <v>47</v>
      </c>
      <c r="D13" s="1" t="s">
        <v>14</v>
      </c>
      <c r="E13" s="2">
        <v>79</v>
      </c>
      <c r="F13" s="2">
        <v>97579</v>
      </c>
      <c r="G13" s="2">
        <v>1727</v>
      </c>
      <c r="H13" s="2">
        <f t="shared" si="0"/>
        <v>99385</v>
      </c>
      <c r="I13" s="2">
        <v>124944</v>
      </c>
      <c r="J13" s="2">
        <v>1577287</v>
      </c>
      <c r="K13" s="2">
        <f t="shared" si="1"/>
        <v>6.301009264642389E-2</v>
      </c>
      <c r="M13" s="2">
        <v>0.56458639216457396</v>
      </c>
      <c r="N13" s="2">
        <v>0.32111033082551399</v>
      </c>
      <c r="O13" s="2">
        <v>6.0710204387270403</v>
      </c>
      <c r="P13" s="2">
        <v>18.906337965270598</v>
      </c>
      <c r="Q13" s="2">
        <v>15.264337522473699</v>
      </c>
      <c r="R13" s="2">
        <v>10.674261140856199</v>
      </c>
      <c r="S13" s="2">
        <v>0.48855877818627902</v>
      </c>
      <c r="T13" s="2">
        <v>158.10016359753899</v>
      </c>
      <c r="U13" s="2">
        <v>972.6</v>
      </c>
      <c r="V13" s="2">
        <v>1080.8</v>
      </c>
      <c r="W13" s="2">
        <v>21.015607367016301</v>
      </c>
      <c r="X13" s="2">
        <v>209.78878224554299</v>
      </c>
      <c r="Y13" s="2">
        <v>14.0833085369231</v>
      </c>
      <c r="Z13" s="2">
        <v>8.5172820951915202</v>
      </c>
      <c r="AA13" s="2">
        <v>3.7056126181146301</v>
      </c>
      <c r="AB13" s="2">
        <v>0.40672066472463497</v>
      </c>
      <c r="AC13" s="2">
        <v>1.4980321854834699</v>
      </c>
      <c r="AD13" s="2">
        <v>1.93217197433516</v>
      </c>
      <c r="AE13" s="2">
        <v>0.51150809024697896</v>
      </c>
      <c r="AF13" s="2">
        <v>0.45337961882441202</v>
      </c>
      <c r="AG13" s="2">
        <v>0.959474415684055</v>
      </c>
      <c r="AH13" s="2">
        <v>0.86798445846816796</v>
      </c>
      <c r="AI13" s="2">
        <v>-0.35720941681880602</v>
      </c>
      <c r="AJ13" s="2">
        <v>0.91905408607604999</v>
      </c>
      <c r="AK13" s="2">
        <v>5.8311477310683202E-2</v>
      </c>
      <c r="AL13" s="2">
        <v>4.3991534266808596</v>
      </c>
      <c r="AM13" s="2">
        <v>4.4074068554160197</v>
      </c>
      <c r="AN13" s="2">
        <v>19.556962025316501</v>
      </c>
      <c r="AO13" s="2">
        <v>0.24755648133312</v>
      </c>
      <c r="AP13" s="2">
        <v>13.8354430379747</v>
      </c>
      <c r="AQ13" s="2">
        <v>3.1023874379105898</v>
      </c>
      <c r="AR13" s="2">
        <v>21.734177215189899</v>
      </c>
      <c r="AS13" s="2">
        <v>9.9367088607594898</v>
      </c>
      <c r="AT13" s="2">
        <v>175.78481012658199</v>
      </c>
      <c r="AU13" s="2">
        <v>0.82907892177030196</v>
      </c>
      <c r="AV13" s="2">
        <v>0.10280476302100799</v>
      </c>
      <c r="AW13" s="2">
        <v>0.37145503436814298</v>
      </c>
      <c r="AX13" s="2">
        <v>9.5285463806357301E-2</v>
      </c>
      <c r="AY13" s="2">
        <v>26.959362263919299</v>
      </c>
      <c r="AZ13" s="2">
        <v>7.7779814667124497E-2</v>
      </c>
      <c r="BA13" s="2">
        <v>2.58413080231055</v>
      </c>
      <c r="BB13" s="2">
        <v>232</v>
      </c>
    </row>
    <row r="14" spans="1:54" ht="15" x14ac:dyDescent="0.2">
      <c r="A14" s="3" t="s">
        <v>48</v>
      </c>
      <c r="B14" s="1" t="s">
        <v>49</v>
      </c>
      <c r="C14" s="4" t="s">
        <v>50</v>
      </c>
      <c r="D14" s="1" t="s">
        <v>14</v>
      </c>
      <c r="E14" s="2">
        <v>30007</v>
      </c>
      <c r="F14" s="2">
        <v>65618</v>
      </c>
      <c r="G14" s="2">
        <v>64578</v>
      </c>
      <c r="H14" s="2">
        <f t="shared" si="0"/>
        <v>160203</v>
      </c>
      <c r="I14" s="2">
        <v>186594</v>
      </c>
      <c r="J14" s="2">
        <v>1478815</v>
      </c>
      <c r="K14" s="2">
        <f t="shared" si="1"/>
        <v>0.10833200907483356</v>
      </c>
      <c r="M14" s="2">
        <v>0.65478382884821296</v>
      </c>
      <c r="N14" s="2">
        <v>0.51408266554374604</v>
      </c>
      <c r="O14" s="2">
        <v>31.215232734513101</v>
      </c>
      <c r="P14" s="2">
        <v>60.720259263160798</v>
      </c>
      <c r="Q14" s="2">
        <v>63.694583757176702</v>
      </c>
      <c r="R14" s="2">
        <v>39.758643848988598</v>
      </c>
      <c r="S14" s="2">
        <v>0.32980775168170801</v>
      </c>
      <c r="T14" s="2">
        <v>14086.190041176</v>
      </c>
      <c r="U14" s="2">
        <v>616</v>
      </c>
      <c r="V14" s="2">
        <v>1376.4</v>
      </c>
      <c r="W14" s="2">
        <v>1846.01291674508</v>
      </c>
      <c r="X14" s="2">
        <v>850855.86531270703</v>
      </c>
      <c r="Y14" s="2">
        <v>-5935.9813662200704</v>
      </c>
      <c r="Z14" s="2">
        <v>494.99179068371501</v>
      </c>
      <c r="AA14" s="2">
        <v>53.903695257532199</v>
      </c>
      <c r="AB14" s="2">
        <v>0.80225800511422196</v>
      </c>
      <c r="AC14" s="2">
        <v>5.3022846629062501</v>
      </c>
      <c r="AD14" s="2">
        <v>3.9061939527265301</v>
      </c>
      <c r="AE14" s="2">
        <v>0.28965418735107901</v>
      </c>
      <c r="AF14" s="2">
        <v>0.200891788614044</v>
      </c>
      <c r="AG14" s="2">
        <v>0.99356440614555797</v>
      </c>
      <c r="AH14" s="2">
        <v>0.94682938278551798</v>
      </c>
      <c r="AI14" s="2">
        <v>-0.15921424220323199</v>
      </c>
      <c r="AJ14" s="2">
        <v>0.902983551186745</v>
      </c>
      <c r="AK14" s="2">
        <v>1.30141994169809E-3</v>
      </c>
      <c r="AL14" s="2">
        <v>10.213091016016101</v>
      </c>
      <c r="AM14" s="2">
        <v>8.0192241303301106</v>
      </c>
      <c r="AN14" s="2">
        <v>6298.5989602426098</v>
      </c>
      <c r="AO14" s="2">
        <v>0.20990432099985401</v>
      </c>
      <c r="AP14" s="2">
        <v>723.679774719232</v>
      </c>
      <c r="AQ14" s="2">
        <v>148.71178574123499</v>
      </c>
      <c r="AR14" s="2">
        <v>1810.9634085380101</v>
      </c>
      <c r="AS14" s="2">
        <v>10.083147265638001</v>
      </c>
      <c r="AT14" s="2">
        <v>19872.377411937199</v>
      </c>
      <c r="AU14" s="2">
        <v>2.8433931584763299E-2</v>
      </c>
      <c r="AV14" s="2">
        <v>2.1561660011637702E-3</v>
      </c>
      <c r="AW14" s="2">
        <v>0.59669476973300295</v>
      </c>
      <c r="AX14" s="2">
        <v>4.8309050751460899E-4</v>
      </c>
      <c r="AY14" s="2">
        <v>7584.9207432304602</v>
      </c>
      <c r="AZ14" s="2">
        <v>0.167478497509676</v>
      </c>
      <c r="BA14" s="2">
        <v>1.0283404505570299</v>
      </c>
      <c r="BB14" s="2">
        <v>575</v>
      </c>
    </row>
    <row r="15" spans="1:54" ht="15" x14ac:dyDescent="0.2">
      <c r="A15" s="3" t="s">
        <v>51</v>
      </c>
      <c r="B15" s="1" t="s">
        <v>52</v>
      </c>
      <c r="C15" s="4" t="s">
        <v>53</v>
      </c>
      <c r="D15" s="1" t="s">
        <v>14</v>
      </c>
      <c r="E15" s="2">
        <v>1605</v>
      </c>
      <c r="F15" s="2">
        <v>131017</v>
      </c>
      <c r="G15" s="2">
        <v>10375</v>
      </c>
      <c r="H15" s="2">
        <f t="shared" si="0"/>
        <v>142997</v>
      </c>
      <c r="I15" s="2">
        <v>185306</v>
      </c>
      <c r="J15" s="2">
        <v>1616059</v>
      </c>
      <c r="K15" s="2">
        <f t="shared" si="1"/>
        <v>8.8485011995230373E-2</v>
      </c>
      <c r="M15" s="2">
        <v>0.685975808070869</v>
      </c>
      <c r="N15" s="2">
        <v>0.34192287564184098</v>
      </c>
      <c r="O15" s="2">
        <v>8.2392521425936796</v>
      </c>
      <c r="P15" s="2">
        <v>24.096814602203299</v>
      </c>
      <c r="Q15" s="2">
        <v>20.248456731316601</v>
      </c>
      <c r="R15" s="2">
        <v>16.529831868680301</v>
      </c>
      <c r="S15" s="2">
        <v>0.52924407421154995</v>
      </c>
      <c r="T15" s="2">
        <v>1229.5768018430199</v>
      </c>
      <c r="U15" s="2">
        <v>960</v>
      </c>
      <c r="V15" s="2">
        <v>1389</v>
      </c>
      <c r="W15" s="2">
        <v>319.33366795625199</v>
      </c>
      <c r="X15" s="2">
        <v>42501.139366129202</v>
      </c>
      <c r="Y15" s="2">
        <v>-15.7328751340421</v>
      </c>
      <c r="Z15" s="2">
        <v>138.67060337223401</v>
      </c>
      <c r="AA15" s="2">
        <v>15.0052924592186</v>
      </c>
      <c r="AB15" s="2">
        <v>0.80423928409995205</v>
      </c>
      <c r="AC15" s="2">
        <v>2.9632467242774001</v>
      </c>
      <c r="AD15" s="2">
        <v>3.0420986984192502</v>
      </c>
      <c r="AE15" s="2">
        <v>0.37619735278349797</v>
      </c>
      <c r="AF15" s="2">
        <v>0.28947262690075598</v>
      </c>
      <c r="AG15" s="2">
        <v>0.98426415605524697</v>
      </c>
      <c r="AH15" s="2">
        <v>0.91492628187023495</v>
      </c>
      <c r="AI15" s="2">
        <v>-0.213723426233275</v>
      </c>
      <c r="AJ15" s="2">
        <v>0.91801807539143698</v>
      </c>
      <c r="AK15" s="2">
        <v>4.10599252767353E-3</v>
      </c>
      <c r="AL15" s="2">
        <v>8.2294404502163001</v>
      </c>
      <c r="AM15" s="2">
        <v>7.1103123269572999</v>
      </c>
      <c r="AN15" s="2">
        <v>288.804361370717</v>
      </c>
      <c r="AO15" s="2">
        <v>0.17994041206898201</v>
      </c>
      <c r="AP15" s="2">
        <v>70.076635514018704</v>
      </c>
      <c r="AQ15" s="2">
        <v>39.254391552877003</v>
      </c>
      <c r="AR15" s="2">
        <v>301.25046728972001</v>
      </c>
      <c r="AS15" s="2">
        <v>13.752647975077901</v>
      </c>
      <c r="AT15" s="2">
        <v>4620.6623052959503</v>
      </c>
      <c r="AU15" s="2">
        <v>0.10022384364831401</v>
      </c>
      <c r="AV15" s="2">
        <v>9.7044330939230102E-3</v>
      </c>
      <c r="AW15" s="2">
        <v>0.33610981416652902</v>
      </c>
      <c r="AX15" s="2">
        <v>8.6171443996190707E-3</v>
      </c>
      <c r="AY15" s="2">
        <v>573.37951016857505</v>
      </c>
      <c r="AZ15" s="2">
        <v>0.15569067553546201</v>
      </c>
      <c r="BA15" s="2">
        <v>2.48402847647063</v>
      </c>
      <c r="BB15" s="2">
        <v>39</v>
      </c>
    </row>
    <row r="16" spans="1:54" ht="15" x14ac:dyDescent="0.2">
      <c r="A16" s="3" t="s">
        <v>54</v>
      </c>
      <c r="B16" s="1" t="s">
        <v>55</v>
      </c>
      <c r="C16" s="4" t="s">
        <v>56</v>
      </c>
      <c r="D16" s="1" t="s">
        <v>14</v>
      </c>
      <c r="E16" s="2">
        <v>11639</v>
      </c>
      <c r="F16" s="2">
        <v>27873</v>
      </c>
      <c r="G16" s="2">
        <v>20409</v>
      </c>
      <c r="H16" s="2">
        <f t="shared" si="0"/>
        <v>59921</v>
      </c>
      <c r="I16" s="2">
        <v>89364</v>
      </c>
      <c r="J16" s="2">
        <v>1582293</v>
      </c>
      <c r="K16" s="2">
        <f t="shared" si="1"/>
        <v>3.7869724507407922E-2</v>
      </c>
      <c r="M16" s="2">
        <v>0.74359832806997395</v>
      </c>
      <c r="N16" s="2">
        <v>0.61609417402164901</v>
      </c>
      <c r="O16" s="2">
        <v>21.383871304401701</v>
      </c>
      <c r="P16" s="2">
        <v>34.708770519310697</v>
      </c>
      <c r="Q16" s="2">
        <v>41</v>
      </c>
      <c r="R16" s="2">
        <v>25.809383727523802</v>
      </c>
      <c r="S16" s="2">
        <v>0.53419509131141296</v>
      </c>
      <c r="T16" s="2">
        <v>4633.0502422830796</v>
      </c>
      <c r="U16" s="2">
        <v>1170</v>
      </c>
      <c r="V16" s="2">
        <v>1554</v>
      </c>
      <c r="W16" s="2">
        <v>1008.13765561316</v>
      </c>
      <c r="X16" s="2">
        <v>33072.754627997703</v>
      </c>
      <c r="Y16" s="2">
        <v>-135.440476622213</v>
      </c>
      <c r="Z16" s="2">
        <v>99.332091111357002</v>
      </c>
      <c r="AA16" s="2">
        <v>30.719410366840801</v>
      </c>
      <c r="AB16" s="2">
        <v>0.525514228066158</v>
      </c>
      <c r="AC16" s="2">
        <v>4.2642128522506502</v>
      </c>
      <c r="AD16" s="2">
        <v>3.5670089929940398</v>
      </c>
      <c r="AE16" s="2">
        <v>0.30813815134862599</v>
      </c>
      <c r="AF16" s="2">
        <v>0.215395325218499</v>
      </c>
      <c r="AG16" s="2">
        <v>0.98947761079974395</v>
      </c>
      <c r="AH16" s="2">
        <v>0.92884380999816096</v>
      </c>
      <c r="AI16" s="2">
        <v>-6.98285189980202E-2</v>
      </c>
      <c r="AJ16" s="2">
        <v>0.664947156645882</v>
      </c>
      <c r="AK16" s="2">
        <v>3.1601768131977299E-3</v>
      </c>
      <c r="AL16" s="2">
        <v>8.7827580888803993</v>
      </c>
      <c r="AM16" s="2">
        <v>7.0642217025415004</v>
      </c>
      <c r="AN16" s="2">
        <v>2301.79611650485</v>
      </c>
      <c r="AO16" s="2">
        <v>0.197765797448651</v>
      </c>
      <c r="AP16" s="2">
        <v>553.44127502362699</v>
      </c>
      <c r="AQ16" s="2">
        <v>36.560769610034697</v>
      </c>
      <c r="AR16" s="2">
        <v>1002.06194690265</v>
      </c>
      <c r="AS16" s="2">
        <v>10.593092190050699</v>
      </c>
      <c r="AT16" s="2">
        <v>10800.464902483</v>
      </c>
      <c r="AU16" s="2">
        <v>1.20710045226012E-2</v>
      </c>
      <c r="AV16" s="2">
        <v>1.36733656471033E-3</v>
      </c>
      <c r="AW16" s="2">
        <v>0.62234363729352504</v>
      </c>
      <c r="AX16" s="2">
        <v>7.6926539396417204E-4</v>
      </c>
      <c r="AY16" s="2">
        <v>3501.1936982644902</v>
      </c>
      <c r="AZ16" s="2">
        <v>7.8481820425218299E-2</v>
      </c>
      <c r="BA16" s="2">
        <v>0.890100458498435</v>
      </c>
      <c r="BB16" s="2">
        <v>994</v>
      </c>
    </row>
    <row r="17" spans="1:54" ht="15" x14ac:dyDescent="0.2">
      <c r="A17" s="3" t="s">
        <v>57</v>
      </c>
      <c r="B17" s="1" t="s">
        <v>58</v>
      </c>
      <c r="C17" s="4" t="s">
        <v>59</v>
      </c>
      <c r="D17" s="1" t="s">
        <v>14</v>
      </c>
      <c r="E17" s="2">
        <v>872</v>
      </c>
      <c r="F17" s="2">
        <v>81619</v>
      </c>
      <c r="G17" s="2">
        <v>6769</v>
      </c>
      <c r="H17" s="2">
        <f t="shared" si="0"/>
        <v>89260</v>
      </c>
      <c r="I17" s="2">
        <v>179702</v>
      </c>
      <c r="J17" s="2">
        <v>1449609</v>
      </c>
      <c r="K17" s="2">
        <f t="shared" si="1"/>
        <v>6.1575224767506272E-2</v>
      </c>
      <c r="M17" s="2">
        <v>0.67604321395063105</v>
      </c>
      <c r="N17" s="2">
        <v>0.33642881978765599</v>
      </c>
      <c r="O17" s="2">
        <v>8.4055462414352498</v>
      </c>
      <c r="P17" s="2">
        <v>24.984620065369398</v>
      </c>
      <c r="Q17" s="2">
        <v>22.847319317591701</v>
      </c>
      <c r="R17" s="2">
        <v>16.890682848327799</v>
      </c>
      <c r="S17" s="2">
        <v>0.34764154650211898</v>
      </c>
      <c r="T17" s="2">
        <v>1205.03298905324</v>
      </c>
      <c r="U17" s="2">
        <v>479.1</v>
      </c>
      <c r="V17" s="2">
        <v>1021.8</v>
      </c>
      <c r="W17" s="2">
        <v>665.584607577567</v>
      </c>
      <c r="X17" s="2">
        <v>153358.799121335</v>
      </c>
      <c r="Y17" s="2">
        <v>322.86805912893601</v>
      </c>
      <c r="Z17" s="2">
        <v>239.71651469186801</v>
      </c>
      <c r="AA17" s="2">
        <v>21.829534888981598</v>
      </c>
      <c r="AB17" s="2">
        <v>0.83248130387066999</v>
      </c>
      <c r="AC17" s="2">
        <v>3.4280071916119801</v>
      </c>
      <c r="AD17" s="2">
        <v>3.26485674198404</v>
      </c>
      <c r="AE17" s="2">
        <v>0.35949096973007</v>
      </c>
      <c r="AF17" s="2">
        <v>0.27286563608134201</v>
      </c>
      <c r="AG17" s="2">
        <v>0.99195893759743503</v>
      </c>
      <c r="AH17" s="2">
        <v>0.93992283648826003</v>
      </c>
      <c r="AI17" s="2">
        <v>-0.32685168907769502</v>
      </c>
      <c r="AJ17" s="2">
        <v>0.98017352442266104</v>
      </c>
      <c r="AK17" s="2">
        <v>3.9217401991496099E-3</v>
      </c>
      <c r="AL17" s="2">
        <v>8.3394638112284607</v>
      </c>
      <c r="AM17" s="2">
        <v>7.1111798062559997</v>
      </c>
      <c r="AN17" s="2">
        <v>188.05963302752301</v>
      </c>
      <c r="AO17" s="2">
        <v>0.21566471677468199</v>
      </c>
      <c r="AP17" s="2">
        <v>29.9954128440367</v>
      </c>
      <c r="AQ17" s="2">
        <v>73.2238119160845</v>
      </c>
      <c r="AR17" s="2">
        <v>659.78555045871599</v>
      </c>
      <c r="AS17" s="2">
        <v>9.1009174311926593</v>
      </c>
      <c r="AT17" s="2">
        <v>6075.2924311926599</v>
      </c>
      <c r="AU17" s="2">
        <v>2.52217675699173E-2</v>
      </c>
      <c r="AV17" s="2">
        <v>4.5814261189687502E-3</v>
      </c>
      <c r="AW17" s="2">
        <v>5.45617643569817E-2</v>
      </c>
      <c r="AX17" s="2">
        <v>1.7312378807137301E-2</v>
      </c>
      <c r="AY17" s="2">
        <v>1866.1938547975999</v>
      </c>
      <c r="AZ17" s="2">
        <v>0.14375875158422599</v>
      </c>
      <c r="BA17" s="2">
        <v>13.651552258558899</v>
      </c>
      <c r="BB17" s="2">
        <v>54</v>
      </c>
    </row>
    <row r="18" spans="1:54" ht="15" x14ac:dyDescent="0.2">
      <c r="A18" s="3" t="s">
        <v>60</v>
      </c>
      <c r="B18" s="1" t="s">
        <v>61</v>
      </c>
      <c r="C18" s="4" t="s">
        <v>62</v>
      </c>
      <c r="D18" s="1" t="s">
        <v>14</v>
      </c>
      <c r="E18" s="2">
        <v>17459</v>
      </c>
      <c r="F18" s="2">
        <v>47635</v>
      </c>
      <c r="G18" s="2">
        <v>47855</v>
      </c>
      <c r="H18" s="2">
        <f t="shared" si="0"/>
        <v>112949</v>
      </c>
      <c r="I18" s="2">
        <v>151507</v>
      </c>
      <c r="J18" s="2">
        <v>1320308</v>
      </c>
      <c r="K18" s="2">
        <f t="shared" si="1"/>
        <v>8.554746316768512E-2</v>
      </c>
      <c r="M18" s="2">
        <v>0.47162384035584298</v>
      </c>
      <c r="N18" s="2">
        <v>0.37490700033034702</v>
      </c>
      <c r="O18" s="2">
        <v>21.926783860377299</v>
      </c>
      <c r="P18" s="2">
        <v>58.485928086316498</v>
      </c>
      <c r="Q18" s="2">
        <v>53.150729063673197</v>
      </c>
      <c r="R18" s="2">
        <v>27.5833580108443</v>
      </c>
      <c r="S18" s="2">
        <v>0.55616030557863805</v>
      </c>
      <c r="T18" s="2">
        <v>5829.7125525723804</v>
      </c>
      <c r="U18" s="2">
        <v>847</v>
      </c>
      <c r="V18" s="2">
        <v>1455</v>
      </c>
      <c r="W18" s="2">
        <v>1570.85574096962</v>
      </c>
      <c r="X18" s="2">
        <v>228465.97140546201</v>
      </c>
      <c r="Y18" s="2">
        <v>-4038.4171207743502</v>
      </c>
      <c r="Z18" s="2">
        <v>285.16173506632202</v>
      </c>
      <c r="AA18" s="2">
        <v>29.550084351544001</v>
      </c>
      <c r="AB18" s="2">
        <v>0.81120546602383004</v>
      </c>
      <c r="AC18" s="2">
        <v>3.4525725680909698</v>
      </c>
      <c r="AD18" s="2">
        <v>3.3470683981039002</v>
      </c>
      <c r="AE18" s="2">
        <v>0.40303963825651301</v>
      </c>
      <c r="AF18" s="2">
        <v>0.33045545361307099</v>
      </c>
      <c r="AG18" s="2">
        <v>0.99094768779022202</v>
      </c>
      <c r="AH18" s="2">
        <v>0.94511258449059998</v>
      </c>
      <c r="AI18" s="2">
        <v>-0.202613339366047</v>
      </c>
      <c r="AJ18" s="2">
        <v>0.92614707989396605</v>
      </c>
      <c r="AK18" s="2">
        <v>5.1693333227867304E-3</v>
      </c>
      <c r="AL18" s="2">
        <v>8.8069285427818702</v>
      </c>
      <c r="AM18" s="2">
        <v>8.0569867406690605</v>
      </c>
      <c r="AN18" s="2">
        <v>2078.5630906695701</v>
      </c>
      <c r="AO18" s="2">
        <v>0.119053960173525</v>
      </c>
      <c r="AP18" s="2">
        <v>676.07383011627303</v>
      </c>
      <c r="AQ18" s="2">
        <v>90.240242449198504</v>
      </c>
      <c r="AR18" s="2">
        <v>1531.9688412853</v>
      </c>
      <c r="AS18" s="2">
        <v>30.538117876167</v>
      </c>
      <c r="AT18" s="2">
        <v>58327.3601008076</v>
      </c>
      <c r="AU18" s="2">
        <v>1.8624979150627701E-2</v>
      </c>
      <c r="AV18" s="2">
        <v>1.0263080690408801E-3</v>
      </c>
      <c r="AW18" s="2">
        <v>0.52286704751520996</v>
      </c>
      <c r="AX18" s="2">
        <v>7.7273889162006405E-4</v>
      </c>
      <c r="AY18" s="2">
        <v>3003.25082078588</v>
      </c>
      <c r="AZ18" s="2">
        <v>0.160554012928667</v>
      </c>
      <c r="BA18" s="2">
        <v>1.0089188795556501</v>
      </c>
      <c r="BB18" s="2">
        <v>110</v>
      </c>
    </row>
    <row r="19" spans="1:54" ht="15" x14ac:dyDescent="0.2">
      <c r="A19" s="3" t="s">
        <v>63</v>
      </c>
      <c r="B19" s="1" t="s">
        <v>64</v>
      </c>
      <c r="C19" s="4" t="s">
        <v>65</v>
      </c>
      <c r="D19" s="1" t="s">
        <v>14</v>
      </c>
      <c r="E19" s="2">
        <v>245</v>
      </c>
      <c r="F19" s="2">
        <v>95526</v>
      </c>
      <c r="G19" s="2">
        <v>5680</v>
      </c>
      <c r="H19" s="2">
        <f t="shared" si="0"/>
        <v>101451</v>
      </c>
      <c r="I19" s="2">
        <v>180380</v>
      </c>
      <c r="J19" s="2">
        <v>1660360</v>
      </c>
      <c r="K19" s="2">
        <f t="shared" si="1"/>
        <v>6.110180924618757E-2</v>
      </c>
      <c r="M19" s="2">
        <v>0.41488655553329301</v>
      </c>
      <c r="N19" s="2">
        <v>0.34462801686920802</v>
      </c>
      <c r="O19" s="2">
        <v>6.86540528930876</v>
      </c>
      <c r="P19" s="2">
        <v>19.921204757749798</v>
      </c>
      <c r="Q19" s="2">
        <v>18.681541692269398</v>
      </c>
      <c r="R19" s="2">
        <v>8.2650400240162991</v>
      </c>
      <c r="S19" s="2">
        <v>0.59308202695477796</v>
      </c>
      <c r="T19" s="2">
        <v>302.90628846834602</v>
      </c>
      <c r="U19" s="2">
        <v>621.6</v>
      </c>
      <c r="V19" s="2">
        <v>899.6</v>
      </c>
      <c r="W19" s="2">
        <v>116.51737554515</v>
      </c>
      <c r="X19" s="2">
        <v>8439.0766406680195</v>
      </c>
      <c r="Y19" s="2">
        <v>109.24228115490899</v>
      </c>
      <c r="Z19" s="2">
        <v>59.315138096725498</v>
      </c>
      <c r="AA19" s="2">
        <v>7.2174664698735</v>
      </c>
      <c r="AB19" s="2">
        <v>0.78161889088195902</v>
      </c>
      <c r="AC19" s="2">
        <v>2.0411443718663098</v>
      </c>
      <c r="AD19" s="2">
        <v>2.5325628934951299</v>
      </c>
      <c r="AE19" s="2">
        <v>0.45807293225295798</v>
      </c>
      <c r="AF19" s="2">
        <v>0.38654174448799899</v>
      </c>
      <c r="AG19" s="2">
        <v>0.98297090439493795</v>
      </c>
      <c r="AH19" s="2">
        <v>0.91272339239735101</v>
      </c>
      <c r="AI19" s="2">
        <v>-0.33052670594059602</v>
      </c>
      <c r="AJ19" s="2">
        <v>0.95947257691104304</v>
      </c>
      <c r="AK19" s="2">
        <v>1.3750665435947501E-2</v>
      </c>
      <c r="AL19" s="2">
        <v>6.55342826905283</v>
      </c>
      <c r="AM19" s="2">
        <v>6.2127754414862499</v>
      </c>
      <c r="AN19" s="2">
        <v>36.632653061224502</v>
      </c>
      <c r="AO19" s="2">
        <v>0.14952103290295701</v>
      </c>
      <c r="AP19" s="2">
        <v>16.689795918367398</v>
      </c>
      <c r="AQ19" s="2">
        <v>18.547605164514799</v>
      </c>
      <c r="AR19" s="2">
        <v>126.45306122449</v>
      </c>
      <c r="AS19" s="2">
        <v>19.359183673469399</v>
      </c>
      <c r="AT19" s="2">
        <v>1810.75510204082</v>
      </c>
      <c r="AU19" s="2">
        <v>0.56494178610606205</v>
      </c>
      <c r="AV19" s="2">
        <v>2.8807357156560499E-2</v>
      </c>
      <c r="AW19" s="2">
        <v>0.136383997032923</v>
      </c>
      <c r="AX19" s="2">
        <v>4.8754232307065798E-2</v>
      </c>
      <c r="AY19" s="2">
        <v>190.28492378215</v>
      </c>
      <c r="AZ19" s="2">
        <v>0.12782449530173701</v>
      </c>
      <c r="BA19" s="2">
        <v>6.4599530936288101</v>
      </c>
      <c r="BB19" s="2">
        <v>134</v>
      </c>
    </row>
    <row r="20" spans="1:54" ht="15" x14ac:dyDescent="0.2">
      <c r="A20" s="3" t="s">
        <v>66</v>
      </c>
      <c r="B20" s="1" t="s">
        <v>67</v>
      </c>
      <c r="C20" s="4" t="s">
        <v>68</v>
      </c>
      <c r="D20" s="1" t="s">
        <v>14</v>
      </c>
      <c r="E20" s="2">
        <v>296</v>
      </c>
      <c r="F20" s="2">
        <v>25111</v>
      </c>
      <c r="G20" s="2">
        <v>5150</v>
      </c>
      <c r="H20" s="2">
        <f t="shared" si="0"/>
        <v>30557</v>
      </c>
      <c r="I20" s="2">
        <v>47947</v>
      </c>
      <c r="J20" s="2">
        <v>1624168</v>
      </c>
      <c r="K20" s="2">
        <f t="shared" si="1"/>
        <v>1.8813940429807753E-2</v>
      </c>
      <c r="M20" s="2">
        <v>0.87869075292412901</v>
      </c>
      <c r="N20" s="2">
        <v>0.67852307826318403</v>
      </c>
      <c r="O20" s="2">
        <v>7.8362671557569898</v>
      </c>
      <c r="P20" s="2">
        <v>11.549006079226499</v>
      </c>
      <c r="Q20" s="2">
        <v>16.278820596099699</v>
      </c>
      <c r="R20" s="2">
        <v>10.1480048472808</v>
      </c>
      <c r="S20" s="2">
        <v>0.50584103833428296</v>
      </c>
      <c r="T20" s="2">
        <v>397.48121387137797</v>
      </c>
      <c r="U20" s="2">
        <v>686</v>
      </c>
      <c r="V20" s="2">
        <v>735</v>
      </c>
      <c r="W20" s="2">
        <v>14.165445655622101</v>
      </c>
      <c r="X20" s="2">
        <v>7.6898474745623497</v>
      </c>
      <c r="Y20" s="2">
        <v>0.75069655351935405</v>
      </c>
      <c r="Z20" s="2">
        <v>1.5003004490307099</v>
      </c>
      <c r="AA20" s="2">
        <v>0.79291348341500001</v>
      </c>
      <c r="AB20" s="2">
        <v>0.30241019017489801</v>
      </c>
      <c r="AC20" s="2">
        <v>0.62428321603622305</v>
      </c>
      <c r="AD20" s="2">
        <v>1.2957706128455799</v>
      </c>
      <c r="AE20" s="2">
        <v>0.71546254381593799</v>
      </c>
      <c r="AF20" s="2">
        <v>0.70464949998793402</v>
      </c>
      <c r="AG20" s="2">
        <v>0.98455151093915705</v>
      </c>
      <c r="AH20" s="2">
        <v>0.92428813616591299</v>
      </c>
      <c r="AI20" s="2">
        <v>-9.6917018614756906E-2</v>
      </c>
      <c r="AJ20" s="2">
        <v>0.48130541461675203</v>
      </c>
      <c r="AK20" s="2">
        <v>0.15192032223847399</v>
      </c>
      <c r="AL20" s="2">
        <v>3.0664165570195201</v>
      </c>
      <c r="AM20" s="2">
        <v>5.2503389317214504</v>
      </c>
      <c r="AN20" s="2">
        <v>21.202702702702702</v>
      </c>
      <c r="AO20" s="2">
        <v>7.1630752373995604E-2</v>
      </c>
      <c r="AP20" s="2">
        <v>100.871621621622</v>
      </c>
      <c r="AQ20" s="2">
        <v>0.72423986486486502</v>
      </c>
      <c r="AR20" s="2">
        <v>15.7398648648649</v>
      </c>
      <c r="AS20" s="2">
        <v>77.236486486486498</v>
      </c>
      <c r="AT20" s="2">
        <v>1029.4222972973</v>
      </c>
      <c r="AU20" s="2">
        <v>6.4590751401912101</v>
      </c>
      <c r="AV20" s="2">
        <v>7.9437377428448905E-2</v>
      </c>
      <c r="AW20" s="2">
        <v>1.3548908597926199</v>
      </c>
      <c r="AX20" s="2">
        <v>2.2634457238769199E-2</v>
      </c>
      <c r="AY20" s="2">
        <v>11.027142965614599</v>
      </c>
      <c r="AZ20" s="2">
        <v>1.8036377978660902E-2</v>
      </c>
      <c r="BA20" s="2">
        <v>0.42866308797388503</v>
      </c>
      <c r="BB20" s="2">
        <v>1673</v>
      </c>
    </row>
    <row r="21" spans="1:54" ht="15" x14ac:dyDescent="0.2">
      <c r="A21" s="3" t="s">
        <v>69</v>
      </c>
      <c r="B21" s="1" t="s">
        <v>70</v>
      </c>
      <c r="C21" s="4" t="s">
        <v>71</v>
      </c>
      <c r="D21" s="1" t="s">
        <v>14</v>
      </c>
      <c r="E21" s="2">
        <v>2635</v>
      </c>
      <c r="F21" s="2">
        <v>37949</v>
      </c>
      <c r="G21" s="2">
        <v>30972</v>
      </c>
      <c r="H21" s="2">
        <f t="shared" si="0"/>
        <v>71556</v>
      </c>
      <c r="I21" s="2">
        <v>123823</v>
      </c>
      <c r="J21" s="2">
        <v>1747773</v>
      </c>
      <c r="K21" s="2">
        <f t="shared" si="1"/>
        <v>4.0941243513888816E-2</v>
      </c>
      <c r="M21" s="2">
        <v>0.61722471245341504</v>
      </c>
      <c r="N21" s="2">
        <v>0.15124700827452101</v>
      </c>
      <c r="O21" s="2">
        <v>10.026858363411201</v>
      </c>
      <c r="P21" s="2">
        <v>66.294589742971695</v>
      </c>
      <c r="Q21" s="2">
        <v>61.660360037872003</v>
      </c>
      <c r="R21" s="2">
        <v>40.918659091322802</v>
      </c>
      <c r="S21" s="2">
        <v>0.37836269512264697</v>
      </c>
      <c r="T21" s="2">
        <v>2366.3056309111298</v>
      </c>
      <c r="U21" s="2">
        <v>641.4</v>
      </c>
      <c r="V21" s="2">
        <v>1311</v>
      </c>
      <c r="W21" s="2">
        <v>769.25910570081101</v>
      </c>
      <c r="X21" s="2">
        <v>324833.34130881401</v>
      </c>
      <c r="Y21" s="2">
        <v>477.88427649586401</v>
      </c>
      <c r="Z21" s="2">
        <v>382.92464445341102</v>
      </c>
      <c r="AA21" s="2">
        <v>44.718451662849603</v>
      </c>
      <c r="AB21" s="2">
        <v>0.79067194311628497</v>
      </c>
      <c r="AC21" s="2">
        <v>5.0723948736248401</v>
      </c>
      <c r="AD21" s="2">
        <v>3.7993106980183202</v>
      </c>
      <c r="AE21" s="2">
        <v>0.28539084393882602</v>
      </c>
      <c r="AF21" s="2">
        <v>0.194673240383581</v>
      </c>
      <c r="AG21" s="2">
        <v>0.98547886583893396</v>
      </c>
      <c r="AH21" s="2">
        <v>0.91872793569320299</v>
      </c>
      <c r="AI21" s="2">
        <v>-0.20506524714146401</v>
      </c>
      <c r="AJ21" s="2">
        <v>0.93931219426865498</v>
      </c>
      <c r="AK21" s="2">
        <v>1.66377899861852E-3</v>
      </c>
      <c r="AL21" s="2">
        <v>9.5820894460276609</v>
      </c>
      <c r="AM21" s="2">
        <v>7.3802577947356696</v>
      </c>
      <c r="AN21" s="2">
        <v>654.07096774193599</v>
      </c>
      <c r="AO21" s="2">
        <v>0.248224276182898</v>
      </c>
      <c r="AP21" s="2">
        <v>72.244781783681205</v>
      </c>
      <c r="AQ21" s="2">
        <v>105.75453279996</v>
      </c>
      <c r="AR21" s="2">
        <v>752.63149905123305</v>
      </c>
      <c r="AS21" s="2">
        <v>7.3597722960151799</v>
      </c>
      <c r="AT21" s="2">
        <v>5170.2664136622398</v>
      </c>
      <c r="AU21" s="2">
        <v>2.7044622298649301E-2</v>
      </c>
      <c r="AV21" s="2">
        <v>3.8549599989919502E-3</v>
      </c>
      <c r="AW21" s="2">
        <v>0.168242607619352</v>
      </c>
      <c r="AX21" s="2">
        <v>5.1627439512686802E-3</v>
      </c>
      <c r="AY21" s="2">
        <v>3230.8666348264201</v>
      </c>
      <c r="AZ21" s="2">
        <v>0.211978423714168</v>
      </c>
      <c r="BA21" s="2">
        <v>5.0432710237035998</v>
      </c>
      <c r="BB21" s="2">
        <v>54</v>
      </c>
    </row>
    <row r="22" spans="1:54" ht="15" x14ac:dyDescent="0.2">
      <c r="A22" s="3" t="s">
        <v>72</v>
      </c>
      <c r="B22" s="1" t="s">
        <v>73</v>
      </c>
      <c r="C22" s="4" t="s">
        <v>74</v>
      </c>
      <c r="D22" s="1" t="s">
        <v>14</v>
      </c>
      <c r="E22" s="2">
        <v>869</v>
      </c>
      <c r="F22" s="2">
        <v>6721</v>
      </c>
      <c r="G22" s="2">
        <v>13655</v>
      </c>
      <c r="H22" s="2">
        <f t="shared" si="0"/>
        <v>21245</v>
      </c>
      <c r="I22" s="2">
        <v>41733</v>
      </c>
      <c r="J22" s="2">
        <v>1384775</v>
      </c>
      <c r="K22" s="2">
        <f t="shared" si="1"/>
        <v>1.5341842537596361E-2</v>
      </c>
      <c r="M22" s="2">
        <v>0.35259063107380501</v>
      </c>
      <c r="N22" s="2">
        <v>0.138113085953878</v>
      </c>
      <c r="O22" s="2">
        <v>7.8617091163355104</v>
      </c>
      <c r="P22" s="2">
        <v>56.922260928706301</v>
      </c>
      <c r="Q22" s="2">
        <v>18.439088914585799</v>
      </c>
      <c r="R22" s="2">
        <v>20.070255903000302</v>
      </c>
      <c r="S22" s="2">
        <v>0.53611533778699505</v>
      </c>
      <c r="T22" s="2">
        <v>804.91308281627198</v>
      </c>
      <c r="U22" s="2">
        <v>424</v>
      </c>
      <c r="V22" s="2">
        <v>1154.5999999999999</v>
      </c>
      <c r="W22" s="2">
        <v>675.46372759494</v>
      </c>
      <c r="X22" s="2">
        <v>532036.58518242196</v>
      </c>
      <c r="Y22" s="2">
        <v>4853.2089607560001</v>
      </c>
      <c r="Z22" s="2">
        <v>465.31244053370699</v>
      </c>
      <c r="AA22" s="2">
        <v>37.833250626169502</v>
      </c>
      <c r="AB22" s="2">
        <v>0.84997907555150298</v>
      </c>
      <c r="AC22" s="2">
        <v>4.6327501256062797</v>
      </c>
      <c r="AD22" s="2">
        <v>3.6662479673355199</v>
      </c>
      <c r="AE22" s="2">
        <v>0.30301407809540198</v>
      </c>
      <c r="AF22" s="2">
        <v>0.21275221543515499</v>
      </c>
      <c r="AG22" s="2">
        <v>0.98806947157342695</v>
      </c>
      <c r="AH22" s="2">
        <v>0.92623796124812796</v>
      </c>
      <c r="AI22" s="2">
        <v>-0.32750277018541601</v>
      </c>
      <c r="AJ22" s="2">
        <v>0.98447868059185395</v>
      </c>
      <c r="AK22" s="2">
        <v>2.69256624953167E-3</v>
      </c>
      <c r="AL22" s="2">
        <v>8.9232054773140792</v>
      </c>
      <c r="AM22" s="2">
        <v>7.2578800825663201</v>
      </c>
      <c r="AN22" s="2">
        <v>196.95627157652501</v>
      </c>
      <c r="AO22" s="2">
        <v>0.22664703288437801</v>
      </c>
      <c r="AP22" s="2">
        <v>27.3751438434983</v>
      </c>
      <c r="AQ22" s="2">
        <v>120.730916983266</v>
      </c>
      <c r="AR22" s="2">
        <v>673.44073647871096</v>
      </c>
      <c r="AS22" s="2">
        <v>8.5143843498273899</v>
      </c>
      <c r="AT22" s="2">
        <v>4811.0609896432697</v>
      </c>
      <c r="AU22" s="2">
        <v>9.5973331936020506E-2</v>
      </c>
      <c r="AV22" s="2">
        <v>9.5313826590010808E-3</v>
      </c>
      <c r="AW22" s="2">
        <v>6.6137487171364306E-2</v>
      </c>
      <c r="AX22" s="2">
        <v>1.4605578972076001E-2</v>
      </c>
      <c r="AY22" s="2">
        <v>3150.2390228641598</v>
      </c>
      <c r="AZ22" s="2">
        <v>0.23950513622849701</v>
      </c>
      <c r="BA22" s="2">
        <v>16.716130152489299</v>
      </c>
      <c r="BB22" s="2">
        <v>472</v>
      </c>
    </row>
    <row r="23" spans="1:54" ht="15" x14ac:dyDescent="0.2">
      <c r="A23" s="3" t="s">
        <v>75</v>
      </c>
      <c r="B23" s="1" t="s">
        <v>76</v>
      </c>
      <c r="C23" s="4" t="s">
        <v>77</v>
      </c>
      <c r="D23" s="1" t="s">
        <v>14</v>
      </c>
      <c r="E23" s="2">
        <v>12219</v>
      </c>
      <c r="F23" s="2">
        <v>78592</v>
      </c>
      <c r="G23" s="2">
        <v>27185</v>
      </c>
      <c r="H23" s="2">
        <f t="shared" si="0"/>
        <v>117996</v>
      </c>
      <c r="I23" s="2">
        <v>162868</v>
      </c>
      <c r="J23" s="2">
        <v>1655317</v>
      </c>
      <c r="K23" s="2">
        <f t="shared" si="1"/>
        <v>7.1283023130916917E-2</v>
      </c>
      <c r="M23" s="2">
        <v>0.68795016511919205</v>
      </c>
      <c r="N23" s="2">
        <v>0.63383022170160097</v>
      </c>
      <c r="O23" s="2">
        <v>23.701476056358501</v>
      </c>
      <c r="P23" s="2">
        <v>37.394045352916102</v>
      </c>
      <c r="Q23" s="2">
        <v>52.5547333738837</v>
      </c>
      <c r="R23" s="2">
        <v>25.725239675013199</v>
      </c>
      <c r="S23" s="2">
        <v>0.50029159851322602</v>
      </c>
      <c r="T23" s="2">
        <v>5085.2595803424601</v>
      </c>
      <c r="U23" s="2">
        <v>275</v>
      </c>
      <c r="V23" s="2">
        <v>1216</v>
      </c>
      <c r="W23" s="2">
        <v>1011.71366436554</v>
      </c>
      <c r="X23" s="2">
        <v>1061390.5261492301</v>
      </c>
      <c r="Y23" s="2">
        <v>-2093.8031642037199</v>
      </c>
      <c r="Z23" s="2">
        <v>759.58551509931704</v>
      </c>
      <c r="AA23" s="2">
        <v>38.6446795220007</v>
      </c>
      <c r="AB23" s="2">
        <v>0.90316032244948197</v>
      </c>
      <c r="AC23" s="2">
        <v>4.3546656237730099</v>
      </c>
      <c r="AD23" s="2">
        <v>3.64212254625413</v>
      </c>
      <c r="AE23" s="2">
        <v>0.331122597893727</v>
      </c>
      <c r="AF23" s="2">
        <v>0.245376096710264</v>
      </c>
      <c r="AG23" s="2">
        <v>0.99047932610386102</v>
      </c>
      <c r="AH23" s="2">
        <v>0.93811657923473801</v>
      </c>
      <c r="AI23" s="2">
        <v>-0.23700629966482001</v>
      </c>
      <c r="AJ23" s="2">
        <v>0.96199350358288105</v>
      </c>
      <c r="AK23" s="2">
        <v>1.4923549635331699E-3</v>
      </c>
      <c r="AL23" s="2">
        <v>9.9294117187333395</v>
      </c>
      <c r="AM23" s="2">
        <v>8.2656732652949199</v>
      </c>
      <c r="AN23" s="2">
        <v>2102.6976839348599</v>
      </c>
      <c r="AO23" s="2">
        <v>0.17208426908379201</v>
      </c>
      <c r="AP23" s="2">
        <v>264.620427203536</v>
      </c>
      <c r="AQ23" s="2">
        <v>194.79368644479601</v>
      </c>
      <c r="AR23" s="2">
        <v>1051.03257222359</v>
      </c>
      <c r="AS23" s="2">
        <v>14.305671495212399</v>
      </c>
      <c r="AT23" s="2">
        <v>13171.3718798592</v>
      </c>
      <c r="AU23" s="2">
        <v>9.5206059812339705E-2</v>
      </c>
      <c r="AV23" s="2">
        <v>4.6671625334144401E-3</v>
      </c>
      <c r="AW23" s="2">
        <v>0.40879160094699701</v>
      </c>
      <c r="AX23" s="2">
        <v>1.5320527386739999E-3</v>
      </c>
      <c r="AY23" s="2">
        <v>3720.5070809650501</v>
      </c>
      <c r="AZ23" s="2">
        <v>0.263738643471506</v>
      </c>
      <c r="BA23" s="2">
        <v>2.0613146614529301</v>
      </c>
      <c r="BB23" s="2">
        <v>178</v>
      </c>
    </row>
    <row r="24" spans="1:54" ht="15" x14ac:dyDescent="0.2">
      <c r="A24" s="3" t="s">
        <v>78</v>
      </c>
      <c r="B24" s="1" t="s">
        <v>79</v>
      </c>
      <c r="C24" s="4" t="s">
        <v>80</v>
      </c>
      <c r="D24" s="1" t="s">
        <v>14</v>
      </c>
      <c r="E24" s="2">
        <v>5030</v>
      </c>
      <c r="F24" s="2">
        <v>195271</v>
      </c>
      <c r="G24" s="2">
        <v>12695</v>
      </c>
      <c r="H24" s="2">
        <f t="shared" si="0"/>
        <v>212996</v>
      </c>
      <c r="I24" s="2">
        <v>316511</v>
      </c>
      <c r="J24" s="2">
        <v>1523097</v>
      </c>
      <c r="K24" s="2">
        <f t="shared" si="1"/>
        <v>0.13984401518747658</v>
      </c>
      <c r="M24" s="2">
        <v>0.71638588241030798</v>
      </c>
      <c r="N24" s="2">
        <v>0.61646697888221602</v>
      </c>
      <c r="O24" s="2">
        <v>17.261979654207401</v>
      </c>
      <c r="P24" s="2">
        <v>28.001466819045302</v>
      </c>
      <c r="Q24" s="2">
        <v>28.6356421265527</v>
      </c>
      <c r="R24" s="2">
        <v>20.059855515944701</v>
      </c>
      <c r="S24" s="2">
        <v>0.48028152049873102</v>
      </c>
      <c r="T24" s="2">
        <v>2931.4998666667302</v>
      </c>
      <c r="U24" s="2">
        <v>705.9</v>
      </c>
      <c r="V24" s="2">
        <v>906</v>
      </c>
      <c r="W24" s="2">
        <v>106.97202952028201</v>
      </c>
      <c r="X24" s="2">
        <v>7660.6553230057898</v>
      </c>
      <c r="Y24" s="2">
        <v>242.705945941951</v>
      </c>
      <c r="Z24" s="2">
        <v>38.982833725885101</v>
      </c>
      <c r="AA24" s="2">
        <v>6.8735813097461396</v>
      </c>
      <c r="AB24" s="2">
        <v>0.69977100928526503</v>
      </c>
      <c r="AC24" s="2">
        <v>1.8682203147040199</v>
      </c>
      <c r="AD24" s="2">
        <v>2.53065111941399</v>
      </c>
      <c r="AE24" s="2">
        <v>0.49033248714060901</v>
      </c>
      <c r="AF24" s="2">
        <v>0.427864685126226</v>
      </c>
      <c r="AG24" s="2">
        <v>0.990337226179832</v>
      </c>
      <c r="AH24" s="2">
        <v>0.93664753757222896</v>
      </c>
      <c r="AI24" s="2">
        <v>-0.16398246029345001</v>
      </c>
      <c r="AJ24" s="2">
        <v>0.81656172675944205</v>
      </c>
      <c r="AK24" s="2">
        <v>1.5762430490604301E-2</v>
      </c>
      <c r="AL24" s="2">
        <v>6.7485849963445501</v>
      </c>
      <c r="AM24" s="2">
        <v>6.9500525357345602</v>
      </c>
      <c r="AN24" s="2">
        <v>533.86322067594404</v>
      </c>
      <c r="AO24" s="2">
        <v>0.106135829160228</v>
      </c>
      <c r="AP24" s="2">
        <v>485.29860834990097</v>
      </c>
      <c r="AQ24" s="2">
        <v>11.7646061602552</v>
      </c>
      <c r="AR24" s="2">
        <v>104.86600397614301</v>
      </c>
      <c r="AS24" s="2">
        <v>36.516500994035802</v>
      </c>
      <c r="AT24" s="2">
        <v>3191.7196819085498</v>
      </c>
      <c r="AU24" s="2">
        <v>0.62770990657179904</v>
      </c>
      <c r="AV24" s="2">
        <v>1.7521057615396098E-2</v>
      </c>
      <c r="AW24" s="2">
        <v>1.5047577302003701</v>
      </c>
      <c r="AX24" s="2">
        <v>2.2326070993035998E-3</v>
      </c>
      <c r="AY24" s="2">
        <v>338.439144399768</v>
      </c>
      <c r="AZ24" s="2">
        <v>3.98524292120951E-2</v>
      </c>
      <c r="BA24" s="2">
        <v>0.77793561700171598</v>
      </c>
      <c r="BB24" s="2">
        <v>287</v>
      </c>
    </row>
    <row r="25" spans="1:54" ht="15" x14ac:dyDescent="0.2">
      <c r="A25" s="3" t="s">
        <v>81</v>
      </c>
      <c r="B25" s="1" t="s">
        <v>82</v>
      </c>
      <c r="C25" s="4" t="s">
        <v>83</v>
      </c>
      <c r="D25" s="1" t="s">
        <v>14</v>
      </c>
      <c r="E25" s="2">
        <v>2086</v>
      </c>
      <c r="F25" s="2">
        <v>76293</v>
      </c>
      <c r="G25" s="2">
        <v>9994</v>
      </c>
      <c r="H25" s="2">
        <f t="shared" si="0"/>
        <v>88373</v>
      </c>
      <c r="I25" s="2">
        <v>118095</v>
      </c>
      <c r="J25" s="2">
        <v>1633698</v>
      </c>
      <c r="K25" s="2">
        <f t="shared" si="1"/>
        <v>5.4093841089356783E-2</v>
      </c>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v>551</v>
      </c>
    </row>
    <row r="26" spans="1:54" ht="15" x14ac:dyDescent="0.2">
      <c r="A26" s="3" t="s">
        <v>84</v>
      </c>
      <c r="B26" s="1" t="s">
        <v>85</v>
      </c>
      <c r="C26" s="4" t="s">
        <v>86</v>
      </c>
      <c r="D26" s="1" t="s">
        <v>14</v>
      </c>
      <c r="E26" s="2">
        <v>0</v>
      </c>
      <c r="F26" s="2">
        <v>159990</v>
      </c>
      <c r="G26" s="2">
        <v>3820</v>
      </c>
      <c r="H26" s="2">
        <f t="shared" si="0"/>
        <v>163810</v>
      </c>
      <c r="I26" s="2">
        <v>203931</v>
      </c>
      <c r="J26" s="2">
        <v>1504647</v>
      </c>
      <c r="K26" s="2">
        <f t="shared" si="1"/>
        <v>0.10886938929861954</v>
      </c>
      <c r="M26" s="2">
        <v>0.51292565987004801</v>
      </c>
      <c r="N26" s="2">
        <v>0.45476512393415602</v>
      </c>
      <c r="O26" s="2">
        <v>46.667346816176298</v>
      </c>
      <c r="P26" s="2">
        <v>102.618570246677</v>
      </c>
      <c r="Q26" s="2">
        <v>108.37435120913101</v>
      </c>
      <c r="R26" s="2">
        <v>52.635697858698002</v>
      </c>
      <c r="S26" s="2">
        <v>0.57785714180269498</v>
      </c>
      <c r="T26" s="2">
        <v>24655.445136119801</v>
      </c>
      <c r="U26" s="2">
        <v>695</v>
      </c>
      <c r="V26" s="2">
        <v>1335</v>
      </c>
      <c r="W26" s="2">
        <v>1891.4937783837599</v>
      </c>
      <c r="X26" s="2">
        <v>859185.10878541099</v>
      </c>
      <c r="Y26" s="2">
        <v>6361.0078413261999</v>
      </c>
      <c r="Z26" s="2">
        <v>434.57411754370298</v>
      </c>
      <c r="AA26" s="2">
        <v>29.6737912135901</v>
      </c>
      <c r="AB26" s="2">
        <v>0.871912242635005</v>
      </c>
      <c r="AC26" s="2">
        <v>3.5370101805119001</v>
      </c>
      <c r="AD26" s="2">
        <v>3.3746214120282301</v>
      </c>
      <c r="AE26" s="2">
        <v>0.38927513080139498</v>
      </c>
      <c r="AF26" s="2">
        <v>0.31310743704906502</v>
      </c>
      <c r="AG26" s="2">
        <v>0.99674071927052699</v>
      </c>
      <c r="AH26" s="2">
        <v>0.96531152942960796</v>
      </c>
      <c r="AI26" s="2">
        <v>-0.236993535554441</v>
      </c>
      <c r="AJ26" s="2">
        <v>0.95514039652921001</v>
      </c>
      <c r="AK26" s="2">
        <v>2.77773873619621E-3</v>
      </c>
      <c r="AL26" s="2">
        <v>9.4197673271397306</v>
      </c>
      <c r="AM26" s="2">
        <v>8.5245996034198903</v>
      </c>
      <c r="AN26" s="2">
        <v>19049.2475654728</v>
      </c>
      <c r="AO26" s="2">
        <v>0.119065238861634</v>
      </c>
      <c r="AP26" s="2">
        <v>4698.9813988374299</v>
      </c>
      <c r="AQ26" s="2">
        <v>121.313032591289</v>
      </c>
      <c r="AR26" s="2">
        <v>1855.8389899368699</v>
      </c>
      <c r="AS26" s="2">
        <v>26.844452778298599</v>
      </c>
      <c r="AT26" s="2">
        <v>52408.930858178603</v>
      </c>
      <c r="AU26" s="2">
        <v>1.7775276831492898E-2</v>
      </c>
      <c r="AV26" s="2">
        <v>8.5184910003569295E-4</v>
      </c>
      <c r="AW26" s="2">
        <v>1.45306494051557</v>
      </c>
      <c r="AX26" s="2">
        <v>1.3520593029034899E-4</v>
      </c>
      <c r="AY26" s="2">
        <v>7358.7774721430496</v>
      </c>
      <c r="AZ26" s="2">
        <v>5.3765199640531398E-2</v>
      </c>
      <c r="BA26" s="2">
        <v>0.53453207419904403</v>
      </c>
      <c r="BB26" s="2">
        <v>1715</v>
      </c>
    </row>
    <row r="27" spans="1:54" ht="15" x14ac:dyDescent="0.2">
      <c r="A27" s="3" t="s">
        <v>87</v>
      </c>
      <c r="B27" s="1" t="s">
        <v>88</v>
      </c>
      <c r="C27" s="4" t="s">
        <v>89</v>
      </c>
      <c r="D27" s="1" t="s">
        <v>14</v>
      </c>
      <c r="E27" s="2">
        <v>4995</v>
      </c>
      <c r="F27" s="2">
        <v>24248</v>
      </c>
      <c r="G27" s="2">
        <v>8779</v>
      </c>
      <c r="H27" s="2">
        <f t="shared" si="0"/>
        <v>38022</v>
      </c>
      <c r="I27" s="2">
        <v>50939</v>
      </c>
      <c r="J27" s="2">
        <v>1300069</v>
      </c>
      <c r="K27" s="2">
        <f t="shared" si="1"/>
        <v>2.9246140012568565E-2</v>
      </c>
      <c r="M27" s="2">
        <v>0.91575747632842996</v>
      </c>
      <c r="N27" s="2">
        <v>0.76015206309988403</v>
      </c>
      <c r="O27" s="2">
        <v>17.263712676560999</v>
      </c>
      <c r="P27" s="2">
        <v>22.7108673574599</v>
      </c>
      <c r="Q27" s="2">
        <v>26.419689627245798</v>
      </c>
      <c r="R27" s="2">
        <v>20.7976465764972</v>
      </c>
      <c r="S27" s="2">
        <v>0.58236227857859901</v>
      </c>
      <c r="T27" s="2">
        <v>2413.9528978318099</v>
      </c>
      <c r="U27" s="2">
        <v>840</v>
      </c>
      <c r="V27" s="2">
        <v>1320.6</v>
      </c>
      <c r="W27" s="2">
        <v>744.75108401882903</v>
      </c>
      <c r="X27" s="2">
        <v>78306.859232451898</v>
      </c>
      <c r="Y27" s="2">
        <v>-292.98102359921103</v>
      </c>
      <c r="Z27" s="2">
        <v>184.78297547687501</v>
      </c>
      <c r="AA27" s="2">
        <v>20.6921767917644</v>
      </c>
      <c r="AB27" s="2">
        <v>0.79798940654841199</v>
      </c>
      <c r="AC27" s="2">
        <v>3.3792303211505699</v>
      </c>
      <c r="AD27" s="2">
        <v>3.2721635555712698</v>
      </c>
      <c r="AE27" s="2">
        <v>0.35826169319596202</v>
      </c>
      <c r="AF27" s="2">
        <v>0.27059931350802102</v>
      </c>
      <c r="AG27" s="2">
        <v>0.99101370215538997</v>
      </c>
      <c r="AH27" s="2">
        <v>0.93605713539410296</v>
      </c>
      <c r="AI27" s="2">
        <v>-0.18385061864796601</v>
      </c>
      <c r="AJ27" s="2">
        <v>0.90544628255999104</v>
      </c>
      <c r="AK27" s="2">
        <v>2.9620191726897399E-3</v>
      </c>
      <c r="AL27" s="2">
        <v>8.80202693802479</v>
      </c>
      <c r="AM27" s="2">
        <v>7.5598516186090903</v>
      </c>
      <c r="AN27" s="2">
        <v>834.88988988989001</v>
      </c>
      <c r="AO27" s="2">
        <v>0.16714512310107901</v>
      </c>
      <c r="AP27" s="2">
        <v>185.255855855856</v>
      </c>
      <c r="AQ27" s="2">
        <v>54.648338989640301</v>
      </c>
      <c r="AR27" s="2">
        <v>723.93993993994002</v>
      </c>
      <c r="AS27" s="2">
        <v>14.9627627627628</v>
      </c>
      <c r="AT27" s="2">
        <v>11531.9431431431</v>
      </c>
      <c r="AU27" s="2">
        <v>2.7683376269826799E-2</v>
      </c>
      <c r="AV27" s="2">
        <v>2.30447427585491E-3</v>
      </c>
      <c r="AW27" s="2">
        <v>0.296421506414424</v>
      </c>
      <c r="AX27" s="2">
        <v>2.88567714549837E-3</v>
      </c>
      <c r="AY27" s="2">
        <v>1703.55908435675</v>
      </c>
      <c r="AZ27" s="2">
        <v>0.112882250809139</v>
      </c>
      <c r="BA27" s="2">
        <v>2.0160741817961898</v>
      </c>
      <c r="BB27" s="2">
        <v>1161</v>
      </c>
    </row>
    <row r="28" spans="1:54" ht="15" x14ac:dyDescent="0.2">
      <c r="A28" s="3" t="s">
        <v>90</v>
      </c>
      <c r="B28" s="1" t="s">
        <v>91</v>
      </c>
      <c r="C28" s="4" t="s">
        <v>92</v>
      </c>
      <c r="D28" s="1" t="s">
        <v>14</v>
      </c>
      <c r="E28" s="2">
        <v>29542</v>
      </c>
      <c r="F28" s="2">
        <v>87856</v>
      </c>
      <c r="G28" s="2">
        <v>39607</v>
      </c>
      <c r="H28" s="2">
        <f t="shared" si="0"/>
        <v>157005</v>
      </c>
      <c r="I28" s="2">
        <v>225526</v>
      </c>
      <c r="J28" s="2">
        <v>1807270</v>
      </c>
      <c r="K28" s="2">
        <f t="shared" si="1"/>
        <v>8.6874125061556937E-2</v>
      </c>
      <c r="M28" s="2">
        <v>0.70472303159615801</v>
      </c>
      <c r="N28" s="2">
        <v>0.53918334075221797</v>
      </c>
      <c r="O28" s="2">
        <v>27.7306079485315</v>
      </c>
      <c r="P28" s="2">
        <v>51.430758060596602</v>
      </c>
      <c r="Q28" s="2">
        <v>63</v>
      </c>
      <c r="R28" s="2">
        <v>36.244439737752202</v>
      </c>
      <c r="S28" s="2">
        <v>0.43723933985743801</v>
      </c>
      <c r="T28" s="2">
        <v>10539.0773949086</v>
      </c>
      <c r="U28" s="2">
        <v>792</v>
      </c>
      <c r="V28" s="2">
        <v>1555</v>
      </c>
      <c r="W28" s="2">
        <v>1142.56907831487</v>
      </c>
      <c r="X28" s="2">
        <v>506948.78296023601</v>
      </c>
      <c r="Y28" s="2">
        <v>2223.0591540423202</v>
      </c>
      <c r="Z28" s="2">
        <v>491.78987005791203</v>
      </c>
      <c r="AA28" s="2">
        <v>26.535983191940598</v>
      </c>
      <c r="AB28" s="2">
        <v>0.89749192818585199</v>
      </c>
      <c r="AC28" s="2">
        <v>3.9045074372795998</v>
      </c>
      <c r="AD28" s="2">
        <v>3.4590955666443199</v>
      </c>
      <c r="AE28" s="2">
        <v>0.326860597091438</v>
      </c>
      <c r="AF28" s="2">
        <v>0.23554801281926499</v>
      </c>
      <c r="AG28" s="2">
        <v>0.99439328593716103</v>
      </c>
      <c r="AH28" s="2">
        <v>0.947642541707024</v>
      </c>
      <c r="AI28" s="2">
        <v>-0.220384271591129</v>
      </c>
      <c r="AJ28" s="2">
        <v>0.95130139707078398</v>
      </c>
      <c r="AK28" s="2">
        <v>1.5333887872152701E-3</v>
      </c>
      <c r="AL28" s="2">
        <v>9.7492106909308198</v>
      </c>
      <c r="AM28" s="2">
        <v>8.0896043724459794</v>
      </c>
      <c r="AN28" s="2">
        <v>5448.8687292668101</v>
      </c>
      <c r="AO28" s="2">
        <v>0.184444815153571</v>
      </c>
      <c r="AP28" s="2">
        <v>715.53814907589197</v>
      </c>
      <c r="AQ28" s="2">
        <v>132.39358031107599</v>
      </c>
      <c r="AR28" s="2">
        <v>1126.1262609166599</v>
      </c>
      <c r="AS28" s="2">
        <v>12.283460835420801</v>
      </c>
      <c r="AT28" s="2">
        <v>13663.53029585</v>
      </c>
      <c r="AU28" s="2">
        <v>1.9920017162012599E-2</v>
      </c>
      <c r="AV28" s="2">
        <v>1.6954399849386701E-3</v>
      </c>
      <c r="AW28" s="2">
        <v>0.90157419073648204</v>
      </c>
      <c r="AX28" s="2">
        <v>6.1099354024370003E-4</v>
      </c>
      <c r="AY28" s="2">
        <v>4291.35782256522</v>
      </c>
      <c r="AZ28" s="2">
        <v>0.147361290931522</v>
      </c>
      <c r="BA28" s="2">
        <v>0.94729740528596496</v>
      </c>
      <c r="BB28" s="2">
        <v>223</v>
      </c>
    </row>
    <row r="29" spans="1:54" ht="15" x14ac:dyDescent="0.2">
      <c r="A29" s="3" t="s">
        <v>93</v>
      </c>
      <c r="B29" s="1" t="s">
        <v>94</v>
      </c>
      <c r="C29" s="4" t="s">
        <v>95</v>
      </c>
      <c r="D29" s="1" t="s">
        <v>14</v>
      </c>
      <c r="E29" s="2">
        <v>7276</v>
      </c>
      <c r="F29" s="2">
        <v>80184</v>
      </c>
      <c r="G29" s="2">
        <v>11259</v>
      </c>
      <c r="H29" s="2">
        <f t="shared" si="0"/>
        <v>98719</v>
      </c>
      <c r="I29" s="2">
        <v>110566</v>
      </c>
      <c r="J29" s="2">
        <v>1522733</v>
      </c>
      <c r="K29" s="2">
        <f t="shared" si="1"/>
        <v>6.4830144220950098E-2</v>
      </c>
      <c r="M29" s="2">
        <v>0.93552110516387599</v>
      </c>
      <c r="N29" s="2">
        <v>0.66700248229145598</v>
      </c>
      <c r="O29" s="2">
        <v>17.209378170094698</v>
      </c>
      <c r="P29" s="2">
        <v>25.801070651150599</v>
      </c>
      <c r="Q29" s="2">
        <v>29.154759474226498</v>
      </c>
      <c r="R29" s="2">
        <v>24.1374461299757</v>
      </c>
      <c r="S29" s="2">
        <v>0.74056431986504601</v>
      </c>
      <c r="T29" s="2">
        <v>2437.9627160999098</v>
      </c>
      <c r="U29" s="2">
        <v>899</v>
      </c>
      <c r="V29" s="2">
        <v>998</v>
      </c>
      <c r="W29" s="2">
        <v>829.85129487239794</v>
      </c>
      <c r="X29" s="2">
        <v>7426.7678800071699</v>
      </c>
      <c r="Y29" s="2">
        <v>-284.97276909821102</v>
      </c>
      <c r="Z29" s="2">
        <v>18.364674910977701</v>
      </c>
      <c r="AA29" s="2">
        <v>5.9107664419720098</v>
      </c>
      <c r="AB29" s="2">
        <v>0.48799289590479999</v>
      </c>
      <c r="AC29" s="2">
        <v>1.0831866306831199</v>
      </c>
      <c r="AD29" s="2">
        <v>1.8659265819783</v>
      </c>
      <c r="AE29" s="2">
        <v>0.70917780313828804</v>
      </c>
      <c r="AF29" s="2">
        <v>0.69233604774198498</v>
      </c>
      <c r="AG29" s="2">
        <v>0.99503552196342204</v>
      </c>
      <c r="AH29" s="2">
        <v>0.97144936571141105</v>
      </c>
      <c r="AI29" s="2">
        <v>-0.22322067870980999</v>
      </c>
      <c r="AJ29" s="2">
        <v>0.81668710381587595</v>
      </c>
      <c r="AK29" s="2">
        <v>9.5824998549964499E-2</v>
      </c>
      <c r="AL29" s="2">
        <v>4.4712981532362299</v>
      </c>
      <c r="AM29" s="2">
        <v>6.9708665198356696</v>
      </c>
      <c r="AN29" s="2">
        <v>292.60500274876301</v>
      </c>
      <c r="AO29" s="2">
        <v>4.0215091086965797E-2</v>
      </c>
      <c r="AP29" s="2">
        <v>1551.80236393623</v>
      </c>
      <c r="AQ29" s="2">
        <v>11.771098758719701</v>
      </c>
      <c r="AR29" s="2">
        <v>811.48845519516203</v>
      </c>
      <c r="AS29" s="2">
        <v>214.354315557999</v>
      </c>
      <c r="AT29" s="2">
        <v>183337.971137988</v>
      </c>
      <c r="AU29" s="2">
        <v>0.25253902857217703</v>
      </c>
      <c r="AV29" s="2">
        <v>1.80200522534302E-3</v>
      </c>
      <c r="AW29" s="2">
        <v>0.56346108076693002</v>
      </c>
      <c r="AX29" s="2">
        <v>1.15349285876968E-3</v>
      </c>
      <c r="AY29" s="2">
        <v>598.80430452260998</v>
      </c>
      <c r="AZ29" s="2">
        <v>2.4210586352773799E-2</v>
      </c>
      <c r="BA29" s="2">
        <v>1.92806946003433</v>
      </c>
      <c r="BB29" s="2">
        <v>1718</v>
      </c>
    </row>
    <row r="30" spans="1:54" ht="15" x14ac:dyDescent="0.2">
      <c r="A30" s="3" t="s">
        <v>96</v>
      </c>
      <c r="B30" s="1" t="s">
        <v>97</v>
      </c>
      <c r="C30" s="4" t="s">
        <v>98</v>
      </c>
      <c r="D30" s="1" t="s">
        <v>14</v>
      </c>
      <c r="E30" s="2">
        <v>601</v>
      </c>
      <c r="F30" s="2">
        <v>11200</v>
      </c>
      <c r="G30" s="2">
        <v>4835</v>
      </c>
      <c r="H30" s="2">
        <f t="shared" si="0"/>
        <v>16636</v>
      </c>
      <c r="I30" s="2">
        <v>19599</v>
      </c>
      <c r="J30" s="2">
        <v>1440836</v>
      </c>
      <c r="K30" s="2">
        <f t="shared" si="1"/>
        <v>1.1546074640000667E-2</v>
      </c>
      <c r="M30" s="2">
        <v>0.89870921914413504</v>
      </c>
      <c r="N30" s="2">
        <v>0.69789188190736395</v>
      </c>
      <c r="O30" s="2">
        <v>9.3979026049443597</v>
      </c>
      <c r="P30" s="2">
        <v>13.466129709460899</v>
      </c>
      <c r="Q30" s="2">
        <v>15.8113883008419</v>
      </c>
      <c r="R30" s="2">
        <v>12.1021349160832</v>
      </c>
      <c r="S30" s="2">
        <v>0.42264547494586702</v>
      </c>
      <c r="T30" s="2">
        <v>778.22790137007803</v>
      </c>
      <c r="U30" s="2">
        <v>871</v>
      </c>
      <c r="V30" s="2">
        <v>1112</v>
      </c>
      <c r="W30" s="2">
        <v>148.368066207922</v>
      </c>
      <c r="X30" s="2">
        <v>3984.53051188676</v>
      </c>
      <c r="Y30" s="2">
        <v>-89.023987941417502</v>
      </c>
      <c r="Z30" s="2">
        <v>38.213201161100599</v>
      </c>
      <c r="AA30" s="2">
        <v>12.530415850096499</v>
      </c>
      <c r="AB30" s="2">
        <v>0.50489569617935204</v>
      </c>
      <c r="AC30" s="2">
        <v>2.7505604183678498</v>
      </c>
      <c r="AD30" s="2">
        <v>2.9300425680866402</v>
      </c>
      <c r="AE30" s="2">
        <v>0.38504971557547901</v>
      </c>
      <c r="AF30" s="2">
        <v>0.297855812188207</v>
      </c>
      <c r="AG30" s="2">
        <v>0.97158849416599902</v>
      </c>
      <c r="AH30" s="2">
        <v>0.88682991066301697</v>
      </c>
      <c r="AI30" s="2">
        <v>-0.14209080183165201</v>
      </c>
      <c r="AJ30" s="2">
        <v>0.80950631715593302</v>
      </c>
      <c r="AK30" s="2">
        <v>9.2000641892771001E-3</v>
      </c>
      <c r="AL30" s="2">
        <v>7.1142663911716397</v>
      </c>
      <c r="AM30" s="2">
        <v>6.0790367538846102</v>
      </c>
      <c r="AN30" s="2">
        <v>123.891846921797</v>
      </c>
      <c r="AO30" s="2">
        <v>0.20614284013610201</v>
      </c>
      <c r="AP30" s="2">
        <v>45.665557404326101</v>
      </c>
      <c r="AQ30" s="2">
        <v>13.816119002992799</v>
      </c>
      <c r="AR30" s="2">
        <v>144.026622296173</v>
      </c>
      <c r="AS30" s="2">
        <v>10.201331114808699</v>
      </c>
      <c r="AT30" s="2">
        <v>1644.9450915141399</v>
      </c>
      <c r="AU30" s="2">
        <v>9.2841859734910395E-2</v>
      </c>
      <c r="AV30" s="2">
        <v>1.5514955961348199E-2</v>
      </c>
      <c r="AW30" s="2">
        <v>0.34338293563698902</v>
      </c>
      <c r="AX30" s="2">
        <v>1.33634103168341E-2</v>
      </c>
      <c r="AY30" s="2">
        <v>286.70299961227403</v>
      </c>
      <c r="AZ30" s="2">
        <v>0.137816234188745</v>
      </c>
      <c r="BA30" s="2">
        <v>1.6819648301333701</v>
      </c>
      <c r="BB30" s="2">
        <v>635</v>
      </c>
    </row>
    <row r="31" spans="1:54" ht="15" x14ac:dyDescent="0.2">
      <c r="A31" s="3" t="s">
        <v>99</v>
      </c>
      <c r="B31" s="1" t="s">
        <v>100</v>
      </c>
      <c r="C31" s="4" t="s">
        <v>101</v>
      </c>
      <c r="D31" s="1" t="s">
        <v>14</v>
      </c>
      <c r="E31" s="2">
        <v>3344</v>
      </c>
      <c r="F31" s="2">
        <v>22989</v>
      </c>
      <c r="G31" s="2">
        <v>7857</v>
      </c>
      <c r="H31" s="2">
        <f t="shared" si="0"/>
        <v>34190</v>
      </c>
      <c r="I31" s="2">
        <v>42470</v>
      </c>
      <c r="J31" s="2">
        <v>1709622</v>
      </c>
      <c r="K31" s="2">
        <f t="shared" si="1"/>
        <v>1.9998572783925337E-2</v>
      </c>
      <c r="M31" s="2">
        <v>0.79527460885146195</v>
      </c>
      <c r="N31" s="2">
        <v>0.57731692505822296</v>
      </c>
      <c r="O31" s="2">
        <v>14.6986189320886</v>
      </c>
      <c r="P31" s="2">
        <v>25.460225214436999</v>
      </c>
      <c r="Q31" s="2">
        <v>25.317977802344299</v>
      </c>
      <c r="R31" s="2">
        <v>20.247870648681499</v>
      </c>
      <c r="S31" s="2">
        <v>0.44445483646636302</v>
      </c>
      <c r="T31" s="2">
        <v>2407.4858104220398</v>
      </c>
      <c r="U31" s="2">
        <v>1159.3</v>
      </c>
      <c r="V31" s="2">
        <v>1509</v>
      </c>
      <c r="W31" s="2">
        <v>651.12099990034994</v>
      </c>
      <c r="X31" s="2">
        <v>30335.8161691163</v>
      </c>
      <c r="Y31" s="2">
        <v>-910.77010467942296</v>
      </c>
      <c r="Z31" s="2">
        <v>81.219795578956493</v>
      </c>
      <c r="AA31" s="2">
        <v>21.033510199950101</v>
      </c>
      <c r="AB31" s="2">
        <v>0.58460474292857501</v>
      </c>
      <c r="AC31" s="2">
        <v>3.1577281096922101</v>
      </c>
      <c r="AD31" s="2">
        <v>3.2343899323709402</v>
      </c>
      <c r="AE31" s="2">
        <v>0.40874589024666103</v>
      </c>
      <c r="AF31" s="2">
        <v>0.33625894567067099</v>
      </c>
      <c r="AG31" s="2">
        <v>0.98417024538188203</v>
      </c>
      <c r="AH31" s="2">
        <v>0.923431889503329</v>
      </c>
      <c r="AI31" s="2">
        <v>-0.123119232749765</v>
      </c>
      <c r="AJ31" s="2">
        <v>0.785025074251124</v>
      </c>
      <c r="AK31" s="2">
        <v>9.8883362582731608E-3</v>
      </c>
      <c r="AL31" s="2">
        <v>7.66331338349557</v>
      </c>
      <c r="AM31" s="2">
        <v>7.0675145306068901</v>
      </c>
      <c r="AN31" s="2">
        <v>453.42882775119602</v>
      </c>
      <c r="AO31" s="2">
        <v>0.135594745140908</v>
      </c>
      <c r="AP31" s="2">
        <v>222.053827751196</v>
      </c>
      <c r="AQ31" s="2">
        <v>30.8710648651588</v>
      </c>
      <c r="AR31" s="2">
        <v>627.22966507177</v>
      </c>
      <c r="AS31" s="2">
        <v>27.396531100478501</v>
      </c>
      <c r="AT31" s="2">
        <v>21418.276315789499</v>
      </c>
      <c r="AU31" s="2">
        <v>3.9896871627375402E-2</v>
      </c>
      <c r="AV31" s="2">
        <v>3.27545349102942E-3</v>
      </c>
      <c r="AW31" s="2">
        <v>0.33329222527019697</v>
      </c>
      <c r="AX31" s="2">
        <v>2.6641515439292402E-3</v>
      </c>
      <c r="AY31" s="2">
        <v>1225.95989961348</v>
      </c>
      <c r="AZ31" s="2">
        <v>0.117322623338601</v>
      </c>
      <c r="BA31" s="2">
        <v>1.6116350788868801</v>
      </c>
      <c r="BB31" s="2">
        <v>902</v>
      </c>
    </row>
    <row r="32" spans="1:54" ht="15" x14ac:dyDescent="0.2">
      <c r="A32" s="3" t="s">
        <v>102</v>
      </c>
      <c r="B32" s="1" t="s">
        <v>103</v>
      </c>
      <c r="C32" s="4" t="s">
        <v>104</v>
      </c>
      <c r="D32" s="1" t="s">
        <v>14</v>
      </c>
      <c r="E32" s="2">
        <v>772</v>
      </c>
      <c r="F32" s="2">
        <v>26179</v>
      </c>
      <c r="G32" s="2">
        <v>6841</v>
      </c>
      <c r="H32" s="2">
        <f t="shared" si="0"/>
        <v>33792</v>
      </c>
      <c r="I32" s="2">
        <v>41330</v>
      </c>
      <c r="J32" s="2">
        <v>1332379</v>
      </c>
      <c r="K32" s="2">
        <f t="shared" si="1"/>
        <v>2.5362152960981824E-2</v>
      </c>
      <c r="M32" s="2">
        <v>0.96011445434210796</v>
      </c>
      <c r="N32" s="2">
        <v>0.53905369532867298</v>
      </c>
      <c r="O32" s="2">
        <v>7.0557719208266496</v>
      </c>
      <c r="P32" s="2">
        <v>13.0891819905336</v>
      </c>
      <c r="Q32" s="2">
        <v>14.866068747318501</v>
      </c>
      <c r="R32" s="2">
        <v>12.567112824625699</v>
      </c>
      <c r="S32" s="2">
        <v>0.79130801669956097</v>
      </c>
      <c r="T32" s="2">
        <v>508.60333453687099</v>
      </c>
      <c r="U32" s="2">
        <v>257</v>
      </c>
      <c r="V32" s="2">
        <v>2324</v>
      </c>
      <c r="W32" s="2">
        <v>3137.50330865653</v>
      </c>
      <c r="X32" s="2">
        <v>29446259.172359399</v>
      </c>
      <c r="Y32" s="2">
        <v>22110.460725514698</v>
      </c>
      <c r="Z32" s="2">
        <v>4983.3288697451699</v>
      </c>
      <c r="AA32" s="2">
        <v>270.10856783553902</v>
      </c>
      <c r="AB32" s="2">
        <v>0.89691436810292602</v>
      </c>
      <c r="AC32" s="2">
        <v>9.4926746321957491</v>
      </c>
      <c r="AD32" s="2">
        <v>4.2202216720245804</v>
      </c>
      <c r="AE32" s="2">
        <v>0.29804667196366502</v>
      </c>
      <c r="AF32" s="2">
        <v>0.22263516377020101</v>
      </c>
      <c r="AG32" s="2">
        <v>0.97333750657371998</v>
      </c>
      <c r="AH32" s="2">
        <v>0.92034743027656996</v>
      </c>
      <c r="AI32" s="2">
        <v>-0.37456132761123401</v>
      </c>
      <c r="AJ32" s="2">
        <v>0.98975110054803705</v>
      </c>
      <c r="AK32" s="2">
        <v>4.0427833291162302E-3</v>
      </c>
      <c r="AL32" s="2">
        <v>8.5489524120031604</v>
      </c>
      <c r="AM32" s="2">
        <v>7.3001400460440102</v>
      </c>
      <c r="AN32" s="2">
        <v>152.11917098445599</v>
      </c>
      <c r="AO32" s="2">
        <v>0.19704555827002099</v>
      </c>
      <c r="AP32" s="2">
        <v>26.860103626943001</v>
      </c>
      <c r="AQ32" s="2">
        <v>1306.13925206046</v>
      </c>
      <c r="AR32" s="2">
        <v>3290.3108808290199</v>
      </c>
      <c r="AS32" s="2">
        <v>11.740932642487</v>
      </c>
      <c r="AT32" s="2">
        <v>25111.7046632124</v>
      </c>
      <c r="AU32" s="2">
        <v>0.26975348790139803</v>
      </c>
      <c r="AV32" s="2">
        <v>1.73714737064843E-2</v>
      </c>
      <c r="AW32" s="2">
        <v>2.8565841964629399E-2</v>
      </c>
      <c r="AX32" s="2">
        <v>7.7170559526482402E-3</v>
      </c>
      <c r="AY32" s="2">
        <v>22545.1972226588</v>
      </c>
      <c r="AZ32" s="2">
        <v>2.3904140436898502</v>
      </c>
      <c r="BA32" s="2">
        <v>77.571004146426702</v>
      </c>
      <c r="BB32" s="2">
        <v>777</v>
      </c>
    </row>
    <row r="33" spans="1:54" ht="15.75" customHeight="1" x14ac:dyDescent="0.15">
      <c r="A33" s="1" t="s">
        <v>105</v>
      </c>
      <c r="B33" s="1" t="s">
        <v>106</v>
      </c>
      <c r="C33" s="4" t="s">
        <v>107</v>
      </c>
      <c r="D33" s="1" t="s">
        <v>14</v>
      </c>
      <c r="E33" s="2">
        <v>3399</v>
      </c>
      <c r="F33" s="2">
        <v>67093</v>
      </c>
      <c r="G33" s="2">
        <v>14189</v>
      </c>
      <c r="H33" s="2">
        <f t="shared" si="0"/>
        <v>84681</v>
      </c>
      <c r="I33" s="2">
        <v>121368</v>
      </c>
      <c r="J33" s="2">
        <v>1727405</v>
      </c>
      <c r="K33" s="2">
        <f t="shared" si="1"/>
        <v>4.9022088045362844E-2</v>
      </c>
      <c r="M33" s="2">
        <v>0.828260497322588</v>
      </c>
      <c r="N33" s="2">
        <v>0.74670688608451297</v>
      </c>
      <c r="O33" s="2">
        <v>19.146736808206501</v>
      </c>
      <c r="P33" s="2">
        <v>25.641569891776101</v>
      </c>
      <c r="Q33" s="2">
        <v>32.802438933713503</v>
      </c>
      <c r="R33" s="2">
        <v>21.237899430694402</v>
      </c>
      <c r="S33" s="2">
        <v>0.32844207202649001</v>
      </c>
      <c r="T33" s="2">
        <v>3260.00562279002</v>
      </c>
      <c r="U33" s="2">
        <v>980</v>
      </c>
      <c r="V33" s="2">
        <v>1412</v>
      </c>
      <c r="W33" s="2">
        <v>482.263693600024</v>
      </c>
      <c r="X33" s="2">
        <v>68847.163958055797</v>
      </c>
      <c r="Y33" s="2">
        <v>376.11799666999002</v>
      </c>
      <c r="Z33" s="2">
        <v>149.787425329049</v>
      </c>
      <c r="AA33" s="2">
        <v>28.2750538531049</v>
      </c>
      <c r="AB33" s="2">
        <v>0.68136233319879602</v>
      </c>
      <c r="AC33" s="2">
        <v>4.0933093607251001</v>
      </c>
      <c r="AD33" s="2">
        <v>3.5054108040377101</v>
      </c>
      <c r="AE33" s="2">
        <v>0.31566115772488801</v>
      </c>
      <c r="AF33" s="2">
        <v>0.22343729578549601</v>
      </c>
      <c r="AG33" s="2">
        <v>0.98669702502668899</v>
      </c>
      <c r="AH33" s="2">
        <v>0.92069804095399399</v>
      </c>
      <c r="AI33" s="2">
        <v>-0.140110267614623</v>
      </c>
      <c r="AJ33" s="2">
        <v>0.85273331833979404</v>
      </c>
      <c r="AK33" s="2">
        <v>2.87596138891204E-3</v>
      </c>
      <c r="AL33" s="2">
        <v>8.8662397199792498</v>
      </c>
      <c r="AM33" s="2">
        <v>7.00506218310636</v>
      </c>
      <c r="AN33" s="2">
        <v>778.09208590762</v>
      </c>
      <c r="AO33" s="2">
        <v>0.228917942308803</v>
      </c>
      <c r="AP33" s="2">
        <v>143.80317740511899</v>
      </c>
      <c r="AQ33" s="2">
        <v>45.634185711821303</v>
      </c>
      <c r="AR33" s="2">
        <v>500.28096498970302</v>
      </c>
      <c r="AS33" s="2">
        <v>8.4733745219182097</v>
      </c>
      <c r="AT33" s="2">
        <v>4274.4321859370402</v>
      </c>
      <c r="AU33" s="2">
        <v>3.2511653462209203E-2</v>
      </c>
      <c r="AV33" s="2">
        <v>4.3155435760797297E-3</v>
      </c>
      <c r="AW33" s="2">
        <v>0.310539864788139</v>
      </c>
      <c r="AX33" s="2">
        <v>3.13100490850214E-3</v>
      </c>
      <c r="AY33" s="2">
        <v>2104.3188949217501</v>
      </c>
      <c r="AZ33" s="2">
        <v>0.115892847124518</v>
      </c>
      <c r="BA33" s="2">
        <v>2.2865448274446201</v>
      </c>
      <c r="BB33" s="2">
        <v>554</v>
      </c>
    </row>
    <row r="34" spans="1:54" ht="15.75" customHeight="1" x14ac:dyDescent="0.15">
      <c r="A34" s="1" t="s">
        <v>108</v>
      </c>
      <c r="B34" s="1" t="s">
        <v>109</v>
      </c>
      <c r="C34" s="4" t="s">
        <v>110</v>
      </c>
      <c r="D34" s="1" t="s">
        <v>14</v>
      </c>
      <c r="E34" s="2">
        <v>5318</v>
      </c>
      <c r="F34" s="2">
        <v>98689</v>
      </c>
      <c r="G34" s="2">
        <v>15417</v>
      </c>
      <c r="H34" s="2">
        <f t="shared" si="0"/>
        <v>119424</v>
      </c>
      <c r="I34" s="2">
        <v>154758</v>
      </c>
      <c r="J34" s="2">
        <v>1393310</v>
      </c>
      <c r="K34" s="2">
        <f t="shared" si="1"/>
        <v>8.5712440160481157E-2</v>
      </c>
      <c r="M34" s="2">
        <v>0.801611530935604</v>
      </c>
      <c r="N34" s="2">
        <v>0.55259845566737897</v>
      </c>
      <c r="O34" s="2">
        <v>15.121887625791899</v>
      </c>
      <c r="P34" s="2">
        <v>27.365055893124101</v>
      </c>
      <c r="Q34" s="2">
        <v>29.614185789921699</v>
      </c>
      <c r="R34" s="2">
        <v>21.936144348625501</v>
      </c>
      <c r="S34" s="2">
        <v>0.59127829517464303</v>
      </c>
      <c r="T34" s="2">
        <v>2471.1651729846899</v>
      </c>
      <c r="U34" s="2">
        <v>329</v>
      </c>
      <c r="V34" s="2">
        <v>746</v>
      </c>
      <c r="W34" s="2">
        <v>350.235797983721</v>
      </c>
      <c r="X34" s="2">
        <v>32683.746395413</v>
      </c>
      <c r="Y34" s="2">
        <v>-737.48444908602505</v>
      </c>
      <c r="Z34" s="2">
        <v>115.207637725289</v>
      </c>
      <c r="AA34" s="2">
        <v>12.912375846167199</v>
      </c>
      <c r="AB34" s="2">
        <v>0.79665713705942698</v>
      </c>
      <c r="AC34" s="2">
        <v>2.5871739346887299</v>
      </c>
      <c r="AD34" s="2">
        <v>2.9553120419147598</v>
      </c>
      <c r="AE34" s="2">
        <v>0.42405374794919198</v>
      </c>
      <c r="AF34" s="2">
        <v>0.34872855155543903</v>
      </c>
      <c r="AG34" s="2">
        <v>0.98654127731429797</v>
      </c>
      <c r="AH34" s="2">
        <v>0.92547449059701303</v>
      </c>
      <c r="AI34" s="2">
        <v>-0.18598220673861901</v>
      </c>
      <c r="AJ34" s="2">
        <v>0.88928162771621999</v>
      </c>
      <c r="AK34" s="2">
        <v>5.9880226610721501E-3</v>
      </c>
      <c r="AL34" s="2">
        <v>7.9579478356268396</v>
      </c>
      <c r="AM34" s="2">
        <v>7.5217568434527804</v>
      </c>
      <c r="AN34" s="2">
        <v>643.27303497555499</v>
      </c>
      <c r="AO34" s="2">
        <v>0.120961458250386</v>
      </c>
      <c r="AP34" s="2">
        <v>260.92403159082397</v>
      </c>
      <c r="AQ34" s="2">
        <v>37.441331150770402</v>
      </c>
      <c r="AR34" s="2">
        <v>332.02388115833003</v>
      </c>
      <c r="AS34" s="2">
        <v>26.823993982700301</v>
      </c>
      <c r="AT34" s="2">
        <v>11303.4473486273</v>
      </c>
      <c r="AU34" s="2">
        <v>0.11823790236986199</v>
      </c>
      <c r="AV34" s="2">
        <v>7.8930694023388003E-3</v>
      </c>
      <c r="AW34" s="2">
        <v>0.70579427427882602</v>
      </c>
      <c r="AX34" s="2">
        <v>2.6742136681423799E-3</v>
      </c>
      <c r="AY34" s="2">
        <v>561.56110006788401</v>
      </c>
      <c r="AZ34" s="2">
        <v>0.13693822385836399</v>
      </c>
      <c r="BA34" s="2">
        <v>0.81641241116595098</v>
      </c>
      <c r="BB34" s="2">
        <v>389</v>
      </c>
    </row>
    <row r="35" spans="1:54" ht="15.75" customHeight="1" x14ac:dyDescent="0.15">
      <c r="A35" s="1" t="s">
        <v>111</v>
      </c>
      <c r="B35" s="1" t="s">
        <v>112</v>
      </c>
      <c r="C35" s="4" t="s">
        <v>113</v>
      </c>
      <c r="D35" s="1" t="s">
        <v>14</v>
      </c>
      <c r="E35" s="2">
        <v>28257</v>
      </c>
      <c r="F35" s="2">
        <v>86162</v>
      </c>
      <c r="G35" s="2">
        <v>49797</v>
      </c>
      <c r="H35" s="2">
        <f t="shared" si="0"/>
        <v>164216</v>
      </c>
      <c r="I35" s="2">
        <v>234338</v>
      </c>
      <c r="J35" s="2">
        <v>1710288</v>
      </c>
      <c r="K35" s="2">
        <f t="shared" si="1"/>
        <v>9.6016577324988542E-2</v>
      </c>
      <c r="M35" s="2">
        <v>0.685004473186832</v>
      </c>
      <c r="N35" s="2">
        <v>0.60631278924034504</v>
      </c>
      <c r="O35" s="2">
        <v>32.962291275670999</v>
      </c>
      <c r="P35" s="2">
        <v>54.365159140004003</v>
      </c>
      <c r="Q35" s="2">
        <v>69.426219830839102</v>
      </c>
      <c r="R35" s="2">
        <v>37.240377196416702</v>
      </c>
      <c r="S35" s="2">
        <v>0.37418025283492801</v>
      </c>
      <c r="T35" s="2">
        <v>11909.1171871306</v>
      </c>
      <c r="U35" s="2">
        <v>684</v>
      </c>
      <c r="V35" s="2">
        <v>1503</v>
      </c>
      <c r="W35" s="2">
        <v>1985.1800173481399</v>
      </c>
      <c r="X35" s="2">
        <v>1004164.54751311</v>
      </c>
      <c r="Y35" s="2">
        <v>-17374.033480213799</v>
      </c>
      <c r="Z35" s="2">
        <v>550.03648482393703</v>
      </c>
      <c r="AA35" s="2">
        <v>8.7015796682732809</v>
      </c>
      <c r="AB35" s="2">
        <v>0.96858590300871505</v>
      </c>
      <c r="AC35" s="2">
        <v>1.6477283066897099</v>
      </c>
      <c r="AD35" s="2">
        <v>2.43729786996757</v>
      </c>
      <c r="AE35" s="2">
        <v>0.59124835658880803</v>
      </c>
      <c r="AF35" s="2">
        <v>0.55340332605446696</v>
      </c>
      <c r="AG35" s="2">
        <v>0.99711751371133495</v>
      </c>
      <c r="AH35" s="2">
        <v>0.97206400778681601</v>
      </c>
      <c r="AI35" s="2">
        <v>-0.376182966113211</v>
      </c>
      <c r="AJ35" s="2">
        <v>0.98006015144586001</v>
      </c>
      <c r="AK35" s="2">
        <v>2.5252948736927999E-2</v>
      </c>
      <c r="AL35" s="2">
        <v>7.0968332876144498</v>
      </c>
      <c r="AM35" s="2">
        <v>8.3731552664784008</v>
      </c>
      <c r="AN35" s="2">
        <v>1613.1559967441699</v>
      </c>
      <c r="AO35" s="2">
        <v>5.7088721263551301E-2</v>
      </c>
      <c r="AP35" s="2">
        <v>1877.09852425948</v>
      </c>
      <c r="AQ35" s="2">
        <v>162.19566287320399</v>
      </c>
      <c r="AR35" s="2">
        <v>1863.5297094525299</v>
      </c>
      <c r="AS35" s="2">
        <v>115.267261209612</v>
      </c>
      <c r="AT35" s="2">
        <v>279612.59691403899</v>
      </c>
      <c r="AU35" s="2">
        <v>6.3611094786782493E-2</v>
      </c>
      <c r="AV35" s="2">
        <v>1.18118879561749E-3</v>
      </c>
      <c r="AW35" s="2">
        <v>0.41620423588823702</v>
      </c>
      <c r="AX35" s="2">
        <v>7.4647169979248596E-4</v>
      </c>
      <c r="AY35" s="2">
        <v>1726.2150177961501</v>
      </c>
      <c r="AZ35" s="2">
        <v>0.138724417717381</v>
      </c>
      <c r="BA35" s="2">
        <v>1.8552523334344699</v>
      </c>
      <c r="BB35" s="2">
        <v>678</v>
      </c>
    </row>
    <row r="36" spans="1:54" ht="15.75" customHeight="1" x14ac:dyDescent="0.15">
      <c r="A36" s="1" t="s">
        <v>114</v>
      </c>
      <c r="B36" s="1" t="s">
        <v>115</v>
      </c>
      <c r="C36" s="4" t="s">
        <v>116</v>
      </c>
      <c r="D36" s="1" t="s">
        <v>14</v>
      </c>
      <c r="E36" s="2">
        <v>9339</v>
      </c>
      <c r="F36" s="2">
        <v>94314</v>
      </c>
      <c r="G36" s="2">
        <v>27997</v>
      </c>
      <c r="H36" s="2">
        <f t="shared" si="0"/>
        <v>131650</v>
      </c>
      <c r="I36" s="2">
        <v>216784</v>
      </c>
      <c r="J36" s="2">
        <v>2008083</v>
      </c>
      <c r="K36" s="2">
        <f t="shared" si="1"/>
        <v>6.5560039101969392E-2</v>
      </c>
      <c r="M36" s="2">
        <v>0.54585763684828603</v>
      </c>
      <c r="N36" s="2">
        <v>0.43262536689422898</v>
      </c>
      <c r="O36" s="2">
        <v>22.631207423663199</v>
      </c>
      <c r="P36" s="2">
        <v>52.311327895842702</v>
      </c>
      <c r="Q36" s="2">
        <v>44.922154890432402</v>
      </c>
      <c r="R36" s="2">
        <v>28.5545378256205</v>
      </c>
      <c r="S36" s="2">
        <v>0.31903658404982999</v>
      </c>
      <c r="T36" s="2">
        <v>6662.5507613023601</v>
      </c>
      <c r="U36" s="2">
        <v>759</v>
      </c>
      <c r="V36" s="2">
        <v>1307.2</v>
      </c>
      <c r="W36" s="2">
        <v>1234.9097759589499</v>
      </c>
      <c r="X36" s="2">
        <v>230170.97439819301</v>
      </c>
      <c r="Y36" s="2">
        <v>3089.6328154758098</v>
      </c>
      <c r="Z36" s="2">
        <v>258.10330964296003</v>
      </c>
      <c r="AA36" s="2">
        <v>32.170499212558397</v>
      </c>
      <c r="AB36" s="2">
        <v>0.77816005810694</v>
      </c>
      <c r="AC36" s="2">
        <v>4.1733276119579399</v>
      </c>
      <c r="AD36" s="2">
        <v>3.5661922280179099</v>
      </c>
      <c r="AE36" s="2">
        <v>0.32088178667142297</v>
      </c>
      <c r="AF36" s="2">
        <v>0.230471648111538</v>
      </c>
      <c r="AG36" s="2">
        <v>0.99243901414938895</v>
      </c>
      <c r="AH36" s="2">
        <v>0.94151622110049304</v>
      </c>
      <c r="AI36" s="2">
        <v>-0.15850217969710201</v>
      </c>
      <c r="AJ36" s="2">
        <v>0.88827485715424204</v>
      </c>
      <c r="AK36" s="2">
        <v>2.4933324411704001E-3</v>
      </c>
      <c r="AL36" s="2">
        <v>9.2752259894444098</v>
      </c>
      <c r="AM36" s="2">
        <v>7.4722880131883302</v>
      </c>
      <c r="AN36" s="2">
        <v>1897.5009101616899</v>
      </c>
      <c r="AO36" s="2">
        <v>0.20318030947228699</v>
      </c>
      <c r="AP36" s="2">
        <v>345.22464932005602</v>
      </c>
      <c r="AQ36" s="2">
        <v>72.742396902546005</v>
      </c>
      <c r="AR36" s="2">
        <v>1203.765606596</v>
      </c>
      <c r="AS36" s="2">
        <v>10.227326266195499</v>
      </c>
      <c r="AT36" s="2">
        <v>11922.3977941964</v>
      </c>
      <c r="AU36" s="2">
        <v>1.0815781740566599E-2</v>
      </c>
      <c r="AV36" s="2">
        <v>1.1955561060889601E-3</v>
      </c>
      <c r="AW36" s="2">
        <v>0.34237219613897402</v>
      </c>
      <c r="AX36" s="2">
        <v>1.2294340066011599E-3</v>
      </c>
      <c r="AY36" s="2">
        <v>4440.5775866122603</v>
      </c>
      <c r="AZ36" s="2">
        <v>0.10318558197686099</v>
      </c>
      <c r="BA36" s="2">
        <v>1.96027868870899</v>
      </c>
      <c r="BB36" s="2">
        <v>70</v>
      </c>
    </row>
    <row r="37" spans="1:54" ht="15.75" customHeight="1" x14ac:dyDescent="0.15">
      <c r="A37" s="1" t="s">
        <v>117</v>
      </c>
      <c r="B37" s="1" t="s">
        <v>118</v>
      </c>
      <c r="C37" s="4" t="s">
        <v>119</v>
      </c>
      <c r="D37" s="1" t="s">
        <v>14</v>
      </c>
      <c r="E37" s="2">
        <v>33619</v>
      </c>
      <c r="F37" s="2">
        <v>11028</v>
      </c>
      <c r="G37" s="2">
        <v>55839</v>
      </c>
      <c r="H37" s="2">
        <f t="shared" si="0"/>
        <v>100486</v>
      </c>
      <c r="I37" s="2">
        <v>127120</v>
      </c>
      <c r="J37" s="2">
        <v>1307938</v>
      </c>
      <c r="K37" s="2">
        <f t="shared" si="1"/>
        <v>7.6827800706149682E-2</v>
      </c>
      <c r="M37" s="2">
        <v>0.86491992004955198</v>
      </c>
      <c r="N37" s="2">
        <v>0.75903883614319101</v>
      </c>
      <c r="O37" s="2">
        <v>38.863519027071597</v>
      </c>
      <c r="P37" s="2">
        <v>51.200962554885798</v>
      </c>
      <c r="Q37" s="2">
        <v>60.133185513491597</v>
      </c>
      <c r="R37" s="2">
        <v>44.284732439431998</v>
      </c>
      <c r="S37" s="2">
        <v>0.17726247779323501</v>
      </c>
      <c r="T37" s="2">
        <v>27963.352206045201</v>
      </c>
      <c r="U37" s="2">
        <v>727</v>
      </c>
      <c r="V37" s="2">
        <v>1170</v>
      </c>
      <c r="W37" s="2">
        <v>1086.2109238640801</v>
      </c>
      <c r="X37" s="2">
        <v>369767.00160234101</v>
      </c>
      <c r="Y37" s="2">
        <v>5467.3443049771804</v>
      </c>
      <c r="Z37" s="2">
        <v>247.48797880770101</v>
      </c>
      <c r="AA37" s="2">
        <v>24.480000298155499</v>
      </c>
      <c r="AB37" s="2">
        <v>0.82042585940278601</v>
      </c>
      <c r="AC37" s="2">
        <v>3.4331464729267398</v>
      </c>
      <c r="AD37" s="2">
        <v>3.31131667505508</v>
      </c>
      <c r="AE37" s="2">
        <v>0.368315433524257</v>
      </c>
      <c r="AF37" s="2">
        <v>0.28386182729637499</v>
      </c>
      <c r="AG37" s="2">
        <v>0.99759859910829796</v>
      </c>
      <c r="AH37" s="2">
        <v>0.96786887902508101</v>
      </c>
      <c r="AI37" s="2">
        <v>-0.179623484566339</v>
      </c>
      <c r="AJ37" s="2">
        <v>0.90000348207908498</v>
      </c>
      <c r="AK37" s="2">
        <v>4.2453772645118897E-3</v>
      </c>
      <c r="AL37" s="2">
        <v>8.83616805065836</v>
      </c>
      <c r="AM37" s="2">
        <v>7.50039984245063</v>
      </c>
      <c r="AN37" s="2">
        <v>5698.8472887355401</v>
      </c>
      <c r="AO37" s="2">
        <v>0.169512694867055</v>
      </c>
      <c r="AP37" s="2">
        <v>1616.77197418127</v>
      </c>
      <c r="AQ37" s="2">
        <v>63.974370991328598</v>
      </c>
      <c r="AR37" s="2">
        <v>1048.9621345072701</v>
      </c>
      <c r="AS37" s="2">
        <v>14.051369761147001</v>
      </c>
      <c r="AT37" s="2">
        <v>13476.3144650347</v>
      </c>
      <c r="AU37" s="2">
        <v>1.7038768887063901E-2</v>
      </c>
      <c r="AV37" s="2">
        <v>1.3814225914036899E-3</v>
      </c>
      <c r="AW37" s="2">
        <v>0.71732642806281799</v>
      </c>
      <c r="AX37" s="2">
        <v>3.82789677041291E-4</v>
      </c>
      <c r="AY37" s="2">
        <v>6294.1840745358804</v>
      </c>
      <c r="AZ37" s="2">
        <v>3.9321282632688498E-2</v>
      </c>
      <c r="BA37" s="2">
        <v>1.7975672479067899</v>
      </c>
      <c r="BB37" s="2">
        <v>14</v>
      </c>
    </row>
    <row r="38" spans="1:54" ht="15.75" customHeight="1" x14ac:dyDescent="0.15">
      <c r="A38" s="1" t="s">
        <v>120</v>
      </c>
      <c r="B38" s="1" t="s">
        <v>121</v>
      </c>
      <c r="C38" s="4" t="s">
        <v>122</v>
      </c>
      <c r="D38" s="1" t="s">
        <v>14</v>
      </c>
      <c r="E38" s="2">
        <v>4454</v>
      </c>
      <c r="F38" s="2">
        <v>56234</v>
      </c>
      <c r="G38" s="2">
        <v>43755</v>
      </c>
      <c r="H38" s="2">
        <f t="shared" si="0"/>
        <v>104443</v>
      </c>
      <c r="I38" s="2">
        <v>136703</v>
      </c>
      <c r="J38" s="2">
        <v>1423504</v>
      </c>
      <c r="K38" s="2">
        <f t="shared" si="1"/>
        <v>7.3370359338646052E-2</v>
      </c>
      <c r="M38" s="2">
        <v>0.39190645961935799</v>
      </c>
      <c r="N38" s="2">
        <v>0.29176863686811699</v>
      </c>
      <c r="O38" s="2">
        <v>18.248235199442401</v>
      </c>
      <c r="P38" s="2">
        <v>62.543511856933399</v>
      </c>
      <c r="Q38" s="2">
        <v>61.204574992397397</v>
      </c>
      <c r="R38" s="2">
        <v>24.511206304012099</v>
      </c>
      <c r="S38" s="2">
        <v>0.29752868311094899</v>
      </c>
      <c r="T38" s="2">
        <v>4282.3935591140198</v>
      </c>
      <c r="U38" s="2">
        <v>775</v>
      </c>
      <c r="V38" s="2">
        <v>1543.4</v>
      </c>
      <c r="W38" s="2">
        <v>1260.5627413283</v>
      </c>
      <c r="X38" s="2">
        <v>1869134.6755170301</v>
      </c>
      <c r="Y38" s="2">
        <v>23597.730579553601</v>
      </c>
      <c r="Z38" s="2">
        <v>561.54472165915899</v>
      </c>
      <c r="AA38" s="2">
        <v>32.661139539653703</v>
      </c>
      <c r="AB38" s="2">
        <v>0.88788655174484798</v>
      </c>
      <c r="AC38" s="2">
        <v>3.8431184274050998</v>
      </c>
      <c r="AD38" s="2">
        <v>3.45431150459238</v>
      </c>
      <c r="AE38" s="2">
        <v>0.353745713219972</v>
      </c>
      <c r="AF38" s="2">
        <v>0.26829633129990599</v>
      </c>
      <c r="AG38" s="2">
        <v>0.99565457429547699</v>
      </c>
      <c r="AH38" s="2">
        <v>0.95867586306837504</v>
      </c>
      <c r="AI38" s="2">
        <v>-0.245214174373132</v>
      </c>
      <c r="AJ38" s="2">
        <v>0.954810750716926</v>
      </c>
      <c r="AK38" s="2">
        <v>4.0285541672883396E-3</v>
      </c>
      <c r="AL38" s="2">
        <v>8.9064702823339097</v>
      </c>
      <c r="AM38" s="2">
        <v>7.6277101457826699</v>
      </c>
      <c r="AN38" s="2">
        <v>814.99057027391098</v>
      </c>
      <c r="AO38" s="2">
        <v>0.18297947244587101</v>
      </c>
      <c r="AP38" s="2">
        <v>175.05657835653301</v>
      </c>
      <c r="AQ38" s="2">
        <v>173.271763155332</v>
      </c>
      <c r="AR38" s="2">
        <v>1371.7465199820399</v>
      </c>
      <c r="AS38" s="2">
        <v>12.308935788055701</v>
      </c>
      <c r="AT38" s="2">
        <v>12594.9526268523</v>
      </c>
      <c r="AU38" s="2">
        <v>1.6094713065523399E-2</v>
      </c>
      <c r="AV38" s="2">
        <v>1.3418916279439299E-3</v>
      </c>
      <c r="AW38" s="2">
        <v>0.133357834987545</v>
      </c>
      <c r="AX38" s="2">
        <v>2.9598634645266499E-3</v>
      </c>
      <c r="AY38" s="2">
        <v>6443.0454013257304</v>
      </c>
      <c r="AZ38" s="2">
        <v>0.17113347004632901</v>
      </c>
      <c r="BA38" s="2">
        <v>10.529379915488599</v>
      </c>
      <c r="BB38" s="2">
        <v>322</v>
      </c>
    </row>
    <row r="39" spans="1:54" ht="15.75" customHeight="1" x14ac:dyDescent="0.15">
      <c r="A39" s="1" t="s">
        <v>123</v>
      </c>
      <c r="B39" s="1" t="s">
        <v>124</v>
      </c>
      <c r="C39" s="4" t="s">
        <v>125</v>
      </c>
      <c r="D39" s="1" t="s">
        <v>14</v>
      </c>
      <c r="E39" s="2">
        <v>2658</v>
      </c>
      <c r="F39" s="2">
        <v>16755</v>
      </c>
      <c r="G39" s="2">
        <v>7997</v>
      </c>
      <c r="H39" s="2">
        <f t="shared" si="0"/>
        <v>27410</v>
      </c>
      <c r="I39" s="2">
        <v>37111</v>
      </c>
      <c r="J39" s="2">
        <v>1330518</v>
      </c>
      <c r="K39" s="2">
        <f t="shared" si="1"/>
        <v>2.0600999009408365E-2</v>
      </c>
      <c r="M39" s="2">
        <v>0.70775491994993101</v>
      </c>
      <c r="N39" s="2">
        <v>0.44358644667310299</v>
      </c>
      <c r="O39" s="2">
        <v>11.991784463700499</v>
      </c>
      <c r="P39" s="2">
        <v>27.033703472319399</v>
      </c>
      <c r="Q39" s="2">
        <v>28.1780056072107</v>
      </c>
      <c r="R39" s="2">
        <v>19.133236637001598</v>
      </c>
      <c r="S39" s="2">
        <v>0.51455895551516795</v>
      </c>
      <c r="T39" s="2">
        <v>1789.9295804823901</v>
      </c>
      <c r="U39" s="2">
        <v>746.7</v>
      </c>
      <c r="V39" s="2">
        <v>1552.3</v>
      </c>
      <c r="W39" s="2">
        <v>2041.00027345646</v>
      </c>
      <c r="X39" s="2">
        <v>534477.42503235606</v>
      </c>
      <c r="Y39" s="2">
        <v>-2342.2593479888001</v>
      </c>
      <c r="Z39" s="2">
        <v>464.095631748649</v>
      </c>
      <c r="AA39" s="2">
        <v>78.021871239642905</v>
      </c>
      <c r="AB39" s="2">
        <v>0.71123693269570198</v>
      </c>
      <c r="AC39" s="2">
        <v>6.2706961243579702</v>
      </c>
      <c r="AD39" s="2">
        <v>4.1137165042166703</v>
      </c>
      <c r="AE39" s="2">
        <v>0.26531291663004197</v>
      </c>
      <c r="AF39" s="2">
        <v>0.17696680036960899</v>
      </c>
      <c r="AG39" s="2">
        <v>0.98524400104119403</v>
      </c>
      <c r="AH39" s="2">
        <v>0.92319483012522796</v>
      </c>
      <c r="AI39" s="2">
        <v>-0.192467836833255</v>
      </c>
      <c r="AJ39" s="2">
        <v>0.93480794596774397</v>
      </c>
      <c r="AK39" s="2">
        <v>1.43403555926841E-3</v>
      </c>
      <c r="AL39" s="2">
        <v>9.8974478153250693</v>
      </c>
      <c r="AM39" s="2">
        <v>7.5488539711065501</v>
      </c>
      <c r="AN39" s="2">
        <v>678.20316027087995</v>
      </c>
      <c r="AO39" s="2">
        <v>0.25515544028249798</v>
      </c>
      <c r="AP39" s="2">
        <v>62.6869826937547</v>
      </c>
      <c r="AQ39" s="2">
        <v>148.86446583450399</v>
      </c>
      <c r="AR39" s="2">
        <v>1990.36568848758</v>
      </c>
      <c r="AS39" s="2">
        <v>7.2520692249811898</v>
      </c>
      <c r="AT39" s="2">
        <v>16701.176072234801</v>
      </c>
      <c r="AU39" s="2">
        <v>4.7810544790198896E-3</v>
      </c>
      <c r="AV39" s="2">
        <v>1.1860377035697301E-3</v>
      </c>
      <c r="AW39" s="2">
        <v>8.4616249804797899E-2</v>
      </c>
      <c r="AX39" s="2">
        <v>4.4391079167424496E-3</v>
      </c>
      <c r="AY39" s="2">
        <v>6915.2966195860899</v>
      </c>
      <c r="AZ39" s="2">
        <v>0.29045151714578399</v>
      </c>
      <c r="BA39" s="2">
        <v>6.5813224674159203</v>
      </c>
      <c r="BB39" s="2">
        <v>1116</v>
      </c>
    </row>
    <row r="40" spans="1:54" ht="15.75" customHeight="1" x14ac:dyDescent="0.15">
      <c r="A40" s="1" t="s">
        <v>126</v>
      </c>
      <c r="B40" s="1" t="s">
        <v>127</v>
      </c>
      <c r="C40" s="4" t="s">
        <v>128</v>
      </c>
      <c r="D40" s="1" t="s">
        <v>14</v>
      </c>
      <c r="E40" s="2">
        <v>7122</v>
      </c>
      <c r="F40" s="2">
        <v>89677</v>
      </c>
      <c r="G40" s="2">
        <v>23135</v>
      </c>
      <c r="H40" s="2">
        <f t="shared" si="0"/>
        <v>119934</v>
      </c>
      <c r="I40" s="2">
        <v>199344</v>
      </c>
      <c r="J40" s="2">
        <v>1432242</v>
      </c>
      <c r="K40" s="2">
        <f t="shared" si="1"/>
        <v>8.3738641933416277E-2</v>
      </c>
      <c r="M40" s="2">
        <v>0.64706170554984299</v>
      </c>
      <c r="N40" s="2">
        <v>0.44395392183111898</v>
      </c>
      <c r="O40" s="2">
        <v>16.851496808178101</v>
      </c>
      <c r="P40" s="2">
        <v>37.957760883546001</v>
      </c>
      <c r="Q40" s="2">
        <v>39.012818406262298</v>
      </c>
      <c r="R40" s="2">
        <v>24.561013496160399</v>
      </c>
      <c r="S40" s="2">
        <v>0.50125946028339496</v>
      </c>
      <c r="T40" s="2">
        <v>3553.5875770873699</v>
      </c>
      <c r="U40" s="2">
        <v>584</v>
      </c>
      <c r="V40" s="2">
        <v>869</v>
      </c>
      <c r="W40" s="2">
        <v>576.01360228032104</v>
      </c>
      <c r="X40" s="2">
        <v>15227.963122078099</v>
      </c>
      <c r="Y40" s="2">
        <v>63.377136153631497</v>
      </c>
      <c r="Z40" s="2">
        <v>65.502245429764997</v>
      </c>
      <c r="AA40" s="2">
        <v>16.240997550224002</v>
      </c>
      <c r="AB40" s="2">
        <v>0.60211791440865803</v>
      </c>
      <c r="AC40" s="2">
        <v>3.0972332988084301</v>
      </c>
      <c r="AD40" s="2">
        <v>3.13347710740479</v>
      </c>
      <c r="AE40" s="2">
        <v>0.36583386744408197</v>
      </c>
      <c r="AF40" s="2">
        <v>0.27687612572825099</v>
      </c>
      <c r="AG40" s="2">
        <v>0.99110607278955298</v>
      </c>
      <c r="AH40" s="2">
        <v>0.93417164484624604</v>
      </c>
      <c r="AI40" s="2">
        <v>-9.8078100389929798E-2</v>
      </c>
      <c r="AJ40" s="2">
        <v>0.73553767190695296</v>
      </c>
      <c r="AK40" s="2">
        <v>5.5796396029590203E-3</v>
      </c>
      <c r="AL40" s="2">
        <v>8.0079280712279992</v>
      </c>
      <c r="AM40" s="2">
        <v>6.9136316424212003</v>
      </c>
      <c r="AN40" s="2">
        <v>1182.9463633810699</v>
      </c>
      <c r="AO40" s="2">
        <v>0.166097495560387</v>
      </c>
      <c r="AP40" s="2">
        <v>458.19376579612498</v>
      </c>
      <c r="AQ40" s="2">
        <v>20.876032522125499</v>
      </c>
      <c r="AR40" s="2">
        <v>577.90761022184802</v>
      </c>
      <c r="AS40" s="2">
        <v>14.8941308621174</v>
      </c>
      <c r="AT40" s="2">
        <v>8459.1830946363407</v>
      </c>
      <c r="AU40" s="2">
        <v>2.9566678641332701E-2</v>
      </c>
      <c r="AV40" s="2">
        <v>2.1992666283992398E-3</v>
      </c>
      <c r="AW40" s="2">
        <v>0.643238997078314</v>
      </c>
      <c r="AX40" s="2">
        <v>1.32221930123446E-3</v>
      </c>
      <c r="AY40" s="2">
        <v>1319.6333728884599</v>
      </c>
      <c r="AZ40" s="2">
        <v>5.5086704410202199E-2</v>
      </c>
      <c r="BA40" s="2">
        <v>0.85210245245288596</v>
      </c>
      <c r="BB40" s="2">
        <v>930</v>
      </c>
    </row>
    <row r="41" spans="1:54" ht="15.75" customHeight="1" x14ac:dyDescent="0.15">
      <c r="A41" s="1" t="s">
        <v>129</v>
      </c>
      <c r="B41" s="1" t="s">
        <v>130</v>
      </c>
      <c r="C41" s="4" t="s">
        <v>131</v>
      </c>
      <c r="D41" s="1" t="s">
        <v>14</v>
      </c>
      <c r="E41" s="2">
        <v>47236</v>
      </c>
      <c r="F41" s="2">
        <v>131307</v>
      </c>
      <c r="G41" s="2">
        <v>61830</v>
      </c>
      <c r="H41" s="2">
        <f t="shared" si="0"/>
        <v>240373</v>
      </c>
      <c r="I41" s="2">
        <v>334239</v>
      </c>
      <c r="J41" s="2">
        <v>1822333</v>
      </c>
      <c r="K41" s="2">
        <f t="shared" si="1"/>
        <v>0.13190399339747455</v>
      </c>
      <c r="M41" s="2">
        <v>0.71112740126752905</v>
      </c>
      <c r="N41" s="2">
        <v>0.40697611353294999</v>
      </c>
      <c r="O41" s="2">
        <v>26.706659549159799</v>
      </c>
      <c r="P41" s="2">
        <v>65.622179437805102</v>
      </c>
      <c r="Q41" s="2">
        <v>66.068146636635703</v>
      </c>
      <c r="R41" s="2">
        <v>46.665729929117802</v>
      </c>
      <c r="S41" s="2">
        <v>0.39558414762337601</v>
      </c>
      <c r="T41" s="2">
        <v>15972.1437459439</v>
      </c>
      <c r="U41" s="2">
        <v>681</v>
      </c>
      <c r="V41" s="2">
        <v>1476.5</v>
      </c>
      <c r="W41" s="2">
        <v>2219.8438468454101</v>
      </c>
      <c r="X41" s="2">
        <v>984812.03769220703</v>
      </c>
      <c r="Y41" s="2">
        <v>-9346.3868724950698</v>
      </c>
      <c r="Z41" s="2">
        <v>590.40610877181905</v>
      </c>
      <c r="AA41" s="2">
        <v>32.248214335882501</v>
      </c>
      <c r="AB41" s="2">
        <v>0.89630600139907601</v>
      </c>
      <c r="AC41" s="2">
        <v>4.2097752258706604</v>
      </c>
      <c r="AD41" s="2">
        <v>3.5761255993204002</v>
      </c>
      <c r="AE41" s="2">
        <v>0.31939091416957099</v>
      </c>
      <c r="AF41" s="2">
        <v>0.22914344942721601</v>
      </c>
      <c r="AG41" s="2">
        <v>0.99426632284107297</v>
      </c>
      <c r="AH41" s="2">
        <v>0.94826659641099598</v>
      </c>
      <c r="AI41" s="2">
        <v>-0.21298065211030201</v>
      </c>
      <c r="AJ41" s="2">
        <v>0.94870409490304197</v>
      </c>
      <c r="AK41" s="2">
        <v>1.5127847779607599E-3</v>
      </c>
      <c r="AL41" s="2">
        <v>9.9457453718031292</v>
      </c>
      <c r="AM41" s="2">
        <v>8.17546953415704</v>
      </c>
      <c r="AN41" s="2">
        <v>8712.6814717588295</v>
      </c>
      <c r="AO41" s="2">
        <v>0.18445002692350801</v>
      </c>
      <c r="AP41" s="2">
        <v>1119.4776441696999</v>
      </c>
      <c r="AQ41" s="2">
        <v>159.105961495945</v>
      </c>
      <c r="AR41" s="2">
        <v>2179.4824709967002</v>
      </c>
      <c r="AS41" s="2">
        <v>12.138453721737701</v>
      </c>
      <c r="AT41" s="2">
        <v>28896.880387839799</v>
      </c>
      <c r="AU41" s="2">
        <v>8.8044925252325108E-3</v>
      </c>
      <c r="AV41" s="2">
        <v>8.9102584762734E-4</v>
      </c>
      <c r="AW41" s="2">
        <v>0.73097040858109796</v>
      </c>
      <c r="AX41" s="2">
        <v>3.7234366166935101E-4</v>
      </c>
      <c r="AY41" s="2">
        <v>5804.1606166929596</v>
      </c>
      <c r="AZ41" s="2">
        <v>0.15656597296241601</v>
      </c>
      <c r="BA41" s="2">
        <v>0.77996799592027799</v>
      </c>
      <c r="BB41" s="2">
        <v>749</v>
      </c>
    </row>
    <row r="42" spans="1:54" ht="15.75" customHeight="1" x14ac:dyDescent="0.15">
      <c r="A42" s="1" t="s">
        <v>132</v>
      </c>
      <c r="B42" s="1" t="s">
        <v>133</v>
      </c>
      <c r="C42" s="4" t="s">
        <v>134</v>
      </c>
      <c r="D42" s="1" t="s">
        <v>14</v>
      </c>
      <c r="E42" s="2">
        <v>3738</v>
      </c>
      <c r="F42" s="2">
        <v>10157</v>
      </c>
      <c r="G42" s="2">
        <v>5569</v>
      </c>
      <c r="H42" s="2">
        <f t="shared" si="0"/>
        <v>19464</v>
      </c>
      <c r="I42" s="2">
        <v>34151</v>
      </c>
      <c r="J42" s="2">
        <v>1648872</v>
      </c>
      <c r="K42" s="2">
        <f t="shared" si="1"/>
        <v>1.1804433576408599E-2</v>
      </c>
      <c r="M42" s="2">
        <v>0.66162681868420503</v>
      </c>
      <c r="N42" s="2">
        <v>0.41362734432340198</v>
      </c>
      <c r="O42" s="2">
        <v>14.3237981702864</v>
      </c>
      <c r="P42" s="2">
        <v>34.629717708138401</v>
      </c>
      <c r="Q42" s="2">
        <v>32.202484376209199</v>
      </c>
      <c r="R42" s="2">
        <v>22.9119499591677</v>
      </c>
      <c r="S42" s="2">
        <v>0.63783607433969702</v>
      </c>
      <c r="T42" s="2">
        <v>1810.17553135413</v>
      </c>
      <c r="U42" s="2">
        <v>797</v>
      </c>
      <c r="V42" s="2">
        <v>1606</v>
      </c>
      <c r="W42" s="2">
        <v>2726.6393739330401</v>
      </c>
      <c r="X42" s="2">
        <v>1120321.6680328699</v>
      </c>
      <c r="Y42" s="2">
        <v>-17448.0413143808</v>
      </c>
      <c r="Z42" s="2">
        <v>520.93288809833405</v>
      </c>
      <c r="AA42" s="2">
        <v>58.639173657273503</v>
      </c>
      <c r="AB42" s="2">
        <v>0.79577855271476805</v>
      </c>
      <c r="AC42" s="2">
        <v>4.5950497456503099</v>
      </c>
      <c r="AD42" s="2">
        <v>3.63831454154505</v>
      </c>
      <c r="AE42" s="2">
        <v>0.39132774544795801</v>
      </c>
      <c r="AF42" s="2">
        <v>0.32493512541453901</v>
      </c>
      <c r="AG42" s="2">
        <v>0.98844302048455202</v>
      </c>
      <c r="AH42" s="2">
        <v>0.942394287653741</v>
      </c>
      <c r="AI42" s="2">
        <v>-0.23468801572970699</v>
      </c>
      <c r="AJ42" s="2">
        <v>0.93978013252256398</v>
      </c>
      <c r="AK42" s="2">
        <v>1.1866678826330201E-2</v>
      </c>
      <c r="AL42" s="2">
        <v>8.2405121642091093</v>
      </c>
      <c r="AM42" s="2">
        <v>7.5528680891308202</v>
      </c>
      <c r="AN42" s="2">
        <v>464.50615302300702</v>
      </c>
      <c r="AO42" s="2">
        <v>0.12426595854013001</v>
      </c>
      <c r="AP42" s="2">
        <v>231.90850722311399</v>
      </c>
      <c r="AQ42" s="2">
        <v>166.57574586456201</v>
      </c>
      <c r="AR42" s="2">
        <v>2661.44194756554</v>
      </c>
      <c r="AS42" s="2">
        <v>30.1107544141252</v>
      </c>
      <c r="AT42" s="2">
        <v>98528.743713215605</v>
      </c>
      <c r="AU42" s="2">
        <v>1.1142616421142001E-2</v>
      </c>
      <c r="AV42" s="2">
        <v>1.3404196677355999E-3</v>
      </c>
      <c r="AW42" s="2">
        <v>8.0877149403858803E-2</v>
      </c>
      <c r="AX42" s="2">
        <v>2.5881932113992799E-3</v>
      </c>
      <c r="AY42" s="2">
        <v>5858.1594030095703</v>
      </c>
      <c r="AZ42" s="2">
        <v>0.23458604319808299</v>
      </c>
      <c r="BA42" s="2">
        <v>8.7772795492109097</v>
      </c>
      <c r="BB42" s="2">
        <v>421</v>
      </c>
    </row>
    <row r="43" spans="1:54" ht="15.75" customHeight="1" x14ac:dyDescent="0.15">
      <c r="A43" s="1" t="s">
        <v>135</v>
      </c>
      <c r="B43" s="1" t="s">
        <v>136</v>
      </c>
      <c r="C43" s="4" t="s">
        <v>137</v>
      </c>
      <c r="D43" s="1" t="s">
        <v>14</v>
      </c>
      <c r="E43" s="2">
        <v>238</v>
      </c>
      <c r="F43" s="2">
        <v>118022</v>
      </c>
      <c r="G43" s="2">
        <v>6048</v>
      </c>
      <c r="H43" s="2">
        <f t="shared" si="0"/>
        <v>124308</v>
      </c>
      <c r="I43" s="2">
        <v>151563</v>
      </c>
      <c r="J43" s="2">
        <v>1484424</v>
      </c>
      <c r="K43" s="2">
        <f t="shared" si="1"/>
        <v>8.3741572488722896E-2</v>
      </c>
      <c r="M43" s="2">
        <v>0.473597470015374</v>
      </c>
      <c r="N43" s="2">
        <v>0.38079878945458701</v>
      </c>
      <c r="O43" s="2">
        <v>7.6316722369328103</v>
      </c>
      <c r="P43" s="2">
        <v>20.041219794483901</v>
      </c>
      <c r="Q43" s="2">
        <v>14.7648230602334</v>
      </c>
      <c r="R43" s="2">
        <v>9.4914709906896508</v>
      </c>
      <c r="S43" s="2">
        <v>0.51298371363529705</v>
      </c>
      <c r="T43" s="2">
        <v>344.681427751976</v>
      </c>
      <c r="U43" s="2">
        <v>1048.7</v>
      </c>
      <c r="V43" s="2">
        <v>1253</v>
      </c>
      <c r="W43" s="2">
        <v>100.879113533561</v>
      </c>
      <c r="X43" s="2">
        <v>2094.9288129656702</v>
      </c>
      <c r="Y43" s="2">
        <v>-6.5691625815878298</v>
      </c>
      <c r="Z43" s="2">
        <v>26.823136314456399</v>
      </c>
      <c r="AA43" s="2">
        <v>14.1289125245509</v>
      </c>
      <c r="AB43" s="2">
        <v>0.305151907629789</v>
      </c>
      <c r="AC43" s="2">
        <v>3.0003729226892801</v>
      </c>
      <c r="AD43" s="2">
        <v>2.95777494289195</v>
      </c>
      <c r="AE43" s="2">
        <v>0.36586011715144301</v>
      </c>
      <c r="AF43" s="2">
        <v>0.27383759675330199</v>
      </c>
      <c r="AG43" s="2">
        <v>0.96773408974349695</v>
      </c>
      <c r="AH43" s="2">
        <v>0.87752840789833597</v>
      </c>
      <c r="AI43" s="2">
        <v>-0.20553996231473501</v>
      </c>
      <c r="AJ43" s="2">
        <v>0.88031536918063202</v>
      </c>
      <c r="AK43" s="2">
        <v>1.3083248705105599E-2</v>
      </c>
      <c r="AL43" s="2">
        <v>6.5725256742195999</v>
      </c>
      <c r="AM43" s="2">
        <v>5.54853046263396</v>
      </c>
      <c r="AN43" s="2">
        <v>53.428571428571402</v>
      </c>
      <c r="AO43" s="2">
        <v>0.22448979591836701</v>
      </c>
      <c r="AP43" s="2">
        <v>21.647058823529399</v>
      </c>
      <c r="AQ43" s="2">
        <v>10.4087988136431</v>
      </c>
      <c r="AR43" s="2">
        <v>101.218487394958</v>
      </c>
      <c r="AS43" s="2">
        <v>8.4117647058823497</v>
      </c>
      <c r="AT43" s="2">
        <v>807.50420168067205</v>
      </c>
      <c r="AU43" s="2">
        <v>0.13231865009656099</v>
      </c>
      <c r="AV43" s="2">
        <v>2.1878757774024201E-2</v>
      </c>
      <c r="AW43" s="2">
        <v>0.208512650022289</v>
      </c>
      <c r="AX43" s="2">
        <v>2.7060634399159299E-2</v>
      </c>
      <c r="AY43" s="2">
        <v>299.522300134528</v>
      </c>
      <c r="AZ43" s="2">
        <v>0.12643624987894</v>
      </c>
      <c r="BA43" s="2">
        <v>3.27638065813853</v>
      </c>
      <c r="BB43" s="2">
        <v>92</v>
      </c>
    </row>
    <row r="44" spans="1:54" ht="15.75" customHeight="1" x14ac:dyDescent="0.15">
      <c r="A44" s="1" t="s">
        <v>138</v>
      </c>
      <c r="B44" s="1" t="s">
        <v>139</v>
      </c>
      <c r="C44" s="4" t="s">
        <v>140</v>
      </c>
      <c r="D44" s="1" t="s">
        <v>14</v>
      </c>
      <c r="E44" s="2">
        <v>823</v>
      </c>
      <c r="F44" s="2">
        <v>14015</v>
      </c>
      <c r="G44" s="2">
        <v>9900</v>
      </c>
      <c r="H44" s="2">
        <f t="shared" si="0"/>
        <v>24738</v>
      </c>
      <c r="I44" s="2">
        <v>32254</v>
      </c>
      <c r="J44" s="2">
        <v>1724253</v>
      </c>
      <c r="K44" s="2">
        <f t="shared" si="1"/>
        <v>1.434708247571557E-2</v>
      </c>
      <c r="M44" s="2">
        <v>0.58586692838522303</v>
      </c>
      <c r="N44" s="2">
        <v>0.46335963890447002</v>
      </c>
      <c r="O44" s="2">
        <v>8.6602104686501704</v>
      </c>
      <c r="P44" s="2">
        <v>18.690040611058901</v>
      </c>
      <c r="Q44" s="2">
        <v>16.6433169770932</v>
      </c>
      <c r="R44" s="2">
        <v>10.9498766841961</v>
      </c>
      <c r="S44" s="2">
        <v>0.51135560350452902</v>
      </c>
      <c r="T44" s="2">
        <v>810.403221894578</v>
      </c>
      <c r="U44" s="2">
        <v>800.2</v>
      </c>
      <c r="V44" s="2">
        <v>1019.8</v>
      </c>
      <c r="W44" s="2">
        <v>109.48987718242699</v>
      </c>
      <c r="X44" s="2">
        <v>2977.9952428490201</v>
      </c>
      <c r="Y44" s="2">
        <v>24.872903175354502</v>
      </c>
      <c r="Z44" s="2">
        <v>34.342414892509602</v>
      </c>
      <c r="AA44" s="2">
        <v>11.1844559956662</v>
      </c>
      <c r="AB44" s="2">
        <v>0.50841325368257795</v>
      </c>
      <c r="AC44" s="2">
        <v>2.6350206989165001</v>
      </c>
      <c r="AD44" s="2">
        <v>2.8571994584350899</v>
      </c>
      <c r="AE44" s="2">
        <v>0.389676491535834</v>
      </c>
      <c r="AF44" s="2">
        <v>0.30287323579227798</v>
      </c>
      <c r="AG44" s="2">
        <v>0.97419754367677203</v>
      </c>
      <c r="AH44" s="2">
        <v>0.89041829336448397</v>
      </c>
      <c r="AI44" s="2">
        <v>-0.112273032977608</v>
      </c>
      <c r="AJ44" s="2">
        <v>0.74132211126895398</v>
      </c>
      <c r="AK44" s="2">
        <v>8.9207023344755505E-3</v>
      </c>
      <c r="AL44" s="2">
        <v>7.1249476193869299</v>
      </c>
      <c r="AM44" s="2">
        <v>6.2081927065595002</v>
      </c>
      <c r="AN44" s="2">
        <v>154.95382746051001</v>
      </c>
      <c r="AO44" s="2">
        <v>0.188279255723585</v>
      </c>
      <c r="AP44" s="2">
        <v>67.5200486026731</v>
      </c>
      <c r="AQ44" s="2">
        <v>11.492621753977801</v>
      </c>
      <c r="AR44" s="2">
        <v>105.721749696233</v>
      </c>
      <c r="AS44" s="2">
        <v>12.287970838396101</v>
      </c>
      <c r="AT44" s="2">
        <v>1278.2904009720501</v>
      </c>
      <c r="AU44" s="2">
        <v>0.20117145305061199</v>
      </c>
      <c r="AV44" s="2">
        <v>1.8593736339211402E-2</v>
      </c>
      <c r="AW44" s="2">
        <v>0.5597238742631</v>
      </c>
      <c r="AX44" s="2">
        <v>1.0045554885505801E-2</v>
      </c>
      <c r="AY44" s="2">
        <v>267.49062823649399</v>
      </c>
      <c r="AZ44" s="2">
        <v>0.101596232238541</v>
      </c>
      <c r="BA44" s="2">
        <v>1.31289005975527</v>
      </c>
      <c r="BB44" s="2">
        <v>611</v>
      </c>
    </row>
    <row r="45" spans="1:54" ht="15.75" customHeight="1" x14ac:dyDescent="0.15">
      <c r="A45" s="1" t="s">
        <v>141</v>
      </c>
      <c r="B45" s="1" t="s">
        <v>142</v>
      </c>
      <c r="C45" s="4" t="s">
        <v>143</v>
      </c>
      <c r="D45" s="1" t="s">
        <v>14</v>
      </c>
      <c r="E45" s="2">
        <v>21107</v>
      </c>
      <c r="F45" s="2">
        <v>53998</v>
      </c>
      <c r="G45" s="2">
        <v>26321</v>
      </c>
      <c r="H45" s="2">
        <f t="shared" si="0"/>
        <v>101426</v>
      </c>
      <c r="I45" s="2">
        <v>174869</v>
      </c>
      <c r="J45" s="2">
        <v>1755886</v>
      </c>
      <c r="K45" s="2">
        <f t="shared" si="1"/>
        <v>5.7763431111131358E-2</v>
      </c>
      <c r="M45" s="2">
        <v>0.66775862874951797</v>
      </c>
      <c r="N45" s="2">
        <v>0.50421566966699005</v>
      </c>
      <c r="O45" s="2">
        <v>27.794162891140701</v>
      </c>
      <c r="P45" s="2">
        <v>55.123560339759699</v>
      </c>
      <c r="Q45" s="2">
        <v>67.230945255886397</v>
      </c>
      <c r="R45" s="2">
        <v>36.8092330642692</v>
      </c>
      <c r="S45" s="2">
        <v>0.30816613177512098</v>
      </c>
      <c r="T45" s="2">
        <v>11920.784019681299</v>
      </c>
      <c r="U45" s="2">
        <v>631</v>
      </c>
      <c r="V45" s="2">
        <v>1748</v>
      </c>
      <c r="W45" s="2">
        <v>1749.9108991820301</v>
      </c>
      <c r="X45" s="2">
        <v>2682496.5494977799</v>
      </c>
      <c r="Y45" s="2">
        <v>29852.202294083199</v>
      </c>
      <c r="Z45" s="2">
        <v>1004.52489376372</v>
      </c>
      <c r="AA45" s="2">
        <v>63.908669043621501</v>
      </c>
      <c r="AB45" s="2">
        <v>0.88039457178427805</v>
      </c>
      <c r="AC45" s="2">
        <v>5.1599596638554699</v>
      </c>
      <c r="AD45" s="2">
        <v>3.8643901166813599</v>
      </c>
      <c r="AE45" s="2">
        <v>0.31804454834039297</v>
      </c>
      <c r="AF45" s="2">
        <v>0.23353565879558599</v>
      </c>
      <c r="AG45" s="2">
        <v>0.99174810114257095</v>
      </c>
      <c r="AH45" s="2">
        <v>0.94650566149142801</v>
      </c>
      <c r="AI45" s="2">
        <v>-0.19907680025402699</v>
      </c>
      <c r="AJ45" s="2">
        <v>0.94033899527290998</v>
      </c>
      <c r="AK45" s="2">
        <v>2.1605828149132999E-3</v>
      </c>
      <c r="AL45" s="2">
        <v>9.9605000984261505</v>
      </c>
      <c r="AM45" s="2">
        <v>8.0249123139941094</v>
      </c>
      <c r="AN45" s="2">
        <v>3914.6656085658801</v>
      </c>
      <c r="AO45" s="2">
        <v>0.18546764621054099</v>
      </c>
      <c r="AP45" s="2">
        <v>621.01999336712902</v>
      </c>
      <c r="AQ45" s="2">
        <v>258.70241645910801</v>
      </c>
      <c r="AR45" s="2">
        <v>1759.29847917752</v>
      </c>
      <c r="AS45" s="2">
        <v>12.1978964324632</v>
      </c>
      <c r="AT45" s="2">
        <v>21902.747571895601</v>
      </c>
      <c r="AU45" s="2">
        <v>1.2167423350186401E-2</v>
      </c>
      <c r="AV45" s="2">
        <v>1.12773299184336E-3</v>
      </c>
      <c r="AW45" s="2">
        <v>0.47318350253763303</v>
      </c>
      <c r="AX45" s="2">
        <v>6.1923813770429104E-4</v>
      </c>
      <c r="AY45" s="2">
        <v>9711.0083890834103</v>
      </c>
      <c r="AZ45" s="2">
        <v>0.257667484887317</v>
      </c>
      <c r="BA45" s="2">
        <v>1.98394099893596</v>
      </c>
      <c r="BB45" s="2">
        <v>301</v>
      </c>
    </row>
    <row r="46" spans="1:54" ht="15.75" customHeight="1" x14ac:dyDescent="0.15">
      <c r="A46" s="1" t="s">
        <v>144</v>
      </c>
      <c r="B46" s="1" t="s">
        <v>145</v>
      </c>
      <c r="C46" s="4" t="s">
        <v>146</v>
      </c>
      <c r="D46" s="1" t="s">
        <v>14</v>
      </c>
      <c r="E46" s="2">
        <v>1871</v>
      </c>
      <c r="F46" s="2">
        <v>31178</v>
      </c>
      <c r="G46" s="2">
        <v>5665</v>
      </c>
      <c r="H46" s="2">
        <f t="shared" si="0"/>
        <v>38714</v>
      </c>
      <c r="I46" s="2">
        <v>51796</v>
      </c>
      <c r="J46" s="2">
        <v>1442141</v>
      </c>
      <c r="K46" s="2">
        <f t="shared" si="1"/>
        <v>2.6844809210749849E-2</v>
      </c>
      <c r="M46" s="2">
        <v>0.927434005434427</v>
      </c>
      <c r="N46" s="2">
        <v>0.62801378648981299</v>
      </c>
      <c r="O46" s="2">
        <v>11.0260904497173</v>
      </c>
      <c r="P46" s="2">
        <v>17.557083438161399</v>
      </c>
      <c r="Q46" s="2">
        <v>21.189620100417098</v>
      </c>
      <c r="R46" s="2">
        <v>16.2830362168005</v>
      </c>
      <c r="S46" s="2">
        <v>0.59150563104791398</v>
      </c>
      <c r="T46" s="2">
        <v>1234.3197753946499</v>
      </c>
      <c r="U46" s="2">
        <v>973</v>
      </c>
      <c r="V46" s="2">
        <v>1396</v>
      </c>
      <c r="W46" s="2">
        <v>407.25288608290703</v>
      </c>
      <c r="X46" s="2">
        <v>33999.008899902401</v>
      </c>
      <c r="Y46" s="2">
        <v>-244.58698079274899</v>
      </c>
      <c r="Z46" s="2">
        <v>116.44293668790699</v>
      </c>
      <c r="AA46" s="2">
        <v>37.838555391415099</v>
      </c>
      <c r="AB46" s="2">
        <v>0.51019952785300804</v>
      </c>
      <c r="AC46" s="2">
        <v>4.8045906970269501</v>
      </c>
      <c r="AD46" s="2">
        <v>3.7043165758561098</v>
      </c>
      <c r="AE46" s="2">
        <v>0.28454530465440497</v>
      </c>
      <c r="AF46" s="2">
        <v>0.191391875905911</v>
      </c>
      <c r="AG46" s="2">
        <v>0.97024547565168395</v>
      </c>
      <c r="AH46" s="2">
        <v>0.88411850019077098</v>
      </c>
      <c r="AI46" s="2">
        <v>-9.7478316106284699E-2</v>
      </c>
      <c r="AJ46" s="2">
        <v>0.765326137738645</v>
      </c>
      <c r="AK46" s="2">
        <v>2.7014650739214901E-3</v>
      </c>
      <c r="AL46" s="2">
        <v>8.8237797205144108</v>
      </c>
      <c r="AM46" s="2">
        <v>6.7220144437413696</v>
      </c>
      <c r="AN46" s="2">
        <v>458.09673971138398</v>
      </c>
      <c r="AO46" s="2">
        <v>0.24484058776664</v>
      </c>
      <c r="AP46" s="2">
        <v>81.648850881881302</v>
      </c>
      <c r="AQ46" s="2">
        <v>39.151956455974798</v>
      </c>
      <c r="AR46" s="2">
        <v>390.02832709780898</v>
      </c>
      <c r="AS46" s="2">
        <v>7.5911277391769101</v>
      </c>
      <c r="AT46" s="2">
        <v>3223.3848209513599</v>
      </c>
      <c r="AU46" s="2">
        <v>3.1606619941025899E-2</v>
      </c>
      <c r="AV46" s="2">
        <v>5.3460254049764698E-3</v>
      </c>
      <c r="AW46" s="2">
        <v>0.43743094803587501</v>
      </c>
      <c r="AX46" s="2">
        <v>4.4159059668404301E-3</v>
      </c>
      <c r="AY46" s="2">
        <v>1299.5432674327001</v>
      </c>
      <c r="AZ46" s="2">
        <v>0.23216353342857499</v>
      </c>
      <c r="BA46" s="2">
        <v>1.4804221827042501</v>
      </c>
      <c r="BB46" s="2">
        <v>253</v>
      </c>
    </row>
    <row r="47" spans="1:54" ht="15.75" customHeight="1" x14ac:dyDescent="0.15">
      <c r="A47" s="1" t="s">
        <v>147</v>
      </c>
      <c r="B47" s="1" t="s">
        <v>148</v>
      </c>
      <c r="C47" s="4" t="s">
        <v>149</v>
      </c>
      <c r="D47" s="1" t="s">
        <v>14</v>
      </c>
      <c r="E47" s="2">
        <v>5068</v>
      </c>
      <c r="F47" s="2">
        <v>83475</v>
      </c>
      <c r="G47" s="2">
        <v>21537</v>
      </c>
      <c r="H47" s="2">
        <f t="shared" si="0"/>
        <v>110080</v>
      </c>
      <c r="I47" s="2">
        <v>204364</v>
      </c>
      <c r="J47" s="2">
        <v>1215168</v>
      </c>
      <c r="K47" s="2">
        <f t="shared" si="1"/>
        <v>9.0588297256017275E-2</v>
      </c>
      <c r="M47" s="2">
        <v>0.96549270535137699</v>
      </c>
      <c r="N47" s="2">
        <v>0.80715164268598105</v>
      </c>
      <c r="O47" s="2">
        <v>19.533489097856499</v>
      </c>
      <c r="P47" s="2">
        <v>24.200519536644101</v>
      </c>
      <c r="Q47" s="2">
        <v>33.286633954186499</v>
      </c>
      <c r="R47" s="2">
        <v>23.365425078343399</v>
      </c>
      <c r="S47" s="2">
        <v>0.53875475378865201</v>
      </c>
      <c r="T47" s="2">
        <v>2632.0910336048501</v>
      </c>
      <c r="U47" s="2">
        <v>940</v>
      </c>
      <c r="V47" s="2">
        <v>1266.3</v>
      </c>
      <c r="W47" s="2">
        <v>564.81431113155702</v>
      </c>
      <c r="X47" s="2">
        <v>21434.5592748298</v>
      </c>
      <c r="Y47" s="2">
        <v>98.655063666319293</v>
      </c>
      <c r="Z47" s="2">
        <v>83.819330824644595</v>
      </c>
      <c r="AA47" s="2">
        <v>13.894827614205999</v>
      </c>
      <c r="AB47" s="2">
        <v>0.71436110273497899</v>
      </c>
      <c r="AC47" s="2">
        <v>2.8153968467890498</v>
      </c>
      <c r="AD47" s="2">
        <v>3.0125100800757001</v>
      </c>
      <c r="AE47" s="2">
        <v>0.38901204483298402</v>
      </c>
      <c r="AF47" s="2">
        <v>0.30406159387429499</v>
      </c>
      <c r="AG47" s="2">
        <v>0.99162350348045303</v>
      </c>
      <c r="AH47" s="2">
        <v>0.93706949454761501</v>
      </c>
      <c r="AI47" s="2">
        <v>-0.14824203385979801</v>
      </c>
      <c r="AJ47" s="2">
        <v>0.83660107438980602</v>
      </c>
      <c r="AK47" s="2">
        <v>5.4108634482219701E-3</v>
      </c>
      <c r="AL47" s="2">
        <v>8.0336549808255704</v>
      </c>
      <c r="AM47" s="2">
        <v>7.2219856385721704</v>
      </c>
      <c r="AN47" s="2">
        <v>761.31728492501998</v>
      </c>
      <c r="AO47" s="2">
        <v>0.15022045874605799</v>
      </c>
      <c r="AP47" s="2">
        <v>281.00552486187797</v>
      </c>
      <c r="AQ47" s="2">
        <v>26.455858882730801</v>
      </c>
      <c r="AR47" s="2">
        <v>574.30031570639301</v>
      </c>
      <c r="AS47" s="2">
        <v>17.9964483030781</v>
      </c>
      <c r="AT47" s="2">
        <v>9901.4463299131803</v>
      </c>
      <c r="AU47" s="2">
        <v>3.8314942403936403E-2</v>
      </c>
      <c r="AV47" s="2">
        <v>2.4109738571109502E-3</v>
      </c>
      <c r="AW47" s="2">
        <v>0.37944250869466001</v>
      </c>
      <c r="AX47" s="2">
        <v>2.4677129466853E-3</v>
      </c>
      <c r="AY47" s="2">
        <v>1115.3759124664</v>
      </c>
      <c r="AZ47" s="2">
        <v>6.0128041942141303E-2</v>
      </c>
      <c r="BA47" s="2">
        <v>1.4625135507198801</v>
      </c>
      <c r="BB47" s="2">
        <v>133</v>
      </c>
    </row>
    <row r="48" spans="1:54" ht="15.75" customHeight="1" x14ac:dyDescent="0.15">
      <c r="A48" s="1" t="s">
        <v>150</v>
      </c>
      <c r="B48" s="1" t="s">
        <v>151</v>
      </c>
      <c r="C48" s="4" t="s">
        <v>152</v>
      </c>
      <c r="D48" s="1" t="s">
        <v>14</v>
      </c>
      <c r="E48" s="2">
        <v>13900</v>
      </c>
      <c r="F48" s="2">
        <v>109080</v>
      </c>
      <c r="G48" s="2">
        <v>33741</v>
      </c>
      <c r="H48" s="2">
        <f t="shared" si="0"/>
        <v>156721</v>
      </c>
      <c r="I48" s="2">
        <v>173699</v>
      </c>
      <c r="J48" s="2">
        <v>1658370</v>
      </c>
      <c r="K48" s="2">
        <f t="shared" si="1"/>
        <v>9.4503036113774364E-2</v>
      </c>
      <c r="M48" s="2">
        <v>0.89950935738344395</v>
      </c>
      <c r="N48" s="2">
        <v>0.81344656161556705</v>
      </c>
      <c r="O48" s="2">
        <v>26.0848738038909</v>
      </c>
      <c r="P48" s="2">
        <v>32.067101927487798</v>
      </c>
      <c r="Q48" s="2">
        <v>44.011362169330802</v>
      </c>
      <c r="R48" s="2">
        <v>28.844658247944</v>
      </c>
      <c r="S48" s="2">
        <v>0.48215568519411101</v>
      </c>
      <c r="T48" s="2">
        <v>5787.1118251465596</v>
      </c>
      <c r="U48" s="2">
        <v>1018</v>
      </c>
      <c r="V48" s="2">
        <v>1316</v>
      </c>
      <c r="W48" s="2">
        <v>648.18540845208304</v>
      </c>
      <c r="X48" s="2">
        <v>21554.541873539001</v>
      </c>
      <c r="Y48" s="2">
        <v>-211.06834346074601</v>
      </c>
      <c r="Z48" s="2">
        <v>74.114913662377205</v>
      </c>
      <c r="AA48" s="2">
        <v>13.780533252711299</v>
      </c>
      <c r="AB48" s="2">
        <v>0.68569080262583504</v>
      </c>
      <c r="AC48" s="2">
        <v>2.7720642832188598</v>
      </c>
      <c r="AD48" s="2">
        <v>3.0225927629375899</v>
      </c>
      <c r="AE48" s="2">
        <v>0.39641739420782102</v>
      </c>
      <c r="AF48" s="2">
        <v>0.31371426086535198</v>
      </c>
      <c r="AG48" s="2">
        <v>0.99339404202913895</v>
      </c>
      <c r="AH48" s="2">
        <v>0.94431931981697403</v>
      </c>
      <c r="AI48" s="2">
        <v>-0.125374746047272</v>
      </c>
      <c r="AJ48" s="2">
        <v>0.80008269382091002</v>
      </c>
      <c r="AK48" s="2">
        <v>6.3814148750021898E-3</v>
      </c>
      <c r="AL48" s="2">
        <v>7.9606019794856202</v>
      </c>
      <c r="AM48" s="2">
        <v>7.2408317439401202</v>
      </c>
      <c r="AN48" s="2">
        <v>1910.6564028777</v>
      </c>
      <c r="AO48" s="2">
        <v>0.13745729517105701</v>
      </c>
      <c r="AP48" s="2">
        <v>865.16359712230201</v>
      </c>
      <c r="AQ48" s="2">
        <v>23.865506314373</v>
      </c>
      <c r="AR48" s="2">
        <v>664.62913669064699</v>
      </c>
      <c r="AS48" s="2">
        <v>20.6581294964029</v>
      </c>
      <c r="AT48" s="2">
        <v>13483.4763309353</v>
      </c>
      <c r="AU48" s="2">
        <v>3.6213427888466501E-2</v>
      </c>
      <c r="AV48" s="2">
        <v>2.05391614828106E-3</v>
      </c>
      <c r="AW48" s="2">
        <v>0.86958240662835296</v>
      </c>
      <c r="AX48" s="2">
        <v>7.6345641921204803E-4</v>
      </c>
      <c r="AY48" s="2">
        <v>1595.03718092551</v>
      </c>
      <c r="AZ48" s="2">
        <v>4.5903360603262597E-2</v>
      </c>
      <c r="BA48" s="2">
        <v>0.68025598086999906</v>
      </c>
      <c r="BB48" s="2">
        <v>1489</v>
      </c>
    </row>
    <row r="49" spans="1:54" ht="15.75" customHeight="1" x14ac:dyDescent="0.15">
      <c r="A49" s="1" t="s">
        <v>153</v>
      </c>
      <c r="B49" s="1" t="s">
        <v>154</v>
      </c>
      <c r="C49" s="4" t="s">
        <v>155</v>
      </c>
      <c r="D49" s="1" t="s">
        <v>14</v>
      </c>
      <c r="E49" s="2">
        <v>13270</v>
      </c>
      <c r="F49" s="2">
        <v>44950</v>
      </c>
      <c r="G49" s="2">
        <v>33782</v>
      </c>
      <c r="H49" s="2">
        <f t="shared" si="0"/>
        <v>92002</v>
      </c>
      <c r="I49" s="2">
        <v>123132</v>
      </c>
      <c r="J49" s="2">
        <v>1670906</v>
      </c>
      <c r="K49" s="2">
        <f t="shared" si="1"/>
        <v>5.5061146467844393E-2</v>
      </c>
      <c r="M49" s="2">
        <v>0.874873989902198</v>
      </c>
      <c r="N49" s="2">
        <v>0.52075696956704698</v>
      </c>
      <c r="O49" s="2">
        <v>22.964262857973001</v>
      </c>
      <c r="P49" s="2">
        <v>44.097850244933397</v>
      </c>
      <c r="Q49" s="2">
        <v>47.518417482066901</v>
      </c>
      <c r="R49" s="2">
        <v>38.580062189894498</v>
      </c>
      <c r="S49" s="2">
        <v>0.309304354629097</v>
      </c>
      <c r="T49" s="2">
        <v>8688.9216186356298</v>
      </c>
      <c r="U49" s="2">
        <v>789</v>
      </c>
      <c r="V49" s="2">
        <v>1393</v>
      </c>
      <c r="W49" s="2">
        <v>990.30885339577003</v>
      </c>
      <c r="X49" s="2">
        <v>207726.79368134099</v>
      </c>
      <c r="Y49" s="2">
        <v>1133.77543962447</v>
      </c>
      <c r="Z49" s="2">
        <v>299.99509676178201</v>
      </c>
      <c r="AA49" s="2">
        <v>28.123376189182501</v>
      </c>
      <c r="AB49" s="2">
        <v>0.82849897089559799</v>
      </c>
      <c r="AC49" s="2">
        <v>3.9462870938688002</v>
      </c>
      <c r="AD49" s="2">
        <v>3.4901966443735901</v>
      </c>
      <c r="AE49" s="2">
        <v>0.33094084866726398</v>
      </c>
      <c r="AF49" s="2">
        <v>0.24137373609819199</v>
      </c>
      <c r="AG49" s="2">
        <v>0.99136864129420998</v>
      </c>
      <c r="AH49" s="2">
        <v>0.93718294543585301</v>
      </c>
      <c r="AI49" s="2">
        <v>-0.17967690271228001</v>
      </c>
      <c r="AJ49" s="2">
        <v>0.91359444553882796</v>
      </c>
      <c r="AK49" s="2">
        <v>2.0803743367694902E-3</v>
      </c>
      <c r="AL49" s="2">
        <v>9.3664641854570601</v>
      </c>
      <c r="AM49" s="2">
        <v>7.6720589178755398</v>
      </c>
      <c r="AN49" s="2">
        <v>2526.3134890730998</v>
      </c>
      <c r="AO49" s="2">
        <v>0.190377806260218</v>
      </c>
      <c r="AP49" s="2">
        <v>428.02622456669201</v>
      </c>
      <c r="AQ49" s="2">
        <v>82.197646634248201</v>
      </c>
      <c r="AR49" s="2">
        <v>963.57159005275105</v>
      </c>
      <c r="AS49" s="2">
        <v>11.613865862848501</v>
      </c>
      <c r="AT49" s="2">
        <v>12108.216955538801</v>
      </c>
      <c r="AU49" s="2">
        <v>1.6871968878318599E-2</v>
      </c>
      <c r="AV49" s="2">
        <v>1.7508716493935699E-3</v>
      </c>
      <c r="AW49" s="2">
        <v>0.62732764266402796</v>
      </c>
      <c r="AX49" s="2">
        <v>9.9383001066038102E-4</v>
      </c>
      <c r="AY49" s="2">
        <v>3269.3406920859002</v>
      </c>
      <c r="AZ49" s="2">
        <v>0.13361995476369001</v>
      </c>
      <c r="BA49" s="2">
        <v>1.1626682783687901</v>
      </c>
      <c r="BB49" s="2">
        <v>406</v>
      </c>
    </row>
    <row r="50" spans="1:54" ht="15.75" customHeight="1" x14ac:dyDescent="0.15">
      <c r="A50" s="1" t="s">
        <v>156</v>
      </c>
      <c r="B50" s="1" t="s">
        <v>157</v>
      </c>
      <c r="C50" s="4" t="s">
        <v>158</v>
      </c>
      <c r="D50" s="1" t="s">
        <v>14</v>
      </c>
      <c r="E50" s="2">
        <v>16346</v>
      </c>
      <c r="F50" s="2">
        <v>24534</v>
      </c>
      <c r="G50" s="2">
        <v>33421</v>
      </c>
      <c r="H50" s="2">
        <f t="shared" si="0"/>
        <v>74301</v>
      </c>
      <c r="I50" s="2">
        <v>102651</v>
      </c>
      <c r="J50" s="2">
        <v>1684136</v>
      </c>
      <c r="K50" s="2">
        <f t="shared" si="1"/>
        <v>4.4118170979065827E-2</v>
      </c>
      <c r="M50" s="2">
        <v>0.65475970982196896</v>
      </c>
      <c r="N50" s="2">
        <v>0.56060756902229403</v>
      </c>
      <c r="O50" s="2">
        <v>26.990495841364702</v>
      </c>
      <c r="P50" s="2">
        <v>48.1450792547029</v>
      </c>
      <c r="Q50" s="2">
        <v>50.249378105604499</v>
      </c>
      <c r="R50" s="2">
        <v>31.523458122165</v>
      </c>
      <c r="S50" s="2">
        <v>0.36743606856563799</v>
      </c>
      <c r="T50" s="2">
        <v>8428.2182564814902</v>
      </c>
      <c r="U50" s="2">
        <v>557</v>
      </c>
      <c r="V50" s="2">
        <v>1189</v>
      </c>
      <c r="W50" s="2">
        <v>944.56740818794901</v>
      </c>
      <c r="X50" s="2">
        <v>307081.331634462</v>
      </c>
      <c r="Y50" s="2">
        <v>4161.42273474997</v>
      </c>
      <c r="Z50" s="2">
        <v>355.36056254487198</v>
      </c>
      <c r="AA50" s="2">
        <v>31.308250174737498</v>
      </c>
      <c r="AB50" s="2">
        <v>0.83804529059266197</v>
      </c>
      <c r="AC50" s="2">
        <v>4.0911010003481101</v>
      </c>
      <c r="AD50" s="2">
        <v>3.56026059261163</v>
      </c>
      <c r="AE50" s="2">
        <v>0.33549893608495102</v>
      </c>
      <c r="AF50" s="2">
        <v>0.24924255459432501</v>
      </c>
      <c r="AG50" s="2">
        <v>0.99190020934405798</v>
      </c>
      <c r="AH50" s="2">
        <v>0.94011995323933095</v>
      </c>
      <c r="AI50" s="2">
        <v>-0.17807339155704799</v>
      </c>
      <c r="AJ50" s="2">
        <v>0.91275990232788995</v>
      </c>
      <c r="AK50" s="2">
        <v>2.4214100812085201E-3</v>
      </c>
      <c r="AL50" s="2">
        <v>9.4349487013117095</v>
      </c>
      <c r="AM50" s="2">
        <v>7.8055035932949597</v>
      </c>
      <c r="AN50" s="2">
        <v>2853.9136180105202</v>
      </c>
      <c r="AO50" s="2">
        <v>0.174594005751286</v>
      </c>
      <c r="AP50" s="2">
        <v>561.06705004282401</v>
      </c>
      <c r="AQ50" s="2">
        <v>94.710623708109296</v>
      </c>
      <c r="AR50" s="2">
        <v>938.65826501896504</v>
      </c>
      <c r="AS50" s="2">
        <v>15.033525021412</v>
      </c>
      <c r="AT50" s="2">
        <v>11384.693258289501</v>
      </c>
      <c r="AU50" s="2">
        <v>2.82593394944528E-2</v>
      </c>
      <c r="AV50" s="2">
        <v>1.75253542326648E-3</v>
      </c>
      <c r="AW50" s="2">
        <v>0.68556554000250503</v>
      </c>
      <c r="AX50" s="2">
        <v>8.6191411275470399E-4</v>
      </c>
      <c r="AY50" s="2">
        <v>3693.57000453512</v>
      </c>
      <c r="AZ50" s="2">
        <v>0.13186385844099999</v>
      </c>
      <c r="BA50" s="2">
        <v>1.18497123929007</v>
      </c>
      <c r="BB50" s="2">
        <v>653</v>
      </c>
    </row>
    <row r="51" spans="1:54" ht="15.75" customHeight="1" x14ac:dyDescent="0.15">
      <c r="A51" s="1" t="s">
        <v>159</v>
      </c>
      <c r="B51" s="1" t="s">
        <v>160</v>
      </c>
      <c r="C51" s="4" t="s">
        <v>161</v>
      </c>
      <c r="D51" s="1" t="s">
        <v>14</v>
      </c>
      <c r="E51" s="2">
        <v>12835</v>
      </c>
      <c r="F51" s="2">
        <v>136581</v>
      </c>
      <c r="G51" s="2">
        <v>32208</v>
      </c>
      <c r="H51" s="2">
        <f t="shared" si="0"/>
        <v>181624</v>
      </c>
      <c r="I51" s="2">
        <v>299173</v>
      </c>
      <c r="J51" s="2">
        <v>1784637</v>
      </c>
      <c r="K51" s="2">
        <f t="shared" si="1"/>
        <v>0.10177083631012918</v>
      </c>
      <c r="M51" s="2">
        <v>0.46135642499075102</v>
      </c>
      <c r="N51" s="2">
        <v>0.29932357119583602</v>
      </c>
      <c r="O51" s="2">
        <v>22.584171144734999</v>
      </c>
      <c r="P51" s="2">
        <v>75.450693891257302</v>
      </c>
      <c r="Q51" s="2">
        <v>121.630588258053</v>
      </c>
      <c r="R51" s="2">
        <v>34.809662396741899</v>
      </c>
      <c r="S51" s="2">
        <v>0.29761022263534997</v>
      </c>
      <c r="T51" s="2">
        <v>8837.0465959631802</v>
      </c>
      <c r="U51" s="2">
        <v>662</v>
      </c>
      <c r="V51" s="2">
        <v>1054</v>
      </c>
      <c r="W51" s="2">
        <v>745.13928317350303</v>
      </c>
      <c r="X51" s="2">
        <v>101028.49437268999</v>
      </c>
      <c r="Y51" s="2">
        <v>1103.0776536861599</v>
      </c>
      <c r="Z51" s="2">
        <v>158.979681164326</v>
      </c>
      <c r="AA51" s="2">
        <v>14.1766108881568</v>
      </c>
      <c r="AB51" s="2">
        <v>0.83650398457429298</v>
      </c>
      <c r="AC51" s="2">
        <v>2.8344713950790399</v>
      </c>
      <c r="AD51" s="2">
        <v>3.0213623874576898</v>
      </c>
      <c r="AE51" s="2">
        <v>0.39060906876461599</v>
      </c>
      <c r="AF51" s="2">
        <v>0.30696309089553397</v>
      </c>
      <c r="AG51" s="2">
        <v>0.99523305913128102</v>
      </c>
      <c r="AH51" s="2">
        <v>0.951837282183988</v>
      </c>
      <c r="AI51" s="2">
        <v>-0.20253654690440401</v>
      </c>
      <c r="AJ51" s="2">
        <v>0.91362238533597595</v>
      </c>
      <c r="AK51" s="2">
        <v>4.1066973432134701E-3</v>
      </c>
      <c r="AL51" s="2">
        <v>8.4812538923151006</v>
      </c>
      <c r="AM51" s="2">
        <v>7.4920682000289904</v>
      </c>
      <c r="AN51" s="2">
        <v>2052.0937280872599</v>
      </c>
      <c r="AO51" s="2">
        <v>0.15988264340375999</v>
      </c>
      <c r="AP51" s="2">
        <v>599.30276587456206</v>
      </c>
      <c r="AQ51" s="2">
        <v>42.002869272564197</v>
      </c>
      <c r="AR51" s="2">
        <v>737.78683287884701</v>
      </c>
      <c r="AS51" s="2">
        <v>16.555901830931099</v>
      </c>
      <c r="AT51" s="2">
        <v>11980.816361511501</v>
      </c>
      <c r="AU51" s="2">
        <v>2.87807740888095E-2</v>
      </c>
      <c r="AV51" s="2">
        <v>1.85476858546517E-3</v>
      </c>
      <c r="AW51" s="2">
        <v>0.52327718603355899</v>
      </c>
      <c r="AX51" s="2">
        <v>1.11508659224917E-3</v>
      </c>
      <c r="AY51" s="2">
        <v>2024.7465652854401</v>
      </c>
      <c r="AZ51" s="2">
        <v>4.95503517003918E-2</v>
      </c>
      <c r="BA51" s="2">
        <v>1.4203288930474101</v>
      </c>
      <c r="BB51" s="2">
        <v>299</v>
      </c>
    </row>
    <row r="52" spans="1:54" ht="15.75" customHeight="1" x14ac:dyDescent="0.15">
      <c r="A52" s="1" t="s">
        <v>162</v>
      </c>
      <c r="B52" s="1" t="s">
        <v>163</v>
      </c>
      <c r="C52" s="4" t="s">
        <v>164</v>
      </c>
      <c r="D52" s="1" t="s">
        <v>14</v>
      </c>
      <c r="E52" s="2">
        <v>20623</v>
      </c>
      <c r="F52" s="2">
        <v>139678</v>
      </c>
      <c r="G52" s="2">
        <v>36917</v>
      </c>
      <c r="H52" s="2">
        <f t="shared" si="0"/>
        <v>197218</v>
      </c>
      <c r="I52" s="2">
        <v>261545</v>
      </c>
      <c r="J52" s="2">
        <v>1676375</v>
      </c>
      <c r="K52" s="2">
        <f t="shared" si="1"/>
        <v>0.11764551487584818</v>
      </c>
      <c r="M52" s="2">
        <v>0.72386205118465596</v>
      </c>
      <c r="N52" s="2">
        <v>0.58901140496627402</v>
      </c>
      <c r="O52" s="2">
        <v>25.121713303105</v>
      </c>
      <c r="P52" s="2">
        <v>42.650639853982803</v>
      </c>
      <c r="Q52" s="2">
        <v>49.254441424098999</v>
      </c>
      <c r="R52" s="2">
        <v>30.873179649042001</v>
      </c>
      <c r="S52" s="2">
        <v>0.63062715433899896</v>
      </c>
      <c r="T52" s="2">
        <v>5755.4769636634201</v>
      </c>
      <c r="U52" s="2">
        <v>655</v>
      </c>
      <c r="V52" s="2">
        <v>1407</v>
      </c>
      <c r="W52" s="2">
        <v>1543.09602870349</v>
      </c>
      <c r="X52" s="2">
        <v>781277.46414611896</v>
      </c>
      <c r="Y52" s="2">
        <v>-1364.9956229796801</v>
      </c>
      <c r="Z52" s="2">
        <v>586.22217658434204</v>
      </c>
      <c r="AA52" s="2">
        <v>15.5050654225527</v>
      </c>
      <c r="AB52" s="2">
        <v>0.94852773057898698</v>
      </c>
      <c r="AC52" s="2">
        <v>2.79024152626305</v>
      </c>
      <c r="AD52" s="2">
        <v>3.0471745176193101</v>
      </c>
      <c r="AE52" s="2">
        <v>0.41153501145709798</v>
      </c>
      <c r="AF52" s="2">
        <v>0.33433117783171901</v>
      </c>
      <c r="AG52" s="2">
        <v>0.99618078951740496</v>
      </c>
      <c r="AH52" s="2">
        <v>0.95917664057819396</v>
      </c>
      <c r="AI52" s="2">
        <v>-0.310699636004104</v>
      </c>
      <c r="AJ52" s="2">
        <v>0.98024974465912695</v>
      </c>
      <c r="AK52" s="2">
        <v>3.2007909511851899E-3</v>
      </c>
      <c r="AL52" s="2">
        <v>9.1075784961899107</v>
      </c>
      <c r="AM52" s="2">
        <v>8.4599601637731805</v>
      </c>
      <c r="AN52" s="2">
        <v>2494.3251224361202</v>
      </c>
      <c r="AO52" s="2">
        <v>0.120948703992441</v>
      </c>
      <c r="AP52" s="2">
        <v>588.74096882121898</v>
      </c>
      <c r="AQ52" s="2">
        <v>145.429911451328</v>
      </c>
      <c r="AR52" s="2">
        <v>1533.7917858701501</v>
      </c>
      <c r="AS52" s="2">
        <v>27.0096979101004</v>
      </c>
      <c r="AT52" s="2">
        <v>45112.638122484597</v>
      </c>
      <c r="AU52" s="2">
        <v>3.3922861604184597E-2</v>
      </c>
      <c r="AV52" s="2">
        <v>1.5738662164128401E-3</v>
      </c>
      <c r="AW52" s="2">
        <v>0.28667528255091201</v>
      </c>
      <c r="AX52" s="2">
        <v>1.3884893995579301E-3</v>
      </c>
      <c r="AY52" s="2">
        <v>2266.6658190511698</v>
      </c>
      <c r="AZ52" s="2">
        <v>0.103140688217189</v>
      </c>
      <c r="BA52" s="2">
        <v>2.2221535371818799</v>
      </c>
      <c r="BB52" s="2">
        <v>142</v>
      </c>
    </row>
    <row r="53" spans="1:54" ht="15.75" customHeight="1" x14ac:dyDescent="0.15">
      <c r="A53" s="1" t="s">
        <v>165</v>
      </c>
      <c r="B53" s="1" t="s">
        <v>166</v>
      </c>
      <c r="C53" s="4" t="s">
        <v>167</v>
      </c>
      <c r="D53" s="1" t="s">
        <v>14</v>
      </c>
      <c r="E53" s="2">
        <v>8120</v>
      </c>
      <c r="F53" s="2">
        <v>41119</v>
      </c>
      <c r="G53" s="2">
        <v>18859</v>
      </c>
      <c r="H53" s="2">
        <f t="shared" si="0"/>
        <v>68098</v>
      </c>
      <c r="I53" s="2">
        <v>87052</v>
      </c>
      <c r="J53" s="2">
        <v>1565170</v>
      </c>
      <c r="K53" s="2">
        <f t="shared" si="1"/>
        <v>4.3508372892401462E-2</v>
      </c>
      <c r="M53" s="2">
        <v>0.86541743409410599</v>
      </c>
      <c r="N53" s="2">
        <v>0.74188050775039904</v>
      </c>
      <c r="O53" s="2">
        <v>20.228107809045099</v>
      </c>
      <c r="P53" s="2">
        <v>27.265991757058998</v>
      </c>
      <c r="Q53" s="2">
        <v>32.202484376209199</v>
      </c>
      <c r="R53" s="2">
        <v>23.596464624425</v>
      </c>
      <c r="S53" s="2">
        <v>0.63445434600445105</v>
      </c>
      <c r="T53" s="2">
        <v>3065.3965362163799</v>
      </c>
      <c r="U53" s="2">
        <v>760.9</v>
      </c>
      <c r="V53" s="2">
        <v>1574</v>
      </c>
      <c r="W53" s="2">
        <v>1510.9758452521901</v>
      </c>
      <c r="X53" s="2">
        <v>601911.90279280697</v>
      </c>
      <c r="Y53" s="2">
        <v>-4097.0675652538503</v>
      </c>
      <c r="Z53" s="2">
        <v>581.36489117217695</v>
      </c>
      <c r="AA53" s="2">
        <v>20.005671328695101</v>
      </c>
      <c r="AB53" s="2">
        <v>0.93331179225233996</v>
      </c>
      <c r="AC53" s="2">
        <v>3.2723507510835099</v>
      </c>
      <c r="AD53" s="2">
        <v>3.2360184443204898</v>
      </c>
      <c r="AE53" s="2">
        <v>0.37295666093164498</v>
      </c>
      <c r="AF53" s="2">
        <v>0.28900370266037601</v>
      </c>
      <c r="AG53" s="2">
        <v>0.99421431846837105</v>
      </c>
      <c r="AH53" s="2">
        <v>0.948776111504398</v>
      </c>
      <c r="AI53" s="2">
        <v>-0.27841394140561398</v>
      </c>
      <c r="AJ53" s="2">
        <v>0.97187668514572501</v>
      </c>
      <c r="AK53" s="2">
        <v>2.4264507964725699E-3</v>
      </c>
      <c r="AL53" s="2">
        <v>9.2856147125771304</v>
      </c>
      <c r="AM53" s="2">
        <v>8.2051330674495002</v>
      </c>
      <c r="AN53" s="2">
        <v>1183.31674876847</v>
      </c>
      <c r="AO53" s="2">
        <v>0.14572866364143799</v>
      </c>
      <c r="AP53" s="2">
        <v>207.155172413793</v>
      </c>
      <c r="AQ53" s="2">
        <v>155.95562079885499</v>
      </c>
      <c r="AR53" s="2">
        <v>1488.69113300493</v>
      </c>
      <c r="AS53" s="2">
        <v>19.1790640394089</v>
      </c>
      <c r="AT53" s="2">
        <v>33998.023645320201</v>
      </c>
      <c r="AU53" s="2">
        <v>2.0452180270236799E-2</v>
      </c>
      <c r="AV53" s="2">
        <v>1.40508388684811E-3</v>
      </c>
      <c r="AW53" s="2">
        <v>0.17910000839145099</v>
      </c>
      <c r="AX53" s="2">
        <v>2.8857587563823699E-3</v>
      </c>
      <c r="AY53" s="2">
        <v>2281.7286838581099</v>
      </c>
      <c r="AZ53" s="2">
        <v>0.181144675209748</v>
      </c>
      <c r="BA53" s="2">
        <v>3.5143387994000101</v>
      </c>
      <c r="BB53" s="2">
        <v>460</v>
      </c>
    </row>
    <row r="54" spans="1:54" ht="15.75" customHeight="1" x14ac:dyDescent="0.15">
      <c r="A54" s="1" t="s">
        <v>168</v>
      </c>
      <c r="B54" s="1" t="s">
        <v>169</v>
      </c>
      <c r="C54" s="4" t="s">
        <v>170</v>
      </c>
      <c r="D54" s="1" t="s">
        <v>14</v>
      </c>
      <c r="E54" s="2">
        <v>510</v>
      </c>
      <c r="F54" s="2">
        <v>52063</v>
      </c>
      <c r="G54" s="2">
        <v>27233</v>
      </c>
      <c r="H54" s="2">
        <f t="shared" si="0"/>
        <v>79806</v>
      </c>
      <c r="I54" s="2">
        <v>99901</v>
      </c>
      <c r="J54" s="2">
        <v>1319750</v>
      </c>
      <c r="K54" s="2">
        <f t="shared" si="1"/>
        <v>6.0470543663572643E-2</v>
      </c>
      <c r="M54" s="2">
        <v>0.61336277139027195</v>
      </c>
      <c r="N54" s="2">
        <v>0.45829411570048401</v>
      </c>
      <c r="O54" s="2">
        <v>13.3628122309497</v>
      </c>
      <c r="P54" s="2">
        <v>29.157721587861101</v>
      </c>
      <c r="Q54" s="2">
        <v>25.298221281347001</v>
      </c>
      <c r="R54" s="2">
        <v>17.8842609205565</v>
      </c>
      <c r="S54" s="2">
        <v>0.46144821963880001</v>
      </c>
      <c r="T54" s="2">
        <v>635.31505785985905</v>
      </c>
      <c r="U54" s="2">
        <v>210.7</v>
      </c>
      <c r="V54" s="2">
        <v>2373</v>
      </c>
      <c r="W54" s="2">
        <v>6409.9976581491401</v>
      </c>
      <c r="X54" s="2">
        <v>59727310.944080599</v>
      </c>
      <c r="Y54" s="2">
        <v>-411811.96682921401</v>
      </c>
      <c r="Z54" s="2">
        <v>4218.7725493779399</v>
      </c>
      <c r="AA54" s="2">
        <v>30.707653445267301</v>
      </c>
      <c r="AB54" s="2">
        <v>0.985525540231734</v>
      </c>
      <c r="AC54" s="2">
        <v>3.90233193717921</v>
      </c>
      <c r="AD54" s="2">
        <v>3.4337862846904899</v>
      </c>
      <c r="AE54" s="2">
        <v>0.34170072962357201</v>
      </c>
      <c r="AF54" s="2">
        <v>0.25431844290236899</v>
      </c>
      <c r="AG54" s="2">
        <v>0.99687150180939399</v>
      </c>
      <c r="AH54" s="2">
        <v>0.96302886797859399</v>
      </c>
      <c r="AI54" s="2">
        <v>-0.35893517360187199</v>
      </c>
      <c r="AJ54" s="2">
        <v>0.98143296079916198</v>
      </c>
      <c r="AK54" s="2">
        <v>7.5836901102599996E-3</v>
      </c>
      <c r="AL54" s="2">
        <v>7.5697506325206696</v>
      </c>
      <c r="AM54" s="2">
        <v>6.6684755667176603</v>
      </c>
      <c r="AN54" s="2">
        <v>115.11764705882401</v>
      </c>
      <c r="AO54" s="2">
        <v>0.22572087658592899</v>
      </c>
      <c r="AP54" s="2">
        <v>26.403921568627499</v>
      </c>
      <c r="AQ54" s="2">
        <v>1075.8718992695101</v>
      </c>
      <c r="AR54" s="2">
        <v>6273.1509803921599</v>
      </c>
      <c r="AS54" s="2">
        <v>9.2196078431372506</v>
      </c>
      <c r="AT54" s="2">
        <v>65546.547058823504</v>
      </c>
      <c r="AU54" s="2">
        <v>0.27931422495080699</v>
      </c>
      <c r="AV54" s="2">
        <v>2.7055452301839599E-2</v>
      </c>
      <c r="AW54" s="2">
        <v>8.5783595749511499E-3</v>
      </c>
      <c r="AX54" s="2">
        <v>1.8680841071636301E-2</v>
      </c>
      <c r="AY54" s="2">
        <v>9246.8258502597091</v>
      </c>
      <c r="AZ54" s="2">
        <v>2.0752226365789102</v>
      </c>
      <c r="BA54" s="2">
        <v>195.89034838394801</v>
      </c>
      <c r="BB54" s="2">
        <v>560</v>
      </c>
    </row>
    <row r="55" spans="1:54" ht="15.75" customHeight="1" x14ac:dyDescent="0.15">
      <c r="A55" s="1" t="s">
        <v>171</v>
      </c>
      <c r="B55" s="1" t="s">
        <v>172</v>
      </c>
      <c r="C55" s="4" t="s">
        <v>173</v>
      </c>
      <c r="D55" s="1" t="s">
        <v>14</v>
      </c>
      <c r="E55" s="2">
        <v>2123</v>
      </c>
      <c r="F55" s="2">
        <v>38919</v>
      </c>
      <c r="G55" s="2">
        <v>26028</v>
      </c>
      <c r="H55" s="2">
        <f t="shared" si="0"/>
        <v>67070</v>
      </c>
      <c r="I55" s="2">
        <v>86724</v>
      </c>
      <c r="J55" s="2">
        <v>1276434</v>
      </c>
      <c r="K55" s="2">
        <f t="shared" si="1"/>
        <v>5.2544824095879614E-2</v>
      </c>
      <c r="M55" s="2">
        <v>0.41896706873364398</v>
      </c>
      <c r="N55" s="2">
        <v>0.34979609995975802</v>
      </c>
      <c r="O55" s="2">
        <v>15.7454042858057</v>
      </c>
      <c r="P55" s="2">
        <v>45.013092734930801</v>
      </c>
      <c r="Q55" s="2">
        <v>33.015148038438397</v>
      </c>
      <c r="R55" s="2">
        <v>18.859003517789699</v>
      </c>
      <c r="S55" s="2">
        <v>0.306040569349048</v>
      </c>
      <c r="T55" s="2">
        <v>2517.0036137451698</v>
      </c>
      <c r="U55" s="2">
        <v>814</v>
      </c>
      <c r="V55" s="2">
        <v>1190</v>
      </c>
      <c r="W55" s="2">
        <v>499.158593568882</v>
      </c>
      <c r="X55" s="2">
        <v>122246.921278557</v>
      </c>
      <c r="Y55" s="2">
        <v>1899.78689152478</v>
      </c>
      <c r="Z55" s="2">
        <v>129.459996672655</v>
      </c>
      <c r="AA55" s="2">
        <v>27.279795077401101</v>
      </c>
      <c r="AB55" s="2">
        <v>0.64732063276907303</v>
      </c>
      <c r="AC55" s="2">
        <v>3.8223195963888701</v>
      </c>
      <c r="AD55" s="2">
        <v>3.4331407600490902</v>
      </c>
      <c r="AE55" s="2">
        <v>0.33666127359217801</v>
      </c>
      <c r="AF55" s="2">
        <v>0.24691455097411699</v>
      </c>
      <c r="AG55" s="2">
        <v>0.99338412962961298</v>
      </c>
      <c r="AH55" s="2">
        <v>0.94523728279258601</v>
      </c>
      <c r="AI55" s="2">
        <v>-0.165923798761692</v>
      </c>
      <c r="AJ55" s="2">
        <v>0.87876737774880898</v>
      </c>
      <c r="AK55" s="2">
        <v>4.4453189699022603E-3</v>
      </c>
      <c r="AL55" s="2">
        <v>8.3573098452202608</v>
      </c>
      <c r="AM55" s="2">
        <v>6.8744915412668597</v>
      </c>
      <c r="AN55" s="2">
        <v>467.71785209608998</v>
      </c>
      <c r="AO55" s="2">
        <v>0.22030986909848799</v>
      </c>
      <c r="AP55" s="2">
        <v>106.98963730569901</v>
      </c>
      <c r="AQ55" s="2">
        <v>48.145481968676698</v>
      </c>
      <c r="AR55" s="2">
        <v>537.903438530382</v>
      </c>
      <c r="AS55" s="2">
        <v>8.8690532265661801</v>
      </c>
      <c r="AT55" s="2">
        <v>4182.9302873292499</v>
      </c>
      <c r="AU55" s="2">
        <v>2.41092908996903E-2</v>
      </c>
      <c r="AV55" s="2">
        <v>3.6294455417195701E-3</v>
      </c>
      <c r="AW55" s="2">
        <v>0.12927926703356499</v>
      </c>
      <c r="AX55" s="2">
        <v>4.67173010799906E-3</v>
      </c>
      <c r="AY55" s="2">
        <v>4036.2800895328601</v>
      </c>
      <c r="AZ55" s="2">
        <v>7.4172690249592096E-2</v>
      </c>
      <c r="BA55" s="2">
        <v>8.8961051367157804</v>
      </c>
      <c r="BB55" s="2">
        <v>583</v>
      </c>
    </row>
    <row r="56" spans="1:54" ht="15.75" customHeight="1" x14ac:dyDescent="0.15">
      <c r="A56" s="1" t="s">
        <v>174</v>
      </c>
      <c r="B56" s="1" t="s">
        <v>175</v>
      </c>
      <c r="C56" s="4" t="s">
        <v>176</v>
      </c>
      <c r="D56" s="1" t="s">
        <v>14</v>
      </c>
      <c r="E56" s="2">
        <v>750</v>
      </c>
      <c r="F56" s="2">
        <v>75535</v>
      </c>
      <c r="G56" s="2">
        <v>1128</v>
      </c>
      <c r="H56" s="2">
        <f t="shared" si="0"/>
        <v>77413</v>
      </c>
      <c r="I56" s="2">
        <v>104595</v>
      </c>
      <c r="J56" s="2">
        <v>1627959</v>
      </c>
      <c r="K56" s="2">
        <f t="shared" si="1"/>
        <v>4.7552180368178806E-2</v>
      </c>
      <c r="M56" s="2">
        <v>0.86232437351852098</v>
      </c>
      <c r="N56" s="2">
        <v>0.58209841100122395</v>
      </c>
      <c r="O56" s="2">
        <v>16.073415080849198</v>
      </c>
      <c r="P56" s="2">
        <v>27.6128825935163</v>
      </c>
      <c r="Q56" s="2">
        <v>43.046486500061803</v>
      </c>
      <c r="R56" s="2">
        <v>23.811261683494401</v>
      </c>
      <c r="S56" s="2">
        <v>0.19427850220690401</v>
      </c>
      <c r="T56" s="2">
        <v>1636.6107904057201</v>
      </c>
      <c r="U56" s="2">
        <v>608.70000000000005</v>
      </c>
      <c r="V56" s="2">
        <v>824</v>
      </c>
      <c r="W56" s="2">
        <v>905.22850482093804</v>
      </c>
      <c r="X56" s="2">
        <v>291635.54713881999</v>
      </c>
      <c r="Y56" s="2">
        <v>5034.7721029202403</v>
      </c>
      <c r="Z56" s="2">
        <v>141.228916565975</v>
      </c>
      <c r="AA56" s="2">
        <v>28.2118588044912</v>
      </c>
      <c r="AB56" s="2">
        <v>0.66411286814375303</v>
      </c>
      <c r="AC56" s="2">
        <v>2.92718937391232</v>
      </c>
      <c r="AD56" s="2">
        <v>2.89664875698127</v>
      </c>
      <c r="AE56" s="2">
        <v>0.44837166231708198</v>
      </c>
      <c r="AF56" s="2">
        <v>0.38326975923093898</v>
      </c>
      <c r="AG56" s="2">
        <v>0.99388371111497198</v>
      </c>
      <c r="AH56" s="2">
        <v>0.96026030562182096</v>
      </c>
      <c r="AI56" s="2">
        <v>-0.31602270350360101</v>
      </c>
      <c r="AJ56" s="2">
        <v>0.95510463256012901</v>
      </c>
      <c r="AK56" s="2">
        <v>1.5515202087239501E-2</v>
      </c>
      <c r="AL56" s="2">
        <v>6.5580649175835504</v>
      </c>
      <c r="AM56" s="2">
        <v>5.9927996743914997</v>
      </c>
      <c r="AN56" s="2">
        <v>171.73333333333301</v>
      </c>
      <c r="AO56" s="2">
        <v>0.228977777777778</v>
      </c>
      <c r="AP56" s="2">
        <v>65.162666666666695</v>
      </c>
      <c r="AQ56" s="2">
        <v>40.700488888888898</v>
      </c>
      <c r="AR56" s="2">
        <v>888.28666666666697</v>
      </c>
      <c r="AS56" s="2">
        <v>8.4053333333333295</v>
      </c>
      <c r="AT56" s="2">
        <v>7249.61466666667</v>
      </c>
      <c r="AU56" s="2">
        <v>1.1622078093858901E-2</v>
      </c>
      <c r="AV56" s="2">
        <v>2.6602191483257702E-3</v>
      </c>
      <c r="AW56" s="2">
        <v>3.7461040649303598E-2</v>
      </c>
      <c r="AX56" s="2">
        <v>1.31239355613973E-2</v>
      </c>
      <c r="AY56" s="2">
        <v>2199.2898345602998</v>
      </c>
      <c r="AZ56" s="2">
        <v>6.6503391701811895E-2</v>
      </c>
      <c r="BA56" s="2">
        <v>26.382531649702301</v>
      </c>
      <c r="BB56" s="2">
        <v>1759</v>
      </c>
    </row>
    <row r="57" spans="1:54" ht="15.75" customHeight="1" x14ac:dyDescent="0.15">
      <c r="A57" s="1" t="s">
        <v>177</v>
      </c>
      <c r="B57" s="1" t="s">
        <v>178</v>
      </c>
      <c r="C57" s="4" t="s">
        <v>179</v>
      </c>
      <c r="D57" s="1" t="s">
        <v>14</v>
      </c>
      <c r="E57" s="2">
        <v>5323</v>
      </c>
      <c r="F57" s="2">
        <v>97074</v>
      </c>
      <c r="G57" s="2">
        <v>15320</v>
      </c>
      <c r="H57" s="2">
        <f t="shared" si="0"/>
        <v>117717</v>
      </c>
      <c r="I57" s="2">
        <v>175072</v>
      </c>
      <c r="J57" s="2">
        <v>1440860</v>
      </c>
      <c r="K57" s="2">
        <f t="shared" si="1"/>
        <v>8.1699124134197637E-2</v>
      </c>
      <c r="M57" s="2">
        <v>0.80701828059056302</v>
      </c>
      <c r="N57" s="2">
        <v>0.75504561899709199</v>
      </c>
      <c r="O57" s="2">
        <v>23.278520079132001</v>
      </c>
      <c r="P57" s="2">
        <v>30.830614062832701</v>
      </c>
      <c r="Q57" s="2">
        <v>31.890437438204</v>
      </c>
      <c r="R57" s="2">
        <v>24.880869150538501</v>
      </c>
      <c r="S57" s="2">
        <v>0.403502404543573</v>
      </c>
      <c r="T57" s="2">
        <v>3601.6350981160899</v>
      </c>
      <c r="U57" s="2">
        <v>540.20000000000005</v>
      </c>
      <c r="V57" s="2">
        <v>848.8</v>
      </c>
      <c r="W57" s="2">
        <v>460.82550261683701</v>
      </c>
      <c r="X57" s="2">
        <v>16699.181667649202</v>
      </c>
      <c r="Y57" s="2">
        <v>270.49229633065698</v>
      </c>
      <c r="Z57" s="2">
        <v>77.723510499872802</v>
      </c>
      <c r="AA57" s="2">
        <v>10.2206302516466</v>
      </c>
      <c r="AB57" s="2">
        <v>0.76694107649278098</v>
      </c>
      <c r="AC57" s="2">
        <v>2.46128925967523</v>
      </c>
      <c r="AD57" s="2">
        <v>2.8265029845969099</v>
      </c>
      <c r="AE57" s="2">
        <v>0.411205888340966</v>
      </c>
      <c r="AF57" s="2">
        <v>0.32920715632047398</v>
      </c>
      <c r="AG57" s="2">
        <v>0.99563412075099</v>
      </c>
      <c r="AH57" s="2">
        <v>0.95271182882862804</v>
      </c>
      <c r="AI57" s="2">
        <v>-0.168331719224078</v>
      </c>
      <c r="AJ57" s="2">
        <v>0.86233261723891297</v>
      </c>
      <c r="AK57" s="2">
        <v>6.2579991944082302E-3</v>
      </c>
      <c r="AL57" s="2">
        <v>7.7388530543639797</v>
      </c>
      <c r="AM57" s="2">
        <v>7.08142234738804</v>
      </c>
      <c r="AN57" s="2">
        <v>798.48187112530502</v>
      </c>
      <c r="AO57" s="2">
        <v>0.150005987436653</v>
      </c>
      <c r="AP57" s="2">
        <v>319.76122487319202</v>
      </c>
      <c r="AQ57" s="2">
        <v>23.6596684537686</v>
      </c>
      <c r="AR57" s="2">
        <v>455.75746759346202</v>
      </c>
      <c r="AS57" s="2">
        <v>18.0084538793913</v>
      </c>
      <c r="AT57" s="2">
        <v>7929.4730415179401</v>
      </c>
      <c r="AU57" s="2">
        <v>4.9736897538988301E-2</v>
      </c>
      <c r="AV57" s="2">
        <v>2.99975436690353E-3</v>
      </c>
      <c r="AW57" s="2">
        <v>0.39404631876426699</v>
      </c>
      <c r="AX57" s="2">
        <v>2.31943235229079E-3</v>
      </c>
      <c r="AY57" s="2">
        <v>1259.9957038497701</v>
      </c>
      <c r="AZ57" s="2">
        <v>4.1109598803308903E-2</v>
      </c>
      <c r="BA57" s="2">
        <v>2.0924443439023799</v>
      </c>
      <c r="BB57" s="2">
        <v>17</v>
      </c>
    </row>
    <row r="58" spans="1:54" ht="15.75" customHeight="1" x14ac:dyDescent="0.15">
      <c r="A58" s="1" t="s">
        <v>180</v>
      </c>
      <c r="B58" s="1" t="s">
        <v>181</v>
      </c>
      <c r="C58" s="4" t="s">
        <v>182</v>
      </c>
      <c r="D58" s="1" t="s">
        <v>14</v>
      </c>
      <c r="E58" s="2">
        <v>25109</v>
      </c>
      <c r="F58" s="2">
        <v>63392</v>
      </c>
      <c r="G58" s="2">
        <v>36744</v>
      </c>
      <c r="H58" s="2">
        <f t="shared" si="0"/>
        <v>125245</v>
      </c>
      <c r="I58" s="2">
        <v>155517</v>
      </c>
      <c r="J58" s="2">
        <v>1361379</v>
      </c>
      <c r="K58" s="2">
        <f t="shared" si="1"/>
        <v>9.1998627861895915E-2</v>
      </c>
      <c r="M58" s="2">
        <v>0.87084950413407403</v>
      </c>
      <c r="N58" s="2">
        <v>0.64424490994829098</v>
      </c>
      <c r="O58" s="2">
        <v>26.6912173135612</v>
      </c>
      <c r="P58" s="2">
        <v>41.430233908566699</v>
      </c>
      <c r="Q58" s="2">
        <v>50.249378105604499</v>
      </c>
      <c r="R58" s="2">
        <v>36.079498655434001</v>
      </c>
      <c r="S58" s="2">
        <v>0.61668979541880398</v>
      </c>
      <c r="T58" s="2">
        <v>6704.2522153296004</v>
      </c>
      <c r="U58" s="2">
        <v>1246</v>
      </c>
      <c r="V58" s="2">
        <v>1643</v>
      </c>
      <c r="W58" s="2">
        <v>2070.0374343276299</v>
      </c>
      <c r="X58" s="2">
        <v>99538.529294209598</v>
      </c>
      <c r="Y58" s="2">
        <v>-2377.34502322871</v>
      </c>
      <c r="Z58" s="2">
        <v>112.001938903515</v>
      </c>
      <c r="AA58" s="2">
        <v>24.408242576249201</v>
      </c>
      <c r="AB58" s="2">
        <v>0.63844406157324796</v>
      </c>
      <c r="AC58" s="2">
        <v>3.0897930952758101</v>
      </c>
      <c r="AD58" s="2">
        <v>3.1931596362602699</v>
      </c>
      <c r="AE58" s="2">
        <v>0.428131583855487</v>
      </c>
      <c r="AF58" s="2">
        <v>0.35922325527022397</v>
      </c>
      <c r="AG58" s="2">
        <v>0.99291846182410004</v>
      </c>
      <c r="AH58" s="2">
        <v>0.95198972555221995</v>
      </c>
      <c r="AI58" s="2">
        <v>-0.113802920288901</v>
      </c>
      <c r="AJ58" s="2">
        <v>0.76844599731040997</v>
      </c>
      <c r="AK58" s="2">
        <v>1.01391844624981E-2</v>
      </c>
      <c r="AL58" s="2">
        <v>7.7845886815501597</v>
      </c>
      <c r="AM58" s="2">
        <v>7.4997068380915497</v>
      </c>
      <c r="AN58" s="2">
        <v>2550.3572025966801</v>
      </c>
      <c r="AO58" s="2">
        <v>0.101571436640116</v>
      </c>
      <c r="AP58" s="2">
        <v>1776.00059739536</v>
      </c>
      <c r="AQ58" s="2">
        <v>45.271376405388096</v>
      </c>
      <c r="AR58" s="2">
        <v>2020.6842566410501</v>
      </c>
      <c r="AS58" s="2">
        <v>36.783424270182003</v>
      </c>
      <c r="AT58" s="2">
        <v>82703.808714006896</v>
      </c>
      <c r="AU58" s="2">
        <v>1.6870656720484802E-2</v>
      </c>
      <c r="AV58" s="2">
        <v>6.2496730553212795E-4</v>
      </c>
      <c r="AW58" s="2">
        <v>0.74726454624505001</v>
      </c>
      <c r="AX58" s="2">
        <v>3.6623557264081798E-4</v>
      </c>
      <c r="AY58" s="2">
        <v>3529.10485486687</v>
      </c>
      <c r="AZ58" s="2">
        <v>7.2547656237964303E-2</v>
      </c>
      <c r="BA58" s="2">
        <v>0.91954572465403395</v>
      </c>
      <c r="BB58" s="2">
        <v>52</v>
      </c>
    </row>
    <row r="59" spans="1:54" ht="15.75" customHeight="1" x14ac:dyDescent="0.15">
      <c r="A59" s="1" t="s">
        <v>183</v>
      </c>
      <c r="B59" s="1" t="s">
        <v>184</v>
      </c>
      <c r="C59" s="4" t="s">
        <v>185</v>
      </c>
      <c r="D59" s="1" t="s">
        <v>14</v>
      </c>
      <c r="E59" s="2">
        <v>2146</v>
      </c>
      <c r="F59" s="2">
        <v>14085</v>
      </c>
      <c r="G59" s="2">
        <v>18855</v>
      </c>
      <c r="H59" s="2">
        <f t="shared" si="0"/>
        <v>35086</v>
      </c>
      <c r="I59" s="2">
        <v>50816</v>
      </c>
      <c r="J59" s="2">
        <v>1349702</v>
      </c>
      <c r="K59" s="2">
        <f t="shared" si="1"/>
        <v>2.5995367866388286E-2</v>
      </c>
      <c r="M59" s="2">
        <v>0.78678599284681505</v>
      </c>
      <c r="N59" s="2">
        <v>0.74766302018804298</v>
      </c>
      <c r="O59" s="2">
        <v>16.9772463360041</v>
      </c>
      <c r="P59" s="2">
        <v>22.7070831077538</v>
      </c>
      <c r="Q59" s="2">
        <v>24.738633753706001</v>
      </c>
      <c r="R59" s="2">
        <v>17.865614927589199</v>
      </c>
      <c r="S59" s="2">
        <v>0.43741611770392103</v>
      </c>
      <c r="T59" s="2">
        <v>1807.7145340769</v>
      </c>
      <c r="U59" s="2">
        <v>951</v>
      </c>
      <c r="V59" s="2">
        <v>1393</v>
      </c>
      <c r="W59" s="2">
        <v>388.51277749741803</v>
      </c>
      <c r="X59" s="2">
        <v>39528.041739198801</v>
      </c>
      <c r="Y59" s="2">
        <v>74.827841132918195</v>
      </c>
      <c r="Z59" s="2">
        <v>132.216370608094</v>
      </c>
      <c r="AA59" s="2">
        <v>35.841689973137903</v>
      </c>
      <c r="AB59" s="2">
        <v>0.57313898556729903</v>
      </c>
      <c r="AC59" s="2">
        <v>4.59374877908387</v>
      </c>
      <c r="AD59" s="2">
        <v>3.6615731022764901</v>
      </c>
      <c r="AE59" s="2">
        <v>0.29820778385772201</v>
      </c>
      <c r="AF59" s="2">
        <v>0.206547652224607</v>
      </c>
      <c r="AG59" s="2">
        <v>0.97475067616319</v>
      </c>
      <c r="AH59" s="2">
        <v>0.89407371333628305</v>
      </c>
      <c r="AI59" s="2">
        <v>-0.116292965907681</v>
      </c>
      <c r="AJ59" s="2">
        <v>0.80630997362594503</v>
      </c>
      <c r="AK59" s="2">
        <v>2.6698847596116999E-3</v>
      </c>
      <c r="AL59" s="2">
        <v>8.8316900634690896</v>
      </c>
      <c r="AM59" s="2">
        <v>6.8668414569253002</v>
      </c>
      <c r="AN59" s="2">
        <v>497.13979496738102</v>
      </c>
      <c r="AO59" s="2">
        <v>0.23165880473782899</v>
      </c>
      <c r="AP59" s="2">
        <v>90.260950605778206</v>
      </c>
      <c r="AQ59" s="2">
        <v>42.964731410396197</v>
      </c>
      <c r="AR59" s="2">
        <v>369.73858341099702</v>
      </c>
      <c r="AS59" s="2">
        <v>8.0260950605778199</v>
      </c>
      <c r="AT59" s="2">
        <v>3299.9203168685899</v>
      </c>
      <c r="AU59" s="2">
        <v>3.6158382066118502E-2</v>
      </c>
      <c r="AV59" s="2">
        <v>5.7764390874009697E-3</v>
      </c>
      <c r="AW59" s="2">
        <v>0.436537695028413</v>
      </c>
      <c r="AX59" s="2">
        <v>4.1964565133606304E-3</v>
      </c>
      <c r="AY59" s="2">
        <v>1485.0768773842699</v>
      </c>
      <c r="AZ59" s="2">
        <v>0.197380146458036</v>
      </c>
      <c r="BA59" s="2">
        <v>1.75114278319883</v>
      </c>
      <c r="BB59" s="2">
        <v>266</v>
      </c>
    </row>
    <row r="60" spans="1:54" ht="15.75" customHeight="1" x14ac:dyDescent="0.15">
      <c r="A60" s="1" t="s">
        <v>186</v>
      </c>
      <c r="B60" s="1" t="s">
        <v>187</v>
      </c>
      <c r="C60" s="4" t="s">
        <v>188</v>
      </c>
      <c r="D60" s="1" t="s">
        <v>14</v>
      </c>
      <c r="E60" s="2">
        <v>1233</v>
      </c>
      <c r="F60" s="2">
        <v>88578</v>
      </c>
      <c r="G60" s="2">
        <v>7824</v>
      </c>
      <c r="H60" s="2">
        <f t="shared" si="0"/>
        <v>97635</v>
      </c>
      <c r="I60" s="2">
        <v>139497</v>
      </c>
      <c r="J60" s="2">
        <v>1497495</v>
      </c>
      <c r="K60" s="2">
        <f t="shared" si="1"/>
        <v>6.5198882133162384E-2</v>
      </c>
      <c r="M60" s="2">
        <v>0.86284836861987502</v>
      </c>
      <c r="N60" s="2">
        <v>0.767600399890769</v>
      </c>
      <c r="O60" s="2">
        <v>12.645774767138899</v>
      </c>
      <c r="P60" s="2">
        <v>16.4744244126741</v>
      </c>
      <c r="Q60" s="2">
        <v>18.6010752377383</v>
      </c>
      <c r="R60" s="2">
        <v>14.214930228427299</v>
      </c>
      <c r="S60" s="2">
        <v>0.41067686906741202</v>
      </c>
      <c r="T60" s="2">
        <v>1330.2466828408001</v>
      </c>
      <c r="U60" s="2">
        <v>628</v>
      </c>
      <c r="V60" s="2">
        <v>1069</v>
      </c>
      <c r="W60" s="2">
        <v>221.10633847734599</v>
      </c>
      <c r="X60" s="2">
        <v>222991.385175273</v>
      </c>
      <c r="Y60" s="2">
        <v>4603.6621188597301</v>
      </c>
      <c r="Z60" s="2">
        <v>221.08728726507101</v>
      </c>
      <c r="AA60" s="2">
        <v>31.099772838724199</v>
      </c>
      <c r="AB60" s="2">
        <v>0.75377936010309599</v>
      </c>
      <c r="AC60" s="2">
        <v>3.9973862388046899</v>
      </c>
      <c r="AD60" s="2">
        <v>3.4966245470705299</v>
      </c>
      <c r="AE60" s="2">
        <v>0.33989942749992402</v>
      </c>
      <c r="AF60" s="2">
        <v>0.25397175926948301</v>
      </c>
      <c r="AG60" s="2">
        <v>0.98300942266730296</v>
      </c>
      <c r="AH60" s="2">
        <v>0.917186189557057</v>
      </c>
      <c r="AI60" s="2">
        <v>-0.222974436132787</v>
      </c>
      <c r="AJ60" s="2">
        <v>0.93328924292613402</v>
      </c>
      <c r="AK60" s="2">
        <v>5.1205142883251203E-3</v>
      </c>
      <c r="AL60" s="2">
        <v>8.2516707608729707</v>
      </c>
      <c r="AM60" s="2">
        <v>6.7542402528896099</v>
      </c>
      <c r="AN60" s="2">
        <v>262.16950527169502</v>
      </c>
      <c r="AO60" s="2">
        <v>0.21262733598677599</v>
      </c>
      <c r="AP60" s="2">
        <v>68.708029197080293</v>
      </c>
      <c r="AQ60" s="2">
        <v>57.309994349758497</v>
      </c>
      <c r="AR60" s="2">
        <v>216.99513381995101</v>
      </c>
      <c r="AS60" s="2">
        <v>10.0997566909976</v>
      </c>
      <c r="AT60" s="2">
        <v>1490.9318734793201</v>
      </c>
      <c r="AU60" s="2">
        <v>0.192927980133971</v>
      </c>
      <c r="AV60" s="2">
        <v>1.7123260290998098E-2</v>
      </c>
      <c r="AW60" s="2">
        <v>0.30241723630733203</v>
      </c>
      <c r="AX60" s="2">
        <v>7.6670989851955499E-3</v>
      </c>
      <c r="AY60" s="2">
        <v>1826.7668572139701</v>
      </c>
      <c r="AZ60" s="2">
        <v>0.16542469109772401</v>
      </c>
      <c r="BA60" s="2">
        <v>7.5091981890826904</v>
      </c>
      <c r="BB60" s="2">
        <v>705</v>
      </c>
    </row>
    <row r="61" spans="1:54" ht="15.75" customHeight="1" x14ac:dyDescent="0.15">
      <c r="A61" s="1" t="s">
        <v>189</v>
      </c>
      <c r="B61" s="1" t="s">
        <v>190</v>
      </c>
      <c r="C61" s="4" t="s">
        <v>191</v>
      </c>
      <c r="D61" s="1" t="s">
        <v>14</v>
      </c>
      <c r="E61" s="2">
        <v>60562</v>
      </c>
      <c r="F61" s="2">
        <v>67531</v>
      </c>
      <c r="G61" s="2">
        <v>34307</v>
      </c>
      <c r="H61" s="2">
        <f t="shared" si="0"/>
        <v>162400</v>
      </c>
      <c r="I61" s="2">
        <v>193827</v>
      </c>
      <c r="J61" s="2">
        <v>1676842</v>
      </c>
      <c r="K61" s="2">
        <f t="shared" si="1"/>
        <v>9.6848719199542951E-2</v>
      </c>
      <c r="M61" s="2">
        <v>0.84606117625383304</v>
      </c>
      <c r="N61" s="2">
        <v>0.61100406847104005</v>
      </c>
      <c r="O61" s="2">
        <v>34.387654820856298</v>
      </c>
      <c r="P61" s="2">
        <v>56.280566031101898</v>
      </c>
      <c r="Q61" s="2">
        <v>66.068146636635703</v>
      </c>
      <c r="R61" s="2">
        <v>47.616801896505599</v>
      </c>
      <c r="S61" s="2">
        <v>0.62262869250619801</v>
      </c>
      <c r="T61" s="2">
        <v>11955.551330718499</v>
      </c>
      <c r="U61" s="2">
        <v>1024</v>
      </c>
      <c r="V61" s="2">
        <v>1565</v>
      </c>
      <c r="W61" s="2">
        <v>3133.1429444232899</v>
      </c>
      <c r="X61" s="2">
        <v>675043.01730326901</v>
      </c>
      <c r="Y61" s="2">
        <v>-10730.7727699482</v>
      </c>
      <c r="Z61" s="2">
        <v>311.01404633338001</v>
      </c>
      <c r="AA61" s="2">
        <v>30.848318450861701</v>
      </c>
      <c r="AB61" s="2">
        <v>0.81865273630492297</v>
      </c>
      <c r="AC61" s="2">
        <v>2.88958755044218</v>
      </c>
      <c r="AD61" s="2">
        <v>3.0292916455608898</v>
      </c>
      <c r="AE61" s="2">
        <v>0.52034591614154901</v>
      </c>
      <c r="AF61" s="2">
        <v>0.47448679432452601</v>
      </c>
      <c r="AG61" s="2">
        <v>0.99418137998831901</v>
      </c>
      <c r="AH61" s="2">
        <v>0.96378313758665601</v>
      </c>
      <c r="AI61" s="2">
        <v>-0.25655936374371602</v>
      </c>
      <c r="AJ61" s="2">
        <v>0.94649513172325395</v>
      </c>
      <c r="AK61" s="2">
        <v>1.7352598945788202E-2</v>
      </c>
      <c r="AL61" s="2">
        <v>7.8560000134877601</v>
      </c>
      <c r="AM61" s="2">
        <v>8.3507863416865593</v>
      </c>
      <c r="AN61" s="2">
        <v>4097.6247481919399</v>
      </c>
      <c r="AO61" s="2">
        <v>6.7659997163104502E-2</v>
      </c>
      <c r="AP61" s="2">
        <v>4074.8722961593098</v>
      </c>
      <c r="AQ61" s="2">
        <v>94.063874379311102</v>
      </c>
      <c r="AR61" s="2">
        <v>3090.7630857633499</v>
      </c>
      <c r="AS61" s="2">
        <v>98.425085036821798</v>
      </c>
      <c r="AT61" s="2">
        <v>349088.64096297999</v>
      </c>
      <c r="AU61" s="2">
        <v>2.8441213101278201E-2</v>
      </c>
      <c r="AV61" s="2">
        <v>4.6252685408432301E-4</v>
      </c>
      <c r="AW61" s="2">
        <v>0.75336696590959895</v>
      </c>
      <c r="AX61" s="2">
        <v>2.2417766772651901E-4</v>
      </c>
      <c r="AY61" s="2">
        <v>4609.4975074188696</v>
      </c>
      <c r="AZ61" s="2">
        <v>7.3764594396358796E-2</v>
      </c>
      <c r="BA61" s="2">
        <v>1.0650924559566799</v>
      </c>
      <c r="BB61" s="2">
        <v>465</v>
      </c>
    </row>
    <row r="62" spans="1:54" ht="15.75" customHeight="1" x14ac:dyDescent="0.15">
      <c r="A62" s="1" t="s">
        <v>192</v>
      </c>
      <c r="B62" s="1" t="s">
        <v>193</v>
      </c>
      <c r="C62" s="4" t="s">
        <v>194</v>
      </c>
      <c r="D62" s="1" t="s">
        <v>14</v>
      </c>
      <c r="E62" s="2">
        <v>56568</v>
      </c>
      <c r="F62" s="2">
        <v>141884</v>
      </c>
      <c r="G62" s="2">
        <v>37976</v>
      </c>
      <c r="H62" s="2">
        <f t="shared" si="0"/>
        <v>236428</v>
      </c>
      <c r="I62" s="2">
        <v>298086</v>
      </c>
      <c r="J62" s="2">
        <v>1684214</v>
      </c>
      <c r="K62" s="2">
        <f t="shared" si="1"/>
        <v>0.14037883546865185</v>
      </c>
      <c r="M62" s="2">
        <v>0.82955669421946898</v>
      </c>
      <c r="N62" s="2">
        <v>0.53803041752179004</v>
      </c>
      <c r="O62" s="2">
        <v>30.511623606726801</v>
      </c>
      <c r="P62" s="2">
        <v>56.7098487614616</v>
      </c>
      <c r="Q62" s="2">
        <v>65.192024052026497</v>
      </c>
      <c r="R62" s="2">
        <v>47.044034668244201</v>
      </c>
      <c r="S62" s="2">
        <v>0.69038236399651598</v>
      </c>
      <c r="T62" s="2">
        <v>10309.5329656842</v>
      </c>
      <c r="U62" s="2">
        <v>1151</v>
      </c>
      <c r="V62" s="2">
        <v>1653</v>
      </c>
      <c r="W62" s="2">
        <v>1631.9500712429699</v>
      </c>
      <c r="X62" s="2">
        <v>186009.42976143199</v>
      </c>
      <c r="Y62" s="2">
        <v>-2410.7949000337399</v>
      </c>
      <c r="Z62" s="2">
        <v>217.77384862748099</v>
      </c>
      <c r="AA62" s="2">
        <v>10.6841603702665</v>
      </c>
      <c r="AB62" s="2">
        <v>0.90588193257722704</v>
      </c>
      <c r="AC62" s="2">
        <v>1.7683515366432501</v>
      </c>
      <c r="AD62" s="2">
        <v>2.4641143172862301</v>
      </c>
      <c r="AE62" s="2">
        <v>0.59053378731111195</v>
      </c>
      <c r="AF62" s="2">
        <v>0.55492070079649702</v>
      </c>
      <c r="AG62" s="2">
        <v>0.99683488643539997</v>
      </c>
      <c r="AH62" s="2">
        <v>0.97179163531399704</v>
      </c>
      <c r="AI62" s="2">
        <v>-0.39587198220591202</v>
      </c>
      <c r="AJ62" s="2">
        <v>0.98823166730654399</v>
      </c>
      <c r="AK62" s="2">
        <v>9.26227662065684E-3</v>
      </c>
      <c r="AL62" s="2">
        <v>7.8150490125932404</v>
      </c>
      <c r="AM62" s="2">
        <v>8.9915412152687093</v>
      </c>
      <c r="AN62" s="2">
        <v>3082.0772875123698</v>
      </c>
      <c r="AO62" s="2">
        <v>5.4484466262062901E-2</v>
      </c>
      <c r="AP62" s="2">
        <v>2142.7137250742499</v>
      </c>
      <c r="AQ62" s="2">
        <v>64.113079637617503</v>
      </c>
      <c r="AR62" s="2">
        <v>1594.6062084570799</v>
      </c>
      <c r="AS62" s="2">
        <v>122.87406307453</v>
      </c>
      <c r="AT62" s="2">
        <v>221097.269233489</v>
      </c>
      <c r="AU62" s="2">
        <v>7.4401721449866107E-2</v>
      </c>
      <c r="AV62" s="2">
        <v>8.4086516194250801E-4</v>
      </c>
      <c r="AW62" s="2">
        <v>0.68783844068265199</v>
      </c>
      <c r="AX62" s="2">
        <v>5.43398489401982E-4</v>
      </c>
      <c r="AY62" s="2">
        <v>1517.19270530622</v>
      </c>
      <c r="AZ62" s="2">
        <v>4.6341140428860297E-2</v>
      </c>
      <c r="BA62" s="2">
        <v>0.74578021889600299</v>
      </c>
      <c r="BB62" s="2">
        <v>167</v>
      </c>
    </row>
    <row r="63" spans="1:54" ht="15.75" customHeight="1" x14ac:dyDescent="0.15">
      <c r="A63" s="1" t="s">
        <v>195</v>
      </c>
      <c r="B63" s="1" t="s">
        <v>196</v>
      </c>
      <c r="C63" s="4" t="s">
        <v>197</v>
      </c>
      <c r="D63" s="1" t="s">
        <v>14</v>
      </c>
      <c r="E63" s="2">
        <v>9659</v>
      </c>
      <c r="F63" s="2">
        <v>94499</v>
      </c>
      <c r="G63" s="2">
        <v>15157</v>
      </c>
      <c r="H63" s="2">
        <f t="shared" si="0"/>
        <v>119315</v>
      </c>
      <c r="I63" s="2">
        <v>149067</v>
      </c>
      <c r="J63" s="2">
        <v>1740252</v>
      </c>
      <c r="K63" s="2">
        <f t="shared" si="1"/>
        <v>6.8561909424612072E-2</v>
      </c>
      <c r="M63" s="2">
        <v>0.75640352979383596</v>
      </c>
      <c r="N63" s="2">
        <v>0.68867596113836604</v>
      </c>
      <c r="O63" s="2">
        <v>20.530658320878601</v>
      </c>
      <c r="P63" s="2">
        <v>29.811783014673299</v>
      </c>
      <c r="Q63" s="2">
        <v>32.280024783138003</v>
      </c>
      <c r="R63" s="2">
        <v>22.549737901746798</v>
      </c>
      <c r="S63" s="2">
        <v>0.79057808073480595</v>
      </c>
      <c r="T63" s="2">
        <v>2768.02448203119</v>
      </c>
      <c r="U63" s="2">
        <v>919</v>
      </c>
      <c r="V63" s="2">
        <v>1566</v>
      </c>
      <c r="W63" s="2">
        <v>2095.85060005069</v>
      </c>
      <c r="X63" s="2">
        <v>295610.99748455099</v>
      </c>
      <c r="Y63" s="2">
        <v>-1878.08092721206</v>
      </c>
      <c r="Z63" s="2">
        <v>364.50121344942801</v>
      </c>
      <c r="AA63" s="2">
        <v>37.194862116838202</v>
      </c>
      <c r="AB63" s="2">
        <v>0.814672613077846</v>
      </c>
      <c r="AC63" s="2">
        <v>4.4794351581998004</v>
      </c>
      <c r="AD63" s="2">
        <v>3.6623213611899001</v>
      </c>
      <c r="AE63" s="2">
        <v>0.31226336015600997</v>
      </c>
      <c r="AF63" s="2">
        <v>0.222460641843582</v>
      </c>
      <c r="AG63" s="2">
        <v>0.99204427397994299</v>
      </c>
      <c r="AH63" s="2">
        <v>0.94020944738958001</v>
      </c>
      <c r="AI63" s="2">
        <v>-0.17472628833627099</v>
      </c>
      <c r="AJ63" s="2">
        <v>0.91075741230790697</v>
      </c>
      <c r="AK63" s="2">
        <v>1.7394556466997101E-3</v>
      </c>
      <c r="AL63" s="2">
        <v>9.5977772164733004</v>
      </c>
      <c r="AM63" s="2">
        <v>7.8040357477629296</v>
      </c>
      <c r="AN63" s="2">
        <v>1785.7915933326401</v>
      </c>
      <c r="AO63" s="2">
        <v>0.184883693273904</v>
      </c>
      <c r="AP63" s="2">
        <v>274.20799254581198</v>
      </c>
      <c r="AQ63" s="2">
        <v>101.28789037153599</v>
      </c>
      <c r="AR63" s="2">
        <v>2073.5986126928301</v>
      </c>
      <c r="AS63" s="2">
        <v>12.2518894295476</v>
      </c>
      <c r="AT63" s="2">
        <v>26864.757324774801</v>
      </c>
      <c r="AU63" s="2">
        <v>7.0590678824263703E-3</v>
      </c>
      <c r="AV63" s="2">
        <v>7.7134555801447501E-4</v>
      </c>
      <c r="AW63" s="2">
        <v>0.21054204682090399</v>
      </c>
      <c r="AX63" s="2">
        <v>1.4937023767593899E-3</v>
      </c>
      <c r="AY63" s="2">
        <v>5161.06441812926</v>
      </c>
      <c r="AZ63" s="2">
        <v>0.129087654561791</v>
      </c>
      <c r="BA63" s="2">
        <v>2.78986937146309</v>
      </c>
      <c r="BB63" s="2">
        <v>1694</v>
      </c>
    </row>
    <row r="64" spans="1:54" ht="15.75" customHeight="1" x14ac:dyDescent="0.15">
      <c r="A64" s="1" t="s">
        <v>198</v>
      </c>
      <c r="B64" s="1" t="s">
        <v>199</v>
      </c>
      <c r="C64" s="4" t="s">
        <v>200</v>
      </c>
      <c r="D64" s="1" t="s">
        <v>14</v>
      </c>
      <c r="E64" s="2">
        <v>7593</v>
      </c>
      <c r="F64" s="2">
        <v>18654</v>
      </c>
      <c r="G64" s="2">
        <v>15672</v>
      </c>
      <c r="H64" s="2">
        <f t="shared" si="0"/>
        <v>41919</v>
      </c>
      <c r="I64" s="2">
        <v>47819</v>
      </c>
      <c r="J64" s="2">
        <v>1432027</v>
      </c>
      <c r="K64" s="2">
        <f t="shared" si="1"/>
        <v>2.927249276724531E-2</v>
      </c>
      <c r="M64" s="2">
        <v>0.88950083950554704</v>
      </c>
      <c r="N64" s="2">
        <v>0.72340537042950004</v>
      </c>
      <c r="O64" s="2">
        <v>20.2618317832152</v>
      </c>
      <c r="P64" s="2">
        <v>28.0089595840094</v>
      </c>
      <c r="Q64" s="2">
        <v>31.3049516849971</v>
      </c>
      <c r="R64" s="2">
        <v>24.913993063653301</v>
      </c>
      <c r="S64" s="2">
        <v>0.52806674334257397</v>
      </c>
      <c r="T64" s="2">
        <v>3522.6888703802301</v>
      </c>
      <c r="U64" s="2">
        <v>610</v>
      </c>
      <c r="V64" s="2">
        <v>1101</v>
      </c>
      <c r="W64" s="2">
        <v>855.53330678253997</v>
      </c>
      <c r="X64" s="2">
        <v>76855.676003777495</v>
      </c>
      <c r="Y64" s="2">
        <v>-564.22307148849802</v>
      </c>
      <c r="Z64" s="2">
        <v>174.41065106208299</v>
      </c>
      <c r="AA64" s="2">
        <v>18.9588394748992</v>
      </c>
      <c r="AB64" s="2">
        <v>0.80325344447117197</v>
      </c>
      <c r="AC64" s="2">
        <v>3.1576001566386198</v>
      </c>
      <c r="AD64" s="2">
        <v>3.2060194858470901</v>
      </c>
      <c r="AE64" s="2">
        <v>0.37945067422373302</v>
      </c>
      <c r="AF64" s="2">
        <v>0.29552748433398901</v>
      </c>
      <c r="AG64" s="2">
        <v>0.99142600858760499</v>
      </c>
      <c r="AH64" s="2">
        <v>0.93893759168504598</v>
      </c>
      <c r="AI64" s="2">
        <v>-0.186280534194322</v>
      </c>
      <c r="AJ64" s="2">
        <v>0.90622756208572497</v>
      </c>
      <c r="AK64" s="2">
        <v>3.3920086694083701E-3</v>
      </c>
      <c r="AL64" s="2">
        <v>8.6900732111284107</v>
      </c>
      <c r="AM64" s="2">
        <v>7.7013121780514497</v>
      </c>
      <c r="AN64" s="2">
        <v>1110.714210457</v>
      </c>
      <c r="AO64" s="2">
        <v>0.146281339451732</v>
      </c>
      <c r="AP64" s="2">
        <v>294.139733965495</v>
      </c>
      <c r="AQ64" s="2">
        <v>51.306629282042501</v>
      </c>
      <c r="AR64" s="2">
        <v>826.98011326221501</v>
      </c>
      <c r="AS64" s="2">
        <v>19.1430264717503</v>
      </c>
      <c r="AT64" s="2">
        <v>17416.0969313842</v>
      </c>
      <c r="AU64" s="2">
        <v>2.7574486021127598E-2</v>
      </c>
      <c r="AV64" s="2">
        <v>2.0294108204618202E-3</v>
      </c>
      <c r="AW64" s="2">
        <v>0.39961769645881301</v>
      </c>
      <c r="AX64" s="2">
        <v>1.8553418757845E-3</v>
      </c>
      <c r="AY64" s="2">
        <v>1817.05208361067</v>
      </c>
      <c r="AZ64" s="2">
        <v>9.8842801056040597E-2</v>
      </c>
      <c r="BA64" s="2">
        <v>1.49780991314609</v>
      </c>
      <c r="BB64" s="2">
        <v>1303</v>
      </c>
    </row>
    <row r="65" spans="1:54" ht="15.75" customHeight="1" x14ac:dyDescent="0.15">
      <c r="A65" s="1" t="s">
        <v>201</v>
      </c>
      <c r="B65" s="1" t="s">
        <v>202</v>
      </c>
      <c r="C65" s="4" t="s">
        <v>203</v>
      </c>
      <c r="D65" s="1" t="s">
        <v>14</v>
      </c>
      <c r="E65" s="2">
        <v>13263</v>
      </c>
      <c r="F65" s="2">
        <v>13699</v>
      </c>
      <c r="G65" s="2">
        <v>39207</v>
      </c>
      <c r="H65" s="2">
        <f t="shared" si="0"/>
        <v>66169</v>
      </c>
      <c r="I65" s="2">
        <v>121864</v>
      </c>
      <c r="J65" s="2">
        <v>1417079</v>
      </c>
      <c r="K65" s="2">
        <f t="shared" si="1"/>
        <v>4.6693938728892319E-2</v>
      </c>
      <c r="M65" s="2">
        <v>0.68679259188960295</v>
      </c>
      <c r="N65" s="2">
        <v>0.41947045852852199</v>
      </c>
      <c r="O65" s="2">
        <v>21.6294629769388</v>
      </c>
      <c r="P65" s="2">
        <v>51.5637336007253</v>
      </c>
      <c r="Q65" s="2">
        <v>55.443665102516498</v>
      </c>
      <c r="R65" s="2">
        <v>35.413590247147098</v>
      </c>
      <c r="S65" s="2">
        <v>0.32031604082593401</v>
      </c>
      <c r="T65" s="2">
        <v>8365.7567240759799</v>
      </c>
      <c r="U65" s="2">
        <v>761</v>
      </c>
      <c r="V65" s="2">
        <v>2046</v>
      </c>
      <c r="W65" s="2">
        <v>2428.8242382366302</v>
      </c>
      <c r="X65" s="2">
        <v>3439595.6806320902</v>
      </c>
      <c r="Y65" s="2">
        <v>5926.5931573790704</v>
      </c>
      <c r="Z65" s="2">
        <v>1463.094311929</v>
      </c>
      <c r="AA65" s="2">
        <v>55.992500674084503</v>
      </c>
      <c r="AB65" s="2">
        <v>0.92620768324928104</v>
      </c>
      <c r="AC65" s="2">
        <v>4.9028984856159701</v>
      </c>
      <c r="AD65" s="2">
        <v>3.8031748923689199</v>
      </c>
      <c r="AE65" s="2">
        <v>0.334129751866168</v>
      </c>
      <c r="AF65" s="2">
        <v>0.25344481167403299</v>
      </c>
      <c r="AG65" s="2">
        <v>0.99115418429649405</v>
      </c>
      <c r="AH65" s="2">
        <v>0.94405764844407802</v>
      </c>
      <c r="AI65" s="2">
        <v>-0.26380545208836498</v>
      </c>
      <c r="AJ65" s="2">
        <v>0.97478114371512503</v>
      </c>
      <c r="AK65" s="2">
        <v>1.79925328675363E-3</v>
      </c>
      <c r="AL65" s="2">
        <v>10.1623100597636</v>
      </c>
      <c r="AM65" s="2">
        <v>8.4336415236180802</v>
      </c>
      <c r="AN65" s="2">
        <v>2351.8599864284101</v>
      </c>
      <c r="AO65" s="2">
        <v>0.177324887765092</v>
      </c>
      <c r="AP65" s="2">
        <v>253.65430144009699</v>
      </c>
      <c r="AQ65" s="2">
        <v>384.819212115227</v>
      </c>
      <c r="AR65" s="2">
        <v>2187.4148382718799</v>
      </c>
      <c r="AS65" s="2">
        <v>16.3057377667194</v>
      </c>
      <c r="AT65" s="2">
        <v>58024.019075623903</v>
      </c>
      <c r="AU65" s="2">
        <v>1.21877662661025E-2</v>
      </c>
      <c r="AV65" s="2">
        <v>1.4043911754033299E-3</v>
      </c>
      <c r="AW65" s="2">
        <v>0.238237641380662</v>
      </c>
      <c r="AX65" s="2">
        <v>1.4943969168820499E-3</v>
      </c>
      <c r="AY65" s="2">
        <v>6289.05038616611</v>
      </c>
      <c r="AZ65" s="2">
        <v>0.39171184608748999</v>
      </c>
      <c r="BA65" s="2">
        <v>3.4601661977453899</v>
      </c>
      <c r="BB65" s="2">
        <v>17</v>
      </c>
    </row>
    <row r="66" spans="1:54" ht="15.75" customHeight="1" x14ac:dyDescent="0.15">
      <c r="A66" s="1" t="s">
        <v>204</v>
      </c>
      <c r="B66" s="1" t="s">
        <v>205</v>
      </c>
      <c r="C66" s="4" t="s">
        <v>206</v>
      </c>
      <c r="D66" s="1" t="s">
        <v>14</v>
      </c>
      <c r="E66" s="2">
        <v>8461</v>
      </c>
      <c r="F66" s="2">
        <v>65377</v>
      </c>
      <c r="G66" s="2">
        <v>10106</v>
      </c>
      <c r="H66" s="2">
        <f t="shared" si="0"/>
        <v>83944</v>
      </c>
      <c r="I66" s="2">
        <v>151899</v>
      </c>
      <c r="J66" s="2">
        <v>1332040</v>
      </c>
      <c r="K66" s="2">
        <f t="shared" si="1"/>
        <v>6.3019128554698059E-2</v>
      </c>
      <c r="M66" s="2">
        <v>0.91137655422210295</v>
      </c>
      <c r="N66" s="2">
        <v>0.78473492010917001</v>
      </c>
      <c r="O66" s="2">
        <v>20.5765791784642</v>
      </c>
      <c r="P66" s="2">
        <v>26.221057138124699</v>
      </c>
      <c r="Q66" s="2">
        <v>30.463092423455599</v>
      </c>
      <c r="R66" s="2">
        <v>23.897256702604999</v>
      </c>
      <c r="S66" s="2">
        <v>0.72883513441546299</v>
      </c>
      <c r="T66" s="2">
        <v>2746.80857615066</v>
      </c>
      <c r="U66" s="2">
        <v>1367</v>
      </c>
      <c r="V66" s="2">
        <v>1979</v>
      </c>
      <c r="W66" s="2">
        <v>1776.5326237350801</v>
      </c>
      <c r="X66" s="2">
        <v>405993.79124811001</v>
      </c>
      <c r="Y66" s="2">
        <v>-6489.5072578786603</v>
      </c>
      <c r="Z66" s="2">
        <v>308.67299684020998</v>
      </c>
      <c r="AA66" s="2">
        <v>49.996165001033297</v>
      </c>
      <c r="AB66" s="2">
        <v>0.71894815149009905</v>
      </c>
      <c r="AC66" s="2">
        <v>5.1024112763543696</v>
      </c>
      <c r="AD66" s="2">
        <v>3.8575865454642302</v>
      </c>
      <c r="AE66" s="2">
        <v>0.29903829873121901</v>
      </c>
      <c r="AF66" s="2">
        <v>0.211398138885486</v>
      </c>
      <c r="AG66" s="2">
        <v>0.986100190466489</v>
      </c>
      <c r="AH66" s="2">
        <v>0.92410924984126996</v>
      </c>
      <c r="AI66" s="2">
        <v>-0.124904456283721</v>
      </c>
      <c r="AJ66" s="2">
        <v>0.83725558695095303</v>
      </c>
      <c r="AK66" s="2">
        <v>2.5688129153101599E-3</v>
      </c>
      <c r="AL66" s="2">
        <v>9.3883758745530006</v>
      </c>
      <c r="AM66" s="2">
        <v>7.5459197672565903</v>
      </c>
      <c r="AN66" s="2">
        <v>1618.7780404207499</v>
      </c>
      <c r="AO66" s="2">
        <v>0.191322307105632</v>
      </c>
      <c r="AP66" s="2">
        <v>294.702635622267</v>
      </c>
      <c r="AQ66" s="2">
        <v>104.727226394299</v>
      </c>
      <c r="AR66" s="2">
        <v>1716.34972225505</v>
      </c>
      <c r="AS66" s="2">
        <v>12.1655832643896</v>
      </c>
      <c r="AT66" s="2">
        <v>25090.266753338899</v>
      </c>
      <c r="AU66" s="2">
        <v>8.6974202821945498E-3</v>
      </c>
      <c r="AV66" s="2">
        <v>1.1555728299132899E-3</v>
      </c>
      <c r="AW66" s="2">
        <v>0.298163938980747</v>
      </c>
      <c r="AX66" s="2">
        <v>1.21947903345778E-3</v>
      </c>
      <c r="AY66" s="2">
        <v>4632.1796837616503</v>
      </c>
      <c r="AZ66" s="2">
        <v>0.22834939148445799</v>
      </c>
      <c r="BA66" s="2">
        <v>1.8202112566972399</v>
      </c>
      <c r="BB66" s="2">
        <v>162</v>
      </c>
    </row>
    <row r="67" spans="1:54" ht="15.75" customHeight="1" x14ac:dyDescent="0.15">
      <c r="A67" s="1" t="s">
        <v>207</v>
      </c>
      <c r="B67" s="1" t="s">
        <v>208</v>
      </c>
      <c r="C67" s="1" t="s">
        <v>209</v>
      </c>
      <c r="D67" s="1" t="s">
        <v>210</v>
      </c>
      <c r="E67" s="2">
        <v>3277</v>
      </c>
      <c r="F67" s="2">
        <v>66878</v>
      </c>
      <c r="G67" s="2">
        <v>25236</v>
      </c>
      <c r="H67" s="2">
        <f t="shared" si="0"/>
        <v>95391</v>
      </c>
      <c r="I67" s="2">
        <v>125182</v>
      </c>
      <c r="J67" s="2">
        <v>1305115</v>
      </c>
      <c r="K67" s="2">
        <f t="shared" si="1"/>
        <v>7.3090110833144969E-2</v>
      </c>
      <c r="M67" s="2">
        <v>0.65603696264218503</v>
      </c>
      <c r="N67" s="2">
        <v>0.31376384076262698</v>
      </c>
      <c r="O67" s="2">
        <v>10.4186148848068</v>
      </c>
      <c r="P67" s="2">
        <v>33.205275851683901</v>
      </c>
      <c r="Q67" s="2">
        <v>34.058772731852798</v>
      </c>
      <c r="R67" s="2">
        <v>21.783888313434598</v>
      </c>
      <c r="S67" s="2">
        <v>0.46295194952496799</v>
      </c>
      <c r="T67" s="2">
        <v>2268.69007866229</v>
      </c>
      <c r="U67" s="2">
        <v>429.6</v>
      </c>
      <c r="V67" s="2">
        <v>611</v>
      </c>
      <c r="W67" s="2">
        <v>202.97636786618</v>
      </c>
      <c r="X67" s="2">
        <v>2935.7876350278898</v>
      </c>
      <c r="Y67" s="2">
        <v>-107.065790129509</v>
      </c>
      <c r="Z67" s="2">
        <v>25.324718120084199</v>
      </c>
      <c r="AA67" s="2">
        <v>2.3828798202830499</v>
      </c>
      <c r="AB67" s="2">
        <v>0.82614462925493903</v>
      </c>
      <c r="AC67" s="2">
        <v>1.1249347909248799</v>
      </c>
      <c r="AD67" s="2">
        <v>1.9003511650523901</v>
      </c>
      <c r="AE67" s="2">
        <v>0.59079621960506701</v>
      </c>
      <c r="AF67" s="2">
        <v>0.55268108553706496</v>
      </c>
      <c r="AG67" s="2">
        <v>0.99471629356442803</v>
      </c>
      <c r="AH67" s="2">
        <v>0.95121024177615598</v>
      </c>
      <c r="AI67" s="2">
        <v>-0.26154570094205898</v>
      </c>
      <c r="AJ67" s="2">
        <v>0.89623697957571202</v>
      </c>
      <c r="AK67" s="2">
        <v>2.8195076416040101E-2</v>
      </c>
      <c r="AL67" s="2">
        <v>5.8128303204952001</v>
      </c>
      <c r="AM67" s="2">
        <v>7.04811949914646</v>
      </c>
      <c r="AN67" s="2">
        <v>274.30546231309103</v>
      </c>
      <c r="AO67" s="2">
        <v>8.3706274736982403E-2</v>
      </c>
      <c r="AP67" s="2">
        <v>369.222764723833</v>
      </c>
      <c r="AQ67" s="2">
        <v>8.3302528632578401</v>
      </c>
      <c r="AR67" s="2">
        <v>195.76197741837001</v>
      </c>
      <c r="AS67" s="2">
        <v>62.046078730546199</v>
      </c>
      <c r="AT67" s="2">
        <v>12828.097650289899</v>
      </c>
      <c r="AU67" s="2">
        <v>0.344813495906867</v>
      </c>
      <c r="AV67" s="2">
        <v>7.0183053276163098E-3</v>
      </c>
      <c r="AW67" s="2">
        <v>0.68075804442660903</v>
      </c>
      <c r="AX67" s="2">
        <v>4.3356036973798799E-3</v>
      </c>
      <c r="AY67" s="2">
        <v>125.90388334012999</v>
      </c>
      <c r="AZ67" s="2">
        <v>3.1125776414258802E-2</v>
      </c>
      <c r="BA67" s="2">
        <v>0.81838153249925605</v>
      </c>
      <c r="BB67" s="2">
        <v>1561</v>
      </c>
    </row>
    <row r="68" spans="1:54" ht="15" x14ac:dyDescent="0.2">
      <c r="A68" s="3" t="s">
        <v>211</v>
      </c>
      <c r="B68" s="1" t="s">
        <v>212</v>
      </c>
      <c r="C68" s="1" t="s">
        <v>213</v>
      </c>
      <c r="D68" s="1" t="s">
        <v>210</v>
      </c>
      <c r="E68" s="2">
        <v>204</v>
      </c>
      <c r="F68" s="2">
        <v>11711</v>
      </c>
      <c r="G68" s="2">
        <v>1037</v>
      </c>
      <c r="H68" s="2">
        <f t="shared" si="0"/>
        <v>12952</v>
      </c>
      <c r="I68" s="2">
        <v>17951</v>
      </c>
      <c r="J68" s="2">
        <v>1511278</v>
      </c>
      <c r="K68" s="2">
        <f t="shared" si="1"/>
        <v>8.570229964308354E-3</v>
      </c>
      <c r="M68" s="2">
        <v>0.96324657758668697</v>
      </c>
      <c r="N68" s="2">
        <v>0.71729571614202303</v>
      </c>
      <c r="O68" s="2">
        <v>9.8876877598817199</v>
      </c>
      <c r="P68" s="2">
        <v>13.7846742108856</v>
      </c>
      <c r="Q68" s="2">
        <v>15.2970585407784</v>
      </c>
      <c r="R68" s="2">
        <v>13.278040256782999</v>
      </c>
      <c r="S68" s="2">
        <v>0.32619757801246402</v>
      </c>
      <c r="T68" s="2">
        <v>411.29466399467299</v>
      </c>
      <c r="U68" s="2">
        <v>240</v>
      </c>
      <c r="V68" s="2">
        <v>338.2</v>
      </c>
      <c r="W68" s="2">
        <v>13.481542917859899</v>
      </c>
      <c r="X68" s="2">
        <v>211.05980775376599</v>
      </c>
      <c r="Y68" s="2">
        <v>23.857769757961499</v>
      </c>
      <c r="Z68" s="2">
        <v>7.3112959071510897</v>
      </c>
      <c r="AA68" s="2">
        <v>0.53626922783695496</v>
      </c>
      <c r="AB68" s="2">
        <v>0.86003616275210504</v>
      </c>
      <c r="AC68" s="2">
        <v>0.48814434729362999</v>
      </c>
      <c r="AD68" s="2">
        <v>1.0904844631837201</v>
      </c>
      <c r="AE68" s="2">
        <v>0.76394863977707195</v>
      </c>
      <c r="AF68" s="2">
        <v>0.76074031440751699</v>
      </c>
      <c r="AG68" s="2">
        <v>0.98938357743694405</v>
      </c>
      <c r="AH68" s="2">
        <v>0.93965035770695404</v>
      </c>
      <c r="AI68" s="2">
        <v>-0.42525925340680898</v>
      </c>
      <c r="AJ68" s="2">
        <v>0.91668765317605705</v>
      </c>
      <c r="AK68" s="2">
        <v>0.119184089044873</v>
      </c>
      <c r="AL68" s="2">
        <v>3.4718847811491802</v>
      </c>
      <c r="AM68" s="2">
        <v>5.5812372560881096</v>
      </c>
      <c r="AN68" s="2">
        <v>18.343137254902</v>
      </c>
      <c r="AO68" s="2">
        <v>8.9917339484813494E-2</v>
      </c>
      <c r="AP68" s="2">
        <v>44.156862745098003</v>
      </c>
      <c r="AQ68" s="2">
        <v>2.2078767781622499</v>
      </c>
      <c r="AR68" s="2">
        <v>14.838235294117601</v>
      </c>
      <c r="AS68" s="2">
        <v>45.803921568627501</v>
      </c>
      <c r="AT68" s="2">
        <v>630.73039215686299</v>
      </c>
      <c r="AU68" s="2">
        <v>6.0044659530478901</v>
      </c>
      <c r="AV68" s="2">
        <v>0.14311824729892</v>
      </c>
      <c r="AW68" s="2">
        <v>0.895911277102173</v>
      </c>
      <c r="AX68" s="2">
        <v>6.6735380610150996E-2</v>
      </c>
      <c r="AY68" s="2">
        <v>6.5838625564244504</v>
      </c>
      <c r="AZ68" s="2">
        <v>3.8008915273812699E-2</v>
      </c>
      <c r="BA68" s="2">
        <v>1.2162233856757401</v>
      </c>
      <c r="BB68" s="2">
        <v>822</v>
      </c>
    </row>
    <row r="69" spans="1:54" ht="15.75" customHeight="1" x14ac:dyDescent="0.15">
      <c r="A69" s="1" t="s">
        <v>214</v>
      </c>
      <c r="B69" s="1" t="s">
        <v>215</v>
      </c>
      <c r="C69" s="1" t="s">
        <v>216</v>
      </c>
      <c r="D69" s="1" t="s">
        <v>210</v>
      </c>
      <c r="E69" s="2">
        <v>6323</v>
      </c>
      <c r="F69" s="2">
        <v>39147</v>
      </c>
      <c r="G69" s="2">
        <v>29516</v>
      </c>
      <c r="H69" s="2">
        <f t="shared" si="0"/>
        <v>74986</v>
      </c>
      <c r="I69" s="2">
        <v>93090</v>
      </c>
      <c r="J69" s="2">
        <v>1412153</v>
      </c>
      <c r="K69" s="2">
        <f t="shared" si="1"/>
        <v>5.3100478489228858E-2</v>
      </c>
      <c r="M69" s="2">
        <v>0.82687227593576795</v>
      </c>
      <c r="N69" s="2">
        <v>0.64101500327439398</v>
      </c>
      <c r="O69" s="2">
        <v>25.023166835177001</v>
      </c>
      <c r="P69" s="2">
        <v>39.0367880741561</v>
      </c>
      <c r="Q69" s="2">
        <v>52.1536192416212</v>
      </c>
      <c r="R69" s="2">
        <v>32.278437800099702</v>
      </c>
      <c r="S69" s="2">
        <v>0.20570438680157399</v>
      </c>
      <c r="T69" s="2">
        <v>7331.6458713751999</v>
      </c>
      <c r="U69" s="2">
        <v>461</v>
      </c>
      <c r="V69" s="2">
        <v>765</v>
      </c>
      <c r="W69" s="2">
        <v>307.982460723472</v>
      </c>
      <c r="X69" s="2">
        <v>9943.0213228788307</v>
      </c>
      <c r="Y69" s="2">
        <v>-19.228908652454098</v>
      </c>
      <c r="Z69" s="2">
        <v>63.613955474984301</v>
      </c>
      <c r="AA69" s="2">
        <v>3.2907828785981499</v>
      </c>
      <c r="AB69" s="2">
        <v>0.90081081173475697</v>
      </c>
      <c r="AC69" s="2">
        <v>1.31478168375514</v>
      </c>
      <c r="AD69" s="2">
        <v>2.0867546485611599</v>
      </c>
      <c r="AE69" s="2">
        <v>0.56005341611707204</v>
      </c>
      <c r="AF69" s="2">
        <v>0.51296129551396297</v>
      </c>
      <c r="AG69" s="2">
        <v>0.99588496214136002</v>
      </c>
      <c r="AH69" s="2">
        <v>0.95678976412024497</v>
      </c>
      <c r="AI69" s="2">
        <v>-0.32689315586141798</v>
      </c>
      <c r="AJ69" s="2">
        <v>0.95756025305049797</v>
      </c>
      <c r="AK69" s="2">
        <v>1.34660794620422E-2</v>
      </c>
      <c r="AL69" s="2">
        <v>6.7388320931566001</v>
      </c>
      <c r="AM69" s="2">
        <v>7.5379134902562699</v>
      </c>
      <c r="AN69" s="2">
        <v>616.29432231535702</v>
      </c>
      <c r="AO69" s="2">
        <v>9.7468657649115401E-2</v>
      </c>
      <c r="AP69" s="2">
        <v>397.55543254784101</v>
      </c>
      <c r="AQ69" s="2">
        <v>19.495662479415799</v>
      </c>
      <c r="AR69" s="2">
        <v>272.60398544994501</v>
      </c>
      <c r="AS69" s="2">
        <v>40.635932310612098</v>
      </c>
      <c r="AT69" s="2">
        <v>12079.1894670251</v>
      </c>
      <c r="AU69" s="2">
        <v>0.17074244118030399</v>
      </c>
      <c r="AV69" s="2">
        <v>5.3810003523821698E-3</v>
      </c>
      <c r="AW69" s="2">
        <v>0.81033759854945997</v>
      </c>
      <c r="AX69" s="2">
        <v>3.2189284127501299E-3</v>
      </c>
      <c r="AY69" s="2">
        <v>229.232467391493</v>
      </c>
      <c r="AZ69" s="2">
        <v>4.9391684635024399E-2</v>
      </c>
      <c r="BA69" s="2">
        <v>0.77959929182437204</v>
      </c>
      <c r="BB69" s="2">
        <v>372</v>
      </c>
    </row>
    <row r="70" spans="1:54" ht="15.75" customHeight="1" x14ac:dyDescent="0.15">
      <c r="A70" s="1" t="s">
        <v>217</v>
      </c>
      <c r="B70" s="1" t="s">
        <v>218</v>
      </c>
      <c r="C70" s="1" t="s">
        <v>219</v>
      </c>
      <c r="D70" s="1" t="s">
        <v>210</v>
      </c>
      <c r="E70" s="2">
        <v>30888</v>
      </c>
      <c r="F70" s="2">
        <v>98746</v>
      </c>
      <c r="G70" s="2">
        <v>36506</v>
      </c>
      <c r="H70" s="2">
        <f t="shared" si="0"/>
        <v>166140</v>
      </c>
      <c r="I70" s="2">
        <v>277878</v>
      </c>
      <c r="J70" s="2">
        <v>1425118</v>
      </c>
      <c r="K70" s="2">
        <f t="shared" si="1"/>
        <v>0.1165798200570058</v>
      </c>
      <c r="M70" s="2">
        <v>0.80873903229113997</v>
      </c>
      <c r="N70" s="2">
        <v>0.67430541206419303</v>
      </c>
      <c r="O70" s="2">
        <v>37.667249719541601</v>
      </c>
      <c r="P70" s="2">
        <v>55.860814766759802</v>
      </c>
      <c r="Q70" s="2">
        <v>66.272166103123595</v>
      </c>
      <c r="R70" s="2">
        <v>45.176821277464001</v>
      </c>
      <c r="S70" s="2">
        <v>0.206357646584716</v>
      </c>
      <c r="T70" s="2">
        <v>22771.102610383401</v>
      </c>
      <c r="U70" s="2">
        <v>533</v>
      </c>
      <c r="V70" s="2">
        <v>850</v>
      </c>
      <c r="W70" s="2">
        <v>483.49634526526103</v>
      </c>
      <c r="X70" s="2">
        <v>21889.452766284699</v>
      </c>
      <c r="Y70" s="2">
        <v>-100.687434364002</v>
      </c>
      <c r="Z70" s="2">
        <v>91.193482380094096</v>
      </c>
      <c r="AA70" s="2">
        <v>4.6686407911155099</v>
      </c>
      <c r="AB70" s="2">
        <v>0.90272821096724498</v>
      </c>
      <c r="AC70" s="2">
        <v>1.47041912119517</v>
      </c>
      <c r="AD70" s="2">
        <v>2.2560121455608599</v>
      </c>
      <c r="AE70" s="2">
        <v>0.54846727442981802</v>
      </c>
      <c r="AF70" s="2">
        <v>0.499251422355942</v>
      </c>
      <c r="AG70" s="2">
        <v>0.99629943845270397</v>
      </c>
      <c r="AH70" s="2">
        <v>0.96133403027973796</v>
      </c>
      <c r="AI70" s="2">
        <v>-0.3218140222718</v>
      </c>
      <c r="AJ70" s="2">
        <v>0.96405033365731796</v>
      </c>
      <c r="AK70" s="2">
        <v>9.8340054657913897E-3</v>
      </c>
      <c r="AL70" s="2">
        <v>7.2448436185875904</v>
      </c>
      <c r="AM70" s="2">
        <v>7.9593564130113403</v>
      </c>
      <c r="AN70" s="2">
        <v>2701.3444703444702</v>
      </c>
      <c r="AO70" s="2">
        <v>8.7456114683516897E-2</v>
      </c>
      <c r="AP70" s="2">
        <v>1768.94696969697</v>
      </c>
      <c r="AQ70" s="2">
        <v>23.744445203090098</v>
      </c>
      <c r="AR70" s="2">
        <v>465.65731028230999</v>
      </c>
      <c r="AS70" s="2">
        <v>51.621276871276898</v>
      </c>
      <c r="AT70" s="2">
        <v>25263.7711408961</v>
      </c>
      <c r="AU70" s="2">
        <v>0.13266839764219501</v>
      </c>
      <c r="AV70" s="2">
        <v>2.9192281821668101E-3</v>
      </c>
      <c r="AW70" s="2">
        <v>1.5507620099438799</v>
      </c>
      <c r="AX70" s="2">
        <v>7.7476174349806303E-4</v>
      </c>
      <c r="AY70" s="2">
        <v>421.58431256477297</v>
      </c>
      <c r="AZ70" s="2">
        <v>3.16476151957958E-2</v>
      </c>
      <c r="BA70" s="2">
        <v>0.38542920088732102</v>
      </c>
      <c r="BB70" s="2">
        <v>466</v>
      </c>
    </row>
    <row r="71" spans="1:54" ht="15.75" customHeight="1" x14ac:dyDescent="0.15">
      <c r="A71" s="1" t="s">
        <v>220</v>
      </c>
      <c r="B71" s="1" t="s">
        <v>221</v>
      </c>
      <c r="C71" s="1" t="s">
        <v>222</v>
      </c>
      <c r="D71" s="1" t="s">
        <v>210</v>
      </c>
      <c r="E71" s="2">
        <v>23009</v>
      </c>
      <c r="F71" s="2">
        <v>156055</v>
      </c>
      <c r="G71" s="2">
        <v>48062</v>
      </c>
      <c r="H71" s="2">
        <f t="shared" si="0"/>
        <v>227126</v>
      </c>
      <c r="I71" s="2">
        <v>307461</v>
      </c>
      <c r="J71" s="2">
        <v>1553542</v>
      </c>
      <c r="K71" s="2">
        <f t="shared" si="1"/>
        <v>0.14619881535227242</v>
      </c>
      <c r="M71" s="2">
        <v>0.80863394358452101</v>
      </c>
      <c r="N71" s="2">
        <v>0.48953456930712103</v>
      </c>
      <c r="O71" s="2">
        <v>27.6322278893803</v>
      </c>
      <c r="P71" s="2">
        <v>56.445917452756198</v>
      </c>
      <c r="Q71" s="2">
        <v>63.560994328282803</v>
      </c>
      <c r="R71" s="2">
        <v>45.644084829068603</v>
      </c>
      <c r="S71" s="2">
        <v>0.25264875328317798</v>
      </c>
      <c r="T71" s="2">
        <v>15297.557936401099</v>
      </c>
      <c r="U71" s="2">
        <v>438</v>
      </c>
      <c r="V71" s="2">
        <v>866</v>
      </c>
      <c r="W71" s="2">
        <v>360.92709019877299</v>
      </c>
      <c r="X71" s="2">
        <v>75992.803985937193</v>
      </c>
      <c r="Y71" s="2">
        <v>1869.1826378800499</v>
      </c>
      <c r="Z71" s="2">
        <v>169.952292663653</v>
      </c>
      <c r="AA71" s="2">
        <v>4.0224983469721503</v>
      </c>
      <c r="AB71" s="2">
        <v>0.95363604225822096</v>
      </c>
      <c r="AC71" s="2">
        <v>1.35381025969708</v>
      </c>
      <c r="AD71" s="2">
        <v>2.1865059427123801</v>
      </c>
      <c r="AE71" s="2">
        <v>0.57308593664055696</v>
      </c>
      <c r="AF71" s="2">
        <v>0.52827631306950495</v>
      </c>
      <c r="AG71" s="2">
        <v>0.99727464394683196</v>
      </c>
      <c r="AH71" s="2">
        <v>0.96686561013474004</v>
      </c>
      <c r="AI71" s="2">
        <v>-0.37957752448423998</v>
      </c>
      <c r="AJ71" s="2">
        <v>0.97984519980301998</v>
      </c>
      <c r="AK71" s="2">
        <v>1.2992511188259E-2</v>
      </c>
      <c r="AL71" s="2">
        <v>7.1832170459814897</v>
      </c>
      <c r="AM71" s="2">
        <v>8.1722233138972804</v>
      </c>
      <c r="AN71" s="2">
        <v>1784.33756356208</v>
      </c>
      <c r="AO71" s="2">
        <v>7.7549548592380599E-2</v>
      </c>
      <c r="AP71" s="2">
        <v>1358.77052457734</v>
      </c>
      <c r="AQ71" s="2">
        <v>42.331802988066002</v>
      </c>
      <c r="AR71" s="2">
        <v>348.13246990308102</v>
      </c>
      <c r="AS71" s="2">
        <v>68.463166586987697</v>
      </c>
      <c r="AT71" s="2">
        <v>20435.031596331901</v>
      </c>
      <c r="AU71" s="2">
        <v>0.35912965434134397</v>
      </c>
      <c r="AV71" s="2">
        <v>4.7581771555485599E-3</v>
      </c>
      <c r="AW71" s="2">
        <v>1.37360282357418</v>
      </c>
      <c r="AX71" s="2">
        <v>1.16883455544672E-3</v>
      </c>
      <c r="AY71" s="2">
        <v>445.003587339852</v>
      </c>
      <c r="AZ71" s="2">
        <v>4.3078818686711498E-2</v>
      </c>
      <c r="BA71" s="2">
        <v>0.76935255614389297</v>
      </c>
      <c r="BB71" s="2">
        <v>213</v>
      </c>
    </row>
    <row r="72" spans="1:54" ht="15.75" customHeight="1" x14ac:dyDescent="0.15">
      <c r="A72" s="1" t="s">
        <v>223</v>
      </c>
      <c r="B72" s="1" t="s">
        <v>224</v>
      </c>
      <c r="C72" s="1" t="s">
        <v>225</v>
      </c>
      <c r="D72" s="1" t="s">
        <v>210</v>
      </c>
      <c r="E72" s="2">
        <v>3274</v>
      </c>
      <c r="F72" s="2">
        <v>62021</v>
      </c>
      <c r="G72" s="2">
        <v>17626</v>
      </c>
      <c r="H72" s="2">
        <f t="shared" si="0"/>
        <v>82921</v>
      </c>
      <c r="I72" s="2">
        <v>92825</v>
      </c>
      <c r="J72" s="2">
        <v>1389957</v>
      </c>
      <c r="K72" s="2">
        <f t="shared" si="1"/>
        <v>5.965724119523122E-2</v>
      </c>
      <c r="M72" s="2">
        <v>0.795191634778458</v>
      </c>
      <c r="N72" s="2">
        <v>0.65735047413297798</v>
      </c>
      <c r="O72" s="2">
        <v>21.056432947765799</v>
      </c>
      <c r="P72" s="2">
        <v>32.032277721467402</v>
      </c>
      <c r="Q72" s="2">
        <v>37.589892258425003</v>
      </c>
      <c r="R72" s="2">
        <v>25.471799287011201</v>
      </c>
      <c r="S72" s="2">
        <v>0.23598618732100601</v>
      </c>
      <c r="T72" s="2">
        <v>3713.9636405696701</v>
      </c>
      <c r="U72" s="2">
        <v>321</v>
      </c>
      <c r="V72" s="2">
        <v>599</v>
      </c>
      <c r="W72" s="2">
        <v>190.9128792077</v>
      </c>
      <c r="X72" s="2">
        <v>6215.9477970689804</v>
      </c>
      <c r="Y72" s="2">
        <v>-275.13482514588901</v>
      </c>
      <c r="Z72" s="2">
        <v>36.323903144817599</v>
      </c>
      <c r="AA72" s="2">
        <v>3.1149242065063998</v>
      </c>
      <c r="AB72" s="2">
        <v>0.83638865150875596</v>
      </c>
      <c r="AC72" s="2">
        <v>1.2579655695906999</v>
      </c>
      <c r="AD72" s="2">
        <v>2.0455322058242</v>
      </c>
      <c r="AE72" s="2">
        <v>0.57340867473581802</v>
      </c>
      <c r="AF72" s="2">
        <v>0.529867561897852</v>
      </c>
      <c r="AG72" s="2">
        <v>0.99082652743862598</v>
      </c>
      <c r="AH72" s="2">
        <v>0.93822326335867401</v>
      </c>
      <c r="AI72" s="2">
        <v>-0.26218259006341299</v>
      </c>
      <c r="AJ72" s="2">
        <v>0.90116191331597295</v>
      </c>
      <c r="AK72" s="2">
        <v>2.4285221651220899E-2</v>
      </c>
      <c r="AL72" s="2">
        <v>5.9743782634123299</v>
      </c>
      <c r="AM72" s="2">
        <v>6.9020711636411596</v>
      </c>
      <c r="AN72" s="2">
        <v>305.08857666463001</v>
      </c>
      <c r="AO72" s="2">
        <v>9.31852708199849E-2</v>
      </c>
      <c r="AP72" s="2">
        <v>276.65058032987201</v>
      </c>
      <c r="AQ72" s="2">
        <v>15.643413387497199</v>
      </c>
      <c r="AR72" s="2">
        <v>159.92944410506999</v>
      </c>
      <c r="AS72" s="2">
        <v>46.591325595601703</v>
      </c>
      <c r="AT72" s="2">
        <v>10538.6313378131</v>
      </c>
      <c r="AU72" s="2">
        <v>0.32594760661384198</v>
      </c>
      <c r="AV72" s="2">
        <v>1.6620424374209901E-2</v>
      </c>
      <c r="AW72" s="2">
        <v>0.73240208218413005</v>
      </c>
      <c r="AX72" s="2">
        <v>6.0604799548852201E-3</v>
      </c>
      <c r="AY72" s="2">
        <v>87.450417691713596</v>
      </c>
      <c r="AZ72" s="2">
        <v>6.9191611422832602E-2</v>
      </c>
      <c r="BA72" s="2">
        <v>0.79405552979496696</v>
      </c>
      <c r="BB72" s="2">
        <v>346</v>
      </c>
    </row>
    <row r="73" spans="1:54" ht="15.75" customHeight="1" x14ac:dyDescent="0.15">
      <c r="A73" s="1" t="s">
        <v>226</v>
      </c>
      <c r="B73" s="1" t="s">
        <v>227</v>
      </c>
      <c r="C73" s="1" t="s">
        <v>228</v>
      </c>
      <c r="D73" s="1" t="s">
        <v>210</v>
      </c>
      <c r="E73" s="2">
        <v>47</v>
      </c>
      <c r="F73" s="2">
        <v>70526</v>
      </c>
      <c r="G73" s="2">
        <v>3218</v>
      </c>
      <c r="H73" s="2">
        <f t="shared" si="0"/>
        <v>73791</v>
      </c>
      <c r="I73" s="2">
        <v>111601</v>
      </c>
      <c r="J73" s="2">
        <v>1517990</v>
      </c>
      <c r="K73" s="2">
        <f t="shared" si="1"/>
        <v>4.8610992167273832E-2</v>
      </c>
      <c r="M73" s="2">
        <v>0.377220626996216</v>
      </c>
      <c r="N73" s="2">
        <v>0.26039561335815897</v>
      </c>
      <c r="O73" s="2">
        <v>3.7383389453048901</v>
      </c>
      <c r="P73" s="2">
        <v>14.3563821874488</v>
      </c>
      <c r="Q73" s="2">
        <v>5.3851648071345002</v>
      </c>
      <c r="R73" s="2">
        <v>5.4155234901467599</v>
      </c>
      <c r="S73" s="2">
        <v>0.83178343049912995</v>
      </c>
      <c r="T73" s="2">
        <v>68.848148968128996</v>
      </c>
      <c r="U73" s="2">
        <v>614.20000000000005</v>
      </c>
      <c r="V73" s="2">
        <v>678</v>
      </c>
      <c r="W73" s="2">
        <v>10.2974025974026</v>
      </c>
      <c r="X73" s="2">
        <v>15.140374027919099</v>
      </c>
      <c r="Y73" s="2">
        <v>0.49491180096522402</v>
      </c>
      <c r="Z73" s="2">
        <v>2.2547399029541899</v>
      </c>
      <c r="AA73" s="2">
        <v>1.49012654012654</v>
      </c>
      <c r="AB73" s="2">
        <v>0.18438177443095599</v>
      </c>
      <c r="AC73" s="2">
        <v>0.91726606726606696</v>
      </c>
      <c r="AD73" s="2">
        <v>1.4560593507991999</v>
      </c>
      <c r="AE73" s="2">
        <v>0.62858946608946598</v>
      </c>
      <c r="AF73" s="2">
        <v>0.59865301365301404</v>
      </c>
      <c r="AG73" s="2">
        <v>0.96267336267336301</v>
      </c>
      <c r="AH73" s="2">
        <v>0.87879858237001096</v>
      </c>
      <c r="AI73" s="2">
        <v>-0.33281018452820799</v>
      </c>
      <c r="AJ73" s="2">
        <v>0.82503297107527895</v>
      </c>
      <c r="AK73" s="2">
        <v>0.13234464489334599</v>
      </c>
      <c r="AL73" s="2">
        <v>3.2106743292442301</v>
      </c>
      <c r="AM73" s="2">
        <v>4.0592553423692497</v>
      </c>
      <c r="AN73" s="2">
        <v>6.0212765957446797</v>
      </c>
      <c r="AO73" s="2">
        <v>0.12811226799456801</v>
      </c>
      <c r="AP73" s="2">
        <v>14.063829787234001</v>
      </c>
      <c r="AQ73" s="2">
        <v>1.1109099139882299</v>
      </c>
      <c r="AR73" s="2">
        <v>12.127659574468099</v>
      </c>
      <c r="AS73" s="2">
        <v>37.936170212766001</v>
      </c>
      <c r="AT73" s="2">
        <v>406.17021276595699</v>
      </c>
      <c r="AU73" s="2">
        <v>4.2513829787233997</v>
      </c>
      <c r="AV73" s="2">
        <v>0.14547281323877101</v>
      </c>
      <c r="AW73" s="2">
        <v>0.33117277498264502</v>
      </c>
      <c r="AX73" s="2">
        <v>0.161272589245568</v>
      </c>
      <c r="AY73" s="2">
        <v>8.07840095799369</v>
      </c>
      <c r="AZ73" s="2">
        <v>4.5299084523000299E-2</v>
      </c>
      <c r="BA73" s="2">
        <v>1.6948759796024599</v>
      </c>
      <c r="BB73" s="2">
        <v>82</v>
      </c>
    </row>
    <row r="74" spans="1:54" ht="15.75" customHeight="1" x14ac:dyDescent="0.15">
      <c r="A74" s="1" t="s">
        <v>229</v>
      </c>
      <c r="B74" s="1" t="s">
        <v>230</v>
      </c>
      <c r="C74" s="1" t="s">
        <v>231</v>
      </c>
      <c r="D74" s="1" t="s">
        <v>210</v>
      </c>
      <c r="E74" s="2">
        <v>25826</v>
      </c>
      <c r="F74" s="2">
        <v>94553</v>
      </c>
      <c r="G74" s="2">
        <v>13892</v>
      </c>
      <c r="H74" s="2">
        <f t="shared" si="0"/>
        <v>134271</v>
      </c>
      <c r="I74" s="2">
        <v>191528</v>
      </c>
      <c r="J74" s="2">
        <v>1385306</v>
      </c>
      <c r="K74" s="2">
        <f t="shared" si="1"/>
        <v>9.6925155886136344E-2</v>
      </c>
      <c r="M74" s="2">
        <v>0.97519283990460004</v>
      </c>
      <c r="N74" s="2">
        <v>0.71550812709396705</v>
      </c>
      <c r="O74" s="2">
        <v>31.4110655023268</v>
      </c>
      <c r="P74" s="2">
        <v>43.900361593239602</v>
      </c>
      <c r="Q74" s="2">
        <v>68.264192663504105</v>
      </c>
      <c r="R74" s="2">
        <v>42.811318294950198</v>
      </c>
      <c r="S74" s="2">
        <v>0.28999545899308199</v>
      </c>
      <c r="T74" s="2">
        <v>14478.3551146224</v>
      </c>
      <c r="U74" s="2">
        <v>1328</v>
      </c>
      <c r="V74" s="2">
        <v>2475</v>
      </c>
      <c r="W74" s="2">
        <v>2229.7239353826199</v>
      </c>
      <c r="X74" s="2">
        <v>2194711.4428304499</v>
      </c>
      <c r="Y74" s="2">
        <v>-11652.094378768799</v>
      </c>
      <c r="Z74" s="2">
        <v>1055.37337676159</v>
      </c>
      <c r="AA74" s="2">
        <v>35.794516635295302</v>
      </c>
      <c r="AB74" s="2">
        <v>0.93409045106408195</v>
      </c>
      <c r="AC74" s="2">
        <v>3.9887855294161398</v>
      </c>
      <c r="AD74" s="2">
        <v>3.52530805908542</v>
      </c>
      <c r="AE74" s="2">
        <v>0.36635068756321598</v>
      </c>
      <c r="AF74" s="2">
        <v>0.28794751984581302</v>
      </c>
      <c r="AG74" s="2">
        <v>0.99379559629486103</v>
      </c>
      <c r="AH74" s="2">
        <v>0.95160161774631502</v>
      </c>
      <c r="AI74" s="2">
        <v>-0.28787867905567499</v>
      </c>
      <c r="AJ74" s="2">
        <v>0.97964167831125504</v>
      </c>
      <c r="AK74" s="2">
        <v>1.7469767352077999E-3</v>
      </c>
      <c r="AL74" s="2">
        <v>10.028240374776701</v>
      </c>
      <c r="AM74" s="2">
        <v>8.7223896595758905</v>
      </c>
      <c r="AN74" s="2">
        <v>3927.8565012003401</v>
      </c>
      <c r="AO74" s="2">
        <v>0.152089231828403</v>
      </c>
      <c r="AP74" s="2">
        <v>455.93394253852699</v>
      </c>
      <c r="AQ74" s="2">
        <v>287.84113696748398</v>
      </c>
      <c r="AR74" s="2">
        <v>2053.4775420119299</v>
      </c>
      <c r="AS74" s="2">
        <v>23.1491520173469</v>
      </c>
      <c r="AT74" s="2">
        <v>70763.760822426993</v>
      </c>
      <c r="AU74" s="2">
        <v>1.8025406426626301E-2</v>
      </c>
      <c r="AV74" s="2">
        <v>1.45551363226652E-3</v>
      </c>
      <c r="AW74" s="2">
        <v>0.25724363460104799</v>
      </c>
      <c r="AX74" s="2">
        <v>1.3719614505759601E-3</v>
      </c>
      <c r="AY74" s="2">
        <v>3553.84142083602</v>
      </c>
      <c r="AZ74" s="2">
        <v>0.18733033413641101</v>
      </c>
      <c r="BA74" s="2">
        <v>2.4923657482211401</v>
      </c>
      <c r="BB74" s="2">
        <v>634</v>
      </c>
    </row>
    <row r="75" spans="1:54" ht="15.75" customHeight="1" x14ac:dyDescent="0.15">
      <c r="A75" s="1" t="s">
        <v>232</v>
      </c>
      <c r="B75" s="1" t="s">
        <v>233</v>
      </c>
      <c r="C75" s="1" t="s">
        <v>234</v>
      </c>
      <c r="D75" s="1" t="s">
        <v>210</v>
      </c>
      <c r="E75" s="2">
        <v>574</v>
      </c>
      <c r="F75" s="2">
        <v>75076</v>
      </c>
      <c r="G75" s="2">
        <v>15090</v>
      </c>
      <c r="H75" s="2">
        <f t="shared" si="0"/>
        <v>90740</v>
      </c>
      <c r="I75" s="2">
        <v>121675</v>
      </c>
      <c r="J75" s="2">
        <v>1205413</v>
      </c>
      <c r="K75" s="2">
        <f t="shared" si="1"/>
        <v>7.5277104195823341E-2</v>
      </c>
      <c r="M75" s="2">
        <v>0.85937739277271796</v>
      </c>
      <c r="N75" s="2">
        <v>0.76515893998894102</v>
      </c>
      <c r="O75" s="2">
        <v>30.0136145120272</v>
      </c>
      <c r="P75" s="2">
        <v>39.2253333829713</v>
      </c>
      <c r="Q75" s="2">
        <v>32.388269481403299</v>
      </c>
      <c r="R75" s="2">
        <v>33.7093647332985</v>
      </c>
      <c r="S75" s="2">
        <v>9.6556207962308294E-2</v>
      </c>
      <c r="T75" s="2">
        <v>1296.7940393615399</v>
      </c>
      <c r="U75" s="2">
        <v>354.3</v>
      </c>
      <c r="V75" s="2">
        <v>548.70000000000005</v>
      </c>
      <c r="W75" s="2">
        <v>56.419118599408399</v>
      </c>
      <c r="X75" s="2">
        <v>2035.9937797191301</v>
      </c>
      <c r="Y75" s="2">
        <v>13.113381726947001</v>
      </c>
      <c r="Z75" s="2">
        <v>30.214322867513602</v>
      </c>
      <c r="AA75" s="2">
        <v>1.51053607331326</v>
      </c>
      <c r="AB75" s="2">
        <v>0.89566552467176896</v>
      </c>
      <c r="AC75" s="2">
        <v>0.88701601032779698</v>
      </c>
      <c r="AD75" s="2">
        <v>1.6030689301733201</v>
      </c>
      <c r="AE75" s="2">
        <v>0.64224992499007405</v>
      </c>
      <c r="AF75" s="2">
        <v>0.61673968011629998</v>
      </c>
      <c r="AG75" s="2">
        <v>0.99251183287052702</v>
      </c>
      <c r="AH75" s="2">
        <v>0.94334198830634897</v>
      </c>
      <c r="AI75" s="2">
        <v>-0.48673173933187802</v>
      </c>
      <c r="AJ75" s="2">
        <v>0.97734717870305499</v>
      </c>
      <c r="AK75" s="2">
        <v>3.7665420892710799E-2</v>
      </c>
      <c r="AL75" s="2">
        <v>5.0535197115281498</v>
      </c>
      <c r="AM75" s="2">
        <v>5.2558706148469199</v>
      </c>
      <c r="AN75" s="2">
        <v>181.58188153310101</v>
      </c>
      <c r="AO75" s="2">
        <v>0.31634474134686602</v>
      </c>
      <c r="AP75" s="2">
        <v>54.080139372822302</v>
      </c>
      <c r="AQ75" s="2">
        <v>8.3723488205514194</v>
      </c>
      <c r="AR75" s="2">
        <v>62.013937282230003</v>
      </c>
      <c r="AS75" s="2">
        <v>4.9128919860627196</v>
      </c>
      <c r="AT75" s="2">
        <v>315.83972125435503</v>
      </c>
      <c r="AU75" s="2">
        <v>0.17281877167490201</v>
      </c>
      <c r="AV75" s="2">
        <v>4.0323577472157299E-2</v>
      </c>
      <c r="AW75" s="2">
        <v>0.442337598387258</v>
      </c>
      <c r="AX75" s="2">
        <v>3.1511689931140598E-2</v>
      </c>
      <c r="AY75" s="2">
        <v>42.974043509325</v>
      </c>
      <c r="AZ75" s="2">
        <v>5.4746376932808899E-2</v>
      </c>
      <c r="BA75" s="2">
        <v>2.0210260723296898</v>
      </c>
      <c r="BB75" s="2">
        <v>121</v>
      </c>
    </row>
    <row r="76" spans="1:54" ht="15.75" customHeight="1" x14ac:dyDescent="0.15">
      <c r="A76" s="1" t="s">
        <v>235</v>
      </c>
      <c r="B76" s="1" t="s">
        <v>236</v>
      </c>
      <c r="C76" s="1" t="s">
        <v>237</v>
      </c>
      <c r="D76" s="1" t="s">
        <v>210</v>
      </c>
      <c r="E76" s="2">
        <v>31605</v>
      </c>
      <c r="F76" s="2">
        <v>131242</v>
      </c>
      <c r="G76" s="2">
        <v>5899</v>
      </c>
      <c r="H76" s="2">
        <f t="shared" si="0"/>
        <v>168746</v>
      </c>
      <c r="I76" s="2">
        <v>207130</v>
      </c>
      <c r="J76" s="2">
        <v>1483570</v>
      </c>
      <c r="K76" s="2">
        <f t="shared" si="1"/>
        <v>0.11374320052306261</v>
      </c>
      <c r="M76" s="2">
        <v>0.75129438128075998</v>
      </c>
      <c r="N76" s="2">
        <v>0.62196176477348497</v>
      </c>
      <c r="O76" s="2">
        <v>31.388360363115599</v>
      </c>
      <c r="P76" s="2">
        <v>50.466704130192099</v>
      </c>
      <c r="Q76" s="2">
        <v>75.3923072998831</v>
      </c>
      <c r="R76" s="2">
        <v>37.915351254771799</v>
      </c>
      <c r="S76" s="2">
        <v>0.34627607148247302</v>
      </c>
      <c r="T76" s="2">
        <v>13924.789168434399</v>
      </c>
      <c r="U76" s="2">
        <v>544</v>
      </c>
      <c r="V76" s="2">
        <v>792.60000000000196</v>
      </c>
      <c r="W76" s="2">
        <v>741.77759261921506</v>
      </c>
      <c r="X76" s="2">
        <v>19851.1611461352</v>
      </c>
      <c r="Y76" s="2">
        <v>352.94559150482701</v>
      </c>
      <c r="Z76" s="2">
        <v>62.577790059088898</v>
      </c>
      <c r="AA76" s="2">
        <v>4.3785531199971901</v>
      </c>
      <c r="AB76" s="2">
        <v>0.86842576545491201</v>
      </c>
      <c r="AC76" s="2">
        <v>1.4467659857108</v>
      </c>
      <c r="AD76" s="2">
        <v>2.2391520761457602</v>
      </c>
      <c r="AE76" s="2">
        <v>0.55048719574220295</v>
      </c>
      <c r="AF76" s="2">
        <v>0.50184917762321801</v>
      </c>
      <c r="AG76" s="2">
        <v>0.99812375260041897</v>
      </c>
      <c r="AH76" s="2">
        <v>0.97159699169674396</v>
      </c>
      <c r="AI76" s="2">
        <v>-0.28047768177292898</v>
      </c>
      <c r="AJ76" s="2">
        <v>0.93671434808069798</v>
      </c>
      <c r="AK76" s="2">
        <v>1.51720429256873E-2</v>
      </c>
      <c r="AL76" s="2">
        <v>6.8689178769847201</v>
      </c>
      <c r="AM76" s="2">
        <v>7.8160437585588101</v>
      </c>
      <c r="AN76" s="2">
        <v>2490.9696250593302</v>
      </c>
      <c r="AO76" s="2">
        <v>7.8815681856014105E-2</v>
      </c>
      <c r="AP76" s="2">
        <v>2381.2660971365299</v>
      </c>
      <c r="AQ76" s="2">
        <v>18.973619848369101</v>
      </c>
      <c r="AR76" s="2">
        <v>745.45733270052199</v>
      </c>
      <c r="AS76" s="2">
        <v>62.879069767441898</v>
      </c>
      <c r="AT76" s="2">
        <v>44927.3117861098</v>
      </c>
      <c r="AU76" s="2">
        <v>9.3261159384692802E-2</v>
      </c>
      <c r="AV76" s="2">
        <v>1.56444441165875E-3</v>
      </c>
      <c r="AW76" s="2">
        <v>0.94670016548193903</v>
      </c>
      <c r="AX76" s="2">
        <v>6.1105666856316198E-4</v>
      </c>
      <c r="AY76" s="2">
        <v>745.59213434759204</v>
      </c>
      <c r="AZ76" s="2">
        <v>1.5599642341504599E-2</v>
      </c>
      <c r="BA76" s="2">
        <v>0.67105403073587999</v>
      </c>
      <c r="BB76" s="2">
        <v>5</v>
      </c>
    </row>
    <row r="77" spans="1:54" ht="15" x14ac:dyDescent="0.2">
      <c r="A77" s="3" t="s">
        <v>238</v>
      </c>
      <c r="B77" s="1" t="s">
        <v>239</v>
      </c>
      <c r="C77" s="1" t="s">
        <v>240</v>
      </c>
      <c r="D77" s="1" t="s">
        <v>210</v>
      </c>
      <c r="E77" s="2">
        <v>384</v>
      </c>
      <c r="F77" s="2">
        <v>36268</v>
      </c>
      <c r="G77" s="2">
        <v>1662</v>
      </c>
      <c r="H77" s="2">
        <f t="shared" si="0"/>
        <v>38314</v>
      </c>
      <c r="I77" s="2">
        <v>65433</v>
      </c>
      <c r="J77" s="2">
        <v>1449490</v>
      </c>
      <c r="K77" s="2">
        <f t="shared" si="1"/>
        <v>2.6432745310419527E-2</v>
      </c>
      <c r="M77" s="2">
        <v>0.64734629512670505</v>
      </c>
      <c r="N77" s="2">
        <v>0.62214307817306602</v>
      </c>
      <c r="O77" s="2">
        <v>12.398795834238699</v>
      </c>
      <c r="P77" s="2">
        <v>19.929171068893002</v>
      </c>
      <c r="Q77" s="2">
        <v>16.401219466856698</v>
      </c>
      <c r="R77" s="2">
        <v>12.9010750563942</v>
      </c>
      <c r="S77" s="2">
        <v>0.28004449224148498</v>
      </c>
      <c r="T77" s="2">
        <v>787.78622018828298</v>
      </c>
      <c r="U77" s="2">
        <v>354</v>
      </c>
      <c r="V77" s="2">
        <v>620.4</v>
      </c>
      <c r="W77" s="2">
        <v>80.603785856256494</v>
      </c>
      <c r="X77" s="2">
        <v>14523.851429644201</v>
      </c>
      <c r="Y77" s="2">
        <v>581.06021753459299</v>
      </c>
      <c r="Z77" s="2">
        <v>60.1879349809467</v>
      </c>
      <c r="AA77" s="2">
        <v>3.27700509599048</v>
      </c>
      <c r="AB77" s="2">
        <v>0.89510478202928101</v>
      </c>
      <c r="AC77" s="2">
        <v>1.3507668558817101</v>
      </c>
      <c r="AD77" s="2">
        <v>2.03983649490837</v>
      </c>
      <c r="AE77" s="2">
        <v>0.54813207763993699</v>
      </c>
      <c r="AF77" s="2">
        <v>0.49957028326400399</v>
      </c>
      <c r="AG77" s="2">
        <v>0.99338569002168498</v>
      </c>
      <c r="AH77" s="2">
        <v>0.94454830814027901</v>
      </c>
      <c r="AI77" s="2">
        <v>-0.415575613358655</v>
      </c>
      <c r="AJ77" s="2">
        <v>0.97429715723718802</v>
      </c>
      <c r="AK77" s="2">
        <v>3.08595862188909E-2</v>
      </c>
      <c r="AL77" s="2">
        <v>5.7861268385495697</v>
      </c>
      <c r="AM77" s="2">
        <v>6.0906632987852696</v>
      </c>
      <c r="AN77" s="2">
        <v>59.9895833333333</v>
      </c>
      <c r="AO77" s="2">
        <v>0.15622287326388901</v>
      </c>
      <c r="AP77" s="2">
        <v>38.96875</v>
      </c>
      <c r="AQ77" s="2">
        <v>17.3907809787326</v>
      </c>
      <c r="AR77" s="2">
        <v>76.9296875</v>
      </c>
      <c r="AS77" s="2">
        <v>16.6614583333333</v>
      </c>
      <c r="AT77" s="2">
        <v>912.81510416666697</v>
      </c>
      <c r="AU77" s="2">
        <v>0.50013894692693805</v>
      </c>
      <c r="AV77" s="2">
        <v>3.7685105648340302E-2</v>
      </c>
      <c r="AW77" s="2">
        <v>0.169342832041153</v>
      </c>
      <c r="AX77" s="2">
        <v>4.2475355629168203E-2</v>
      </c>
      <c r="AY77" s="2">
        <v>163.35311281875701</v>
      </c>
      <c r="AZ77" s="2">
        <v>5.5314063481067703E-2</v>
      </c>
      <c r="BA77" s="2">
        <v>11.222098850218201</v>
      </c>
      <c r="BB77" s="2">
        <v>558</v>
      </c>
    </row>
    <row r="78" spans="1:54" ht="15.75" customHeight="1" x14ac:dyDescent="0.15">
      <c r="A78" s="1" t="s">
        <v>241</v>
      </c>
      <c r="B78" s="1" t="s">
        <v>242</v>
      </c>
      <c r="C78" s="1" t="s">
        <v>243</v>
      </c>
      <c r="D78" s="1" t="s">
        <v>210</v>
      </c>
      <c r="E78" s="2">
        <v>10326</v>
      </c>
      <c r="F78" s="2">
        <v>112410</v>
      </c>
      <c r="G78" s="2">
        <v>47182</v>
      </c>
      <c r="H78" s="2">
        <f t="shared" si="0"/>
        <v>169918</v>
      </c>
      <c r="I78" s="2">
        <v>252439</v>
      </c>
      <c r="J78" s="2">
        <v>1530946</v>
      </c>
      <c r="K78" s="2">
        <f t="shared" si="1"/>
        <v>0.11098889183550563</v>
      </c>
      <c r="M78" s="2">
        <v>0.72708361511627495</v>
      </c>
      <c r="N78" s="2">
        <v>0.41096543797731999</v>
      </c>
      <c r="O78" s="2">
        <v>23.5024472682606</v>
      </c>
      <c r="P78" s="2">
        <v>57.188379110259</v>
      </c>
      <c r="Q78" s="2">
        <v>53.665631459994998</v>
      </c>
      <c r="R78" s="2">
        <v>41.580733426127203</v>
      </c>
      <c r="S78" s="2">
        <v>0.18774698146645699</v>
      </c>
      <c r="T78" s="2">
        <v>11736.107574329</v>
      </c>
      <c r="U78" s="2">
        <v>50</v>
      </c>
      <c r="V78" s="2">
        <v>269</v>
      </c>
      <c r="W78" s="2">
        <v>57.146875464495501</v>
      </c>
      <c r="X78" s="2">
        <v>3570.4375998872401</v>
      </c>
      <c r="Y78" s="2">
        <v>8.5461433267198501</v>
      </c>
      <c r="Z78" s="2">
        <v>38.046665995004197</v>
      </c>
      <c r="AA78" s="2">
        <v>2.1826307857538301</v>
      </c>
      <c r="AB78" s="2">
        <v>0.89130666437665396</v>
      </c>
      <c r="AC78" s="2">
        <v>1.0464132326604301</v>
      </c>
      <c r="AD78" s="2">
        <v>1.86340557889714</v>
      </c>
      <c r="AE78" s="2">
        <v>0.61739487276441096</v>
      </c>
      <c r="AF78" s="2">
        <v>0.58213604618489201</v>
      </c>
      <c r="AG78" s="2">
        <v>0.99344939068252003</v>
      </c>
      <c r="AH78" s="2">
        <v>0.94773513438799395</v>
      </c>
      <c r="AI78" s="2">
        <v>-0.33845712316700699</v>
      </c>
      <c r="AJ78" s="2">
        <v>0.94943810971670795</v>
      </c>
      <c r="AK78" s="2">
        <v>2.0308344601920401E-2</v>
      </c>
      <c r="AL78" s="2">
        <v>6.0626604292258097</v>
      </c>
      <c r="AM78" s="2">
        <v>7.4775535503403097</v>
      </c>
      <c r="AN78" s="2">
        <v>816.62773581251201</v>
      </c>
      <c r="AO78" s="2">
        <v>7.9084615128075894E-2</v>
      </c>
      <c r="AP78" s="2">
        <v>860.86325779585502</v>
      </c>
      <c r="AQ78" s="2">
        <v>10.7748782392063</v>
      </c>
      <c r="AR78" s="2">
        <v>60.036897152818099</v>
      </c>
      <c r="AS78" s="2">
        <v>62.828006972690297</v>
      </c>
      <c r="AT78" s="2">
        <v>3622.40393182258</v>
      </c>
      <c r="AU78" s="2">
        <v>9.5244862298948991</v>
      </c>
      <c r="AV78" s="2">
        <v>8.0047045397754202E-2</v>
      </c>
      <c r="AW78" s="2">
        <v>4.7658139210764201</v>
      </c>
      <c r="AX78" s="2">
        <v>1.7970885045287799E-3</v>
      </c>
      <c r="AY78" s="2">
        <v>93.357095599648403</v>
      </c>
      <c r="AZ78" s="2">
        <v>4.6604719058029598E-2</v>
      </c>
      <c r="BA78" s="2">
        <v>0.231001915600133</v>
      </c>
      <c r="BB78" s="2">
        <v>232</v>
      </c>
    </row>
    <row r="79" spans="1:54" ht="15.75" customHeight="1" x14ac:dyDescent="0.15">
      <c r="A79" s="1" t="s">
        <v>244</v>
      </c>
      <c r="B79" s="1" t="s">
        <v>245</v>
      </c>
      <c r="C79" s="1" t="s">
        <v>246</v>
      </c>
      <c r="D79" s="1" t="s">
        <v>210</v>
      </c>
      <c r="E79" s="2">
        <v>10590</v>
      </c>
      <c r="F79" s="2">
        <v>57158</v>
      </c>
      <c r="G79" s="2">
        <v>7337</v>
      </c>
      <c r="H79" s="2">
        <f t="shared" si="0"/>
        <v>75085</v>
      </c>
      <c r="I79" s="2">
        <v>165729</v>
      </c>
      <c r="J79" s="2">
        <v>1369388</v>
      </c>
      <c r="K79" s="2">
        <f t="shared" si="1"/>
        <v>5.4831063219481987E-2</v>
      </c>
      <c r="M79" s="2">
        <v>0.68784893825165605</v>
      </c>
      <c r="N79" s="2">
        <v>0.47830759319301203</v>
      </c>
      <c r="O79" s="2">
        <v>20.409990599022599</v>
      </c>
      <c r="P79" s="2">
        <v>42.671266125575798</v>
      </c>
      <c r="Q79" s="2">
        <v>37.8549864614954</v>
      </c>
      <c r="R79" s="2">
        <v>29.3513850983312</v>
      </c>
      <c r="S79" s="2">
        <v>0.30967748654663302</v>
      </c>
      <c r="T79" s="2">
        <v>7412.00181541854</v>
      </c>
      <c r="U79" s="2">
        <v>430</v>
      </c>
      <c r="V79" s="2">
        <v>739</v>
      </c>
      <c r="W79" s="2">
        <v>239.736949089186</v>
      </c>
      <c r="X79" s="2">
        <v>51819.324827039498</v>
      </c>
      <c r="Y79" s="2">
        <v>1520.8700211559101</v>
      </c>
      <c r="Z79" s="2">
        <v>106.691860943446</v>
      </c>
      <c r="AA79" s="2">
        <v>5.1028594826004401</v>
      </c>
      <c r="AB79" s="2">
        <v>0.90867994498475602</v>
      </c>
      <c r="AC79" s="2">
        <v>1.5273106348583301</v>
      </c>
      <c r="AD79" s="2">
        <v>2.3260495784760602</v>
      </c>
      <c r="AE79" s="2">
        <v>0.5465470051129</v>
      </c>
      <c r="AF79" s="2">
        <v>0.49744363065120201</v>
      </c>
      <c r="AG79" s="2">
        <v>0.99636410983422896</v>
      </c>
      <c r="AH79" s="2">
        <v>0.96201092243120701</v>
      </c>
      <c r="AI79" s="2">
        <v>-0.29872052609495298</v>
      </c>
      <c r="AJ79" s="2">
        <v>0.95102845588678697</v>
      </c>
      <c r="AK79" s="2">
        <v>1.6308879263769501E-2</v>
      </c>
      <c r="AL79" s="2">
        <v>6.9723417345677499</v>
      </c>
      <c r="AM79" s="2">
        <v>7.6763057200106104</v>
      </c>
      <c r="AN79" s="2">
        <v>880.34447592068</v>
      </c>
      <c r="AO79" s="2">
        <v>8.3129789983066998E-2</v>
      </c>
      <c r="AP79" s="2">
        <v>841.38243626062297</v>
      </c>
      <c r="AQ79" s="2">
        <v>25.9563234776158</v>
      </c>
      <c r="AR79" s="2">
        <v>232.61255901794101</v>
      </c>
      <c r="AS79" s="2">
        <v>55.098205854579803</v>
      </c>
      <c r="AT79" s="2">
        <v>9695.3247403210607</v>
      </c>
      <c r="AU79" s="2">
        <v>0.40145516391487701</v>
      </c>
      <c r="AV79" s="2">
        <v>6.5935796944574096E-3</v>
      </c>
      <c r="AW79" s="2">
        <v>1.05875158290035</v>
      </c>
      <c r="AX79" s="2">
        <v>1.65739400815777E-3</v>
      </c>
      <c r="AY79" s="2">
        <v>494.72132662387997</v>
      </c>
      <c r="AZ79" s="2">
        <v>3.72509098640059E-2</v>
      </c>
      <c r="BA79" s="2">
        <v>1.2463249175947599</v>
      </c>
      <c r="BB79" s="2">
        <v>99</v>
      </c>
    </row>
    <row r="80" spans="1:54" ht="15.75" customHeight="1" x14ac:dyDescent="0.15">
      <c r="A80" s="1" t="s">
        <v>247</v>
      </c>
      <c r="B80" s="1" t="s">
        <v>248</v>
      </c>
      <c r="C80" s="1" t="s">
        <v>249</v>
      </c>
      <c r="D80" s="1" t="s">
        <v>210</v>
      </c>
      <c r="E80" s="2">
        <v>17111</v>
      </c>
      <c r="F80" s="2">
        <v>34935</v>
      </c>
      <c r="G80" s="2">
        <v>39514</v>
      </c>
      <c r="H80" s="2">
        <f t="shared" si="0"/>
        <v>91560</v>
      </c>
      <c r="I80" s="2">
        <v>114026</v>
      </c>
      <c r="J80" s="2">
        <v>1275150</v>
      </c>
      <c r="K80" s="2">
        <f t="shared" si="1"/>
        <v>7.1803317256793314E-2</v>
      </c>
      <c r="M80" s="2">
        <v>0.74560636162540594</v>
      </c>
      <c r="N80" s="2">
        <v>0.63735229217898204</v>
      </c>
      <c r="O80" s="2">
        <v>28.866757367344999</v>
      </c>
      <c r="P80" s="2">
        <v>45.2916820439372</v>
      </c>
      <c r="Q80" s="2">
        <v>56.293871780150297</v>
      </c>
      <c r="R80" s="2">
        <v>33.7697662606747</v>
      </c>
      <c r="S80" s="2">
        <v>0.25216589649590698</v>
      </c>
      <c r="T80" s="2">
        <v>12581.1242971252</v>
      </c>
      <c r="U80" s="2">
        <v>233</v>
      </c>
      <c r="V80" s="2">
        <v>607</v>
      </c>
      <c r="W80" s="2">
        <v>158.82807937907901</v>
      </c>
      <c r="X80" s="2">
        <v>38191.276060077602</v>
      </c>
      <c r="Y80" s="2">
        <v>202.77173702728999</v>
      </c>
      <c r="Z80" s="2">
        <v>125.801834189239</v>
      </c>
      <c r="AA80" s="2">
        <v>4.6749442229130302</v>
      </c>
      <c r="AB80" s="2">
        <v>0.92819669523218895</v>
      </c>
      <c r="AC80" s="2">
        <v>1.3419198417120499</v>
      </c>
      <c r="AD80" s="2">
        <v>2.2378518108535701</v>
      </c>
      <c r="AE80" s="2">
        <v>0.60289226978902499</v>
      </c>
      <c r="AF80" s="2">
        <v>0.56214496990941498</v>
      </c>
      <c r="AG80" s="2">
        <v>0.99562033415367102</v>
      </c>
      <c r="AH80" s="2">
        <v>0.961976338655392</v>
      </c>
      <c r="AI80" s="2">
        <v>-0.37784743136351401</v>
      </c>
      <c r="AJ80" s="2">
        <v>0.97912382804479803</v>
      </c>
      <c r="AK80" s="2">
        <v>1.4788983426797599E-2</v>
      </c>
      <c r="AL80" s="2">
        <v>7.0631257855916996</v>
      </c>
      <c r="AM80" s="2">
        <v>8.2666935898816494</v>
      </c>
      <c r="AN80" s="2">
        <v>1103.100753901</v>
      </c>
      <c r="AO80" s="2">
        <v>6.4467345795161002E-2</v>
      </c>
      <c r="AP80" s="2">
        <v>947.10227339138601</v>
      </c>
      <c r="AQ80" s="2">
        <v>31.680829651874301</v>
      </c>
      <c r="AR80" s="2">
        <v>167.302378586874</v>
      </c>
      <c r="AS80" s="2">
        <v>95.790018117000798</v>
      </c>
      <c r="AT80" s="2">
        <v>12741.575302437001</v>
      </c>
      <c r="AU80" s="2">
        <v>3.8644019323448999</v>
      </c>
      <c r="AV80" s="2">
        <v>2.6713654855956701E-2</v>
      </c>
      <c r="AW80" s="2">
        <v>1.42867005064811</v>
      </c>
      <c r="AX80" s="2">
        <v>1.80776496951913E-3</v>
      </c>
      <c r="AY80" s="2">
        <v>302.58963984596699</v>
      </c>
      <c r="AZ80" s="2">
        <v>4.2333435052386903E-2</v>
      </c>
      <c r="BA80" s="2">
        <v>0.79286271550002396</v>
      </c>
      <c r="BB80" s="2">
        <v>71</v>
      </c>
    </row>
    <row r="81" spans="1:54" ht="15.75" customHeight="1" x14ac:dyDescent="0.15">
      <c r="A81" s="1" t="s">
        <v>250</v>
      </c>
      <c r="B81" s="1" t="s">
        <v>251</v>
      </c>
      <c r="C81" s="1" t="s">
        <v>252</v>
      </c>
      <c r="D81" s="1" t="s">
        <v>210</v>
      </c>
      <c r="E81" s="2">
        <v>736</v>
      </c>
      <c r="F81" s="2">
        <v>48139</v>
      </c>
      <c r="G81" s="2">
        <v>17941</v>
      </c>
      <c r="H81" s="2">
        <f t="shared" si="0"/>
        <v>66816</v>
      </c>
      <c r="I81" s="2">
        <v>113055</v>
      </c>
      <c r="J81" s="2">
        <v>1236761</v>
      </c>
      <c r="K81" s="2">
        <f t="shared" si="1"/>
        <v>5.4024989468458337E-2</v>
      </c>
      <c r="M81" s="2">
        <v>0.93413554473348703</v>
      </c>
      <c r="N81" s="2">
        <v>0.60963486498240504</v>
      </c>
      <c r="O81" s="2">
        <v>18.072318303772001</v>
      </c>
      <c r="P81" s="2">
        <v>29.644495979234399</v>
      </c>
      <c r="Q81" s="2">
        <v>31.780497164141401</v>
      </c>
      <c r="R81" s="2">
        <v>27.691977399911799</v>
      </c>
      <c r="S81" s="2">
        <v>0.24619775141765601</v>
      </c>
      <c r="T81" s="2">
        <v>1331.6729747187701</v>
      </c>
      <c r="U81" s="2">
        <v>1100.5</v>
      </c>
      <c r="V81" s="2">
        <v>1763</v>
      </c>
      <c r="W81" s="2">
        <v>1332.8201919974999</v>
      </c>
      <c r="X81" s="2">
        <v>311167.77096689702</v>
      </c>
      <c r="Y81" s="2">
        <v>-5441.7895503004402</v>
      </c>
      <c r="Z81" s="2">
        <v>282.04283762194501</v>
      </c>
      <c r="AA81" s="2">
        <v>15.6266972056256</v>
      </c>
      <c r="AB81" s="2">
        <v>0.89097357151793999</v>
      </c>
      <c r="AC81" s="2">
        <v>3.0216558652210699</v>
      </c>
      <c r="AD81" s="2">
        <v>3.0753415690389998</v>
      </c>
      <c r="AE81" s="2">
        <v>0.37619113924457398</v>
      </c>
      <c r="AF81" s="2">
        <v>0.28943484462560998</v>
      </c>
      <c r="AG81" s="2">
        <v>0.99433962286868904</v>
      </c>
      <c r="AH81" s="2">
        <v>0.94701004875898298</v>
      </c>
      <c r="AI81" s="2">
        <v>-0.37825719229307903</v>
      </c>
      <c r="AJ81" s="2">
        <v>0.98651702406377895</v>
      </c>
      <c r="AK81" s="2">
        <v>5.4934365454743402E-3</v>
      </c>
      <c r="AL81" s="2">
        <v>7.8456070795426296</v>
      </c>
      <c r="AM81" s="2">
        <v>6.9532919224929701</v>
      </c>
      <c r="AN81" s="2">
        <v>197.54347826086999</v>
      </c>
      <c r="AO81" s="2">
        <v>0.26840146502835499</v>
      </c>
      <c r="AP81" s="2">
        <v>23.807065217391301</v>
      </c>
      <c r="AQ81" s="2">
        <v>110.206986944707</v>
      </c>
      <c r="AR81" s="2">
        <v>1116.3722826087001</v>
      </c>
      <c r="AS81" s="2">
        <v>7.1684782608695699</v>
      </c>
      <c r="AT81" s="2">
        <v>8759.1820652173901</v>
      </c>
      <c r="AU81" s="2">
        <v>1.1587456132400699E-2</v>
      </c>
      <c r="AV81" s="2">
        <v>3.35970886954247E-3</v>
      </c>
      <c r="AW81" s="2">
        <v>2.5631178352108399E-2</v>
      </c>
      <c r="AX81" s="2">
        <v>2.36893744343444E-2</v>
      </c>
      <c r="AY81" s="2">
        <v>1802.07257719469</v>
      </c>
      <c r="AZ81" s="2">
        <v>0.17430144993319799</v>
      </c>
      <c r="BA81" s="2">
        <v>23.454436319637001</v>
      </c>
      <c r="BB81" s="2">
        <v>187</v>
      </c>
    </row>
    <row r="82" spans="1:54" ht="15.75" customHeight="1" x14ac:dyDescent="0.15">
      <c r="A82" s="1" t="s">
        <v>253</v>
      </c>
      <c r="B82" s="1" t="s">
        <v>254</v>
      </c>
      <c r="C82" s="1" t="s">
        <v>255</v>
      </c>
      <c r="D82" s="1" t="s">
        <v>210</v>
      </c>
      <c r="E82" s="2">
        <v>11694</v>
      </c>
      <c r="F82" s="2">
        <v>17488</v>
      </c>
      <c r="G82" s="2">
        <v>14699</v>
      </c>
      <c r="H82" s="2">
        <f t="shared" si="0"/>
        <v>43881</v>
      </c>
      <c r="I82" s="2">
        <v>57907</v>
      </c>
      <c r="J82" s="2">
        <v>1403699</v>
      </c>
      <c r="K82" s="2">
        <f t="shared" si="1"/>
        <v>3.1260975465537841E-2</v>
      </c>
      <c r="M82" s="2">
        <v>0.866476821627714</v>
      </c>
      <c r="N82" s="2">
        <v>0.69604105347964895</v>
      </c>
      <c r="O82" s="2">
        <v>27.115514747837501</v>
      </c>
      <c r="P82" s="2">
        <v>38.956775052680499</v>
      </c>
      <c r="Q82" s="2">
        <v>48.5077313425396</v>
      </c>
      <c r="R82" s="2">
        <v>33.755142628512402</v>
      </c>
      <c r="S82" s="2">
        <v>0.23814881084088499</v>
      </c>
      <c r="T82" s="2">
        <v>10232.7439120584</v>
      </c>
      <c r="U82" s="2">
        <v>574</v>
      </c>
      <c r="V82" s="2">
        <v>1145</v>
      </c>
      <c r="W82" s="2">
        <v>475.80121093132402</v>
      </c>
      <c r="X82" s="2">
        <v>247259.64578907401</v>
      </c>
      <c r="Y82" s="2">
        <v>2715.8975469837701</v>
      </c>
      <c r="Z82" s="2">
        <v>318.60813384922398</v>
      </c>
      <c r="AA82" s="2">
        <v>12.778718725752</v>
      </c>
      <c r="AB82" s="2">
        <v>0.92313953051925302</v>
      </c>
      <c r="AC82" s="2">
        <v>2.5642139729398501</v>
      </c>
      <c r="AD82" s="2">
        <v>2.9208169336858298</v>
      </c>
      <c r="AE82" s="2">
        <v>0.423765737471615</v>
      </c>
      <c r="AF82" s="2">
        <v>0.34731924926521102</v>
      </c>
      <c r="AG82" s="2">
        <v>0.99362798587513901</v>
      </c>
      <c r="AH82" s="2">
        <v>0.94741034558731596</v>
      </c>
      <c r="AI82" s="2">
        <v>-0.29838271879568501</v>
      </c>
      <c r="AJ82" s="2">
        <v>0.97251444662044195</v>
      </c>
      <c r="AK82" s="2">
        <v>3.6427797004748201E-3</v>
      </c>
      <c r="AL82" s="2">
        <v>8.6724692880851997</v>
      </c>
      <c r="AM82" s="2">
        <v>8.0160822243390104</v>
      </c>
      <c r="AN82" s="2">
        <v>1701.20882503848</v>
      </c>
      <c r="AO82" s="2">
        <v>0.145477067302761</v>
      </c>
      <c r="AP82" s="2">
        <v>398.14571575166798</v>
      </c>
      <c r="AQ82" s="2">
        <v>79.878158512977706</v>
      </c>
      <c r="AR82" s="2">
        <v>428.56208311954902</v>
      </c>
      <c r="AS82" s="2">
        <v>21.236873610398501</v>
      </c>
      <c r="AT82" s="2">
        <v>8020.9682743287203</v>
      </c>
      <c r="AU82" s="2">
        <v>0.16128213512635001</v>
      </c>
      <c r="AV82" s="2">
        <v>7.1534958529374101E-3</v>
      </c>
      <c r="AW82" s="2">
        <v>0.81749697402173804</v>
      </c>
      <c r="AX82" s="2">
        <v>2.2530944963610701E-3</v>
      </c>
      <c r="AY82" s="2">
        <v>900.31836374254306</v>
      </c>
      <c r="AZ82" s="2">
        <v>0.10108542868970199</v>
      </c>
      <c r="BA82" s="2">
        <v>1.6077682009948799</v>
      </c>
      <c r="BB82" s="2">
        <v>254</v>
      </c>
    </row>
    <row r="83" spans="1:54" ht="15.75" customHeight="1" x14ac:dyDescent="0.15">
      <c r="A83" s="1" t="s">
        <v>256</v>
      </c>
      <c r="B83" s="1" t="s">
        <v>257</v>
      </c>
      <c r="C83" s="1" t="s">
        <v>258</v>
      </c>
      <c r="D83" s="1" t="s">
        <v>210</v>
      </c>
      <c r="E83" s="2">
        <v>11908</v>
      </c>
      <c r="F83" s="2">
        <v>160681</v>
      </c>
      <c r="G83" s="2">
        <v>50410</v>
      </c>
      <c r="H83" s="2">
        <f t="shared" si="0"/>
        <v>222999</v>
      </c>
      <c r="I83" s="2">
        <v>308683</v>
      </c>
      <c r="J83" s="2">
        <v>1514749</v>
      </c>
      <c r="K83" s="2">
        <f t="shared" si="1"/>
        <v>0.1472184500534412</v>
      </c>
      <c r="M83" s="2">
        <v>0.48001312861253498</v>
      </c>
      <c r="N83" s="2">
        <v>0.45761626136071898</v>
      </c>
      <c r="O83" s="2">
        <v>21.3354500285105</v>
      </c>
      <c r="P83" s="2">
        <v>46.623015460747901</v>
      </c>
      <c r="Q83" s="2">
        <v>45.044422518220799</v>
      </c>
      <c r="R83" s="2">
        <v>22.379659516664201</v>
      </c>
      <c r="S83" s="2">
        <v>0.59372191112137096</v>
      </c>
      <c r="T83" s="2">
        <v>4234.8741428417898</v>
      </c>
      <c r="U83" s="2">
        <v>695</v>
      </c>
      <c r="V83" s="2">
        <v>792</v>
      </c>
      <c r="W83" s="2">
        <v>118.102846794869</v>
      </c>
      <c r="X83" s="2">
        <v>301.205307416415</v>
      </c>
      <c r="Y83" s="2">
        <v>-27.476150965741098</v>
      </c>
      <c r="Z83" s="2">
        <v>7.7107711368506404</v>
      </c>
      <c r="AA83" s="2">
        <v>1.0499733938732101</v>
      </c>
      <c r="AB83" s="2">
        <v>0.75793343242210898</v>
      </c>
      <c r="AC83" s="2">
        <v>0.67282155362646501</v>
      </c>
      <c r="AD83" s="2">
        <v>1.4990559298741</v>
      </c>
      <c r="AE83" s="2">
        <v>0.71755372339288603</v>
      </c>
      <c r="AF83" s="2">
        <v>0.700631518949419</v>
      </c>
      <c r="AG83" s="2">
        <v>0.99394961592779196</v>
      </c>
      <c r="AH83" s="2">
        <v>0.953668601937261</v>
      </c>
      <c r="AI83" s="2">
        <v>-0.253022173375891</v>
      </c>
      <c r="AJ83" s="2">
        <v>0.82313635470936597</v>
      </c>
      <c r="AK83" s="2">
        <v>0.10324021829779501</v>
      </c>
      <c r="AL83" s="2">
        <v>4.1436521100185599</v>
      </c>
      <c r="AM83" s="2">
        <v>6.4802533999247798</v>
      </c>
      <c r="AN83" s="2">
        <v>543.02872018810899</v>
      </c>
      <c r="AO83" s="2">
        <v>4.5602008749421302E-2</v>
      </c>
      <c r="AP83" s="2">
        <v>2555.9284514612</v>
      </c>
      <c r="AQ83" s="2">
        <v>2.6726642798573601</v>
      </c>
      <c r="AR83" s="2">
        <v>114.094978165939</v>
      </c>
      <c r="AS83" s="2">
        <v>192.01881088344001</v>
      </c>
      <c r="AT83" s="2">
        <v>25431.531323480001</v>
      </c>
      <c r="AU83" s="2">
        <v>1.50685570816113</v>
      </c>
      <c r="AV83" s="2">
        <v>1.0180042151591301E-2</v>
      </c>
      <c r="AW83" s="2">
        <v>4.9770527842326997</v>
      </c>
      <c r="AX83" s="2">
        <v>1.0453720362296501E-3</v>
      </c>
      <c r="AY83" s="2">
        <v>43.564346405967001</v>
      </c>
      <c r="AZ83" s="2">
        <v>1.6043567574468301E-2</v>
      </c>
      <c r="BA83" s="2">
        <v>0.136703841561154</v>
      </c>
      <c r="BB83" s="2">
        <v>448</v>
      </c>
    </row>
    <row r="84" spans="1:54" ht="15.75" customHeight="1" x14ac:dyDescent="0.15">
      <c r="A84" s="1" t="s">
        <v>259</v>
      </c>
      <c r="B84" s="1" t="s">
        <v>260</v>
      </c>
      <c r="C84" s="1" t="s">
        <v>261</v>
      </c>
      <c r="D84" s="1" t="s">
        <v>210</v>
      </c>
      <c r="E84" s="2">
        <v>76834</v>
      </c>
      <c r="F84" s="2">
        <v>60217</v>
      </c>
      <c r="G84" s="2">
        <v>39005</v>
      </c>
      <c r="H84" s="2">
        <f t="shared" si="0"/>
        <v>176056</v>
      </c>
      <c r="I84" s="2">
        <v>249576</v>
      </c>
      <c r="J84" s="2">
        <v>1523643</v>
      </c>
      <c r="K84" s="2">
        <f t="shared" si="1"/>
        <v>0.11554937738039685</v>
      </c>
      <c r="M84" s="2">
        <v>0.73362648562672095</v>
      </c>
      <c r="N84" s="2">
        <v>0.53523026254004802</v>
      </c>
      <c r="O84" s="2">
        <v>36.266679448277998</v>
      </c>
      <c r="P84" s="2">
        <v>67.7590225862171</v>
      </c>
      <c r="Q84" s="2">
        <v>73.334848469196402</v>
      </c>
      <c r="R84" s="2">
        <v>49.709813609427997</v>
      </c>
      <c r="S84" s="2">
        <v>0.44055734550176301</v>
      </c>
      <c r="T84" s="2">
        <v>19773.363805473899</v>
      </c>
      <c r="U84" s="2">
        <v>808</v>
      </c>
      <c r="V84" s="2">
        <v>1228</v>
      </c>
      <c r="W84" s="2">
        <v>964.06596356627995</v>
      </c>
      <c r="X84" s="2">
        <v>134364.75182786401</v>
      </c>
      <c r="Y84" s="2">
        <v>-3549.0915139253798</v>
      </c>
      <c r="Z84" s="2">
        <v>150.938182968002</v>
      </c>
      <c r="AA84" s="2">
        <v>2.9326864718388701</v>
      </c>
      <c r="AB84" s="2">
        <v>0.96047234094170297</v>
      </c>
      <c r="AC84" s="2">
        <v>0.95795153547129097</v>
      </c>
      <c r="AD84" s="2">
        <v>1.8840426009114899</v>
      </c>
      <c r="AE84" s="2">
        <v>0.70435652315149599</v>
      </c>
      <c r="AF84" s="2">
        <v>0.67777851475133899</v>
      </c>
      <c r="AG84" s="2">
        <v>0.99810132803014595</v>
      </c>
      <c r="AH84" s="2">
        <v>0.97717602919687696</v>
      </c>
      <c r="AI84" s="2">
        <v>-0.46340315881295602</v>
      </c>
      <c r="AJ84" s="2">
        <v>0.98075277262191496</v>
      </c>
      <c r="AK84" s="2">
        <v>6.8484238053395E-2</v>
      </c>
      <c r="AL84" s="2">
        <v>5.5622813053292797</v>
      </c>
      <c r="AM84" s="2">
        <v>7.7989638716680902</v>
      </c>
      <c r="AN84" s="2">
        <v>3204.0974047947502</v>
      </c>
      <c r="AO84" s="2">
        <v>4.1701556664949797E-2</v>
      </c>
      <c r="AP84" s="2">
        <v>9622.8974932972396</v>
      </c>
      <c r="AQ84" s="2">
        <v>48.672215664983099</v>
      </c>
      <c r="AR84" s="2">
        <v>933.80479995835196</v>
      </c>
      <c r="AS84" s="2">
        <v>241.20881380638801</v>
      </c>
      <c r="AT84" s="2">
        <v>269615.033969337</v>
      </c>
      <c r="AU84" s="2">
        <v>0.230034335971075</v>
      </c>
      <c r="AV84" s="2">
        <v>2.3100270943906599E-3</v>
      </c>
      <c r="AW84" s="2">
        <v>1.77802531304657</v>
      </c>
      <c r="AX84" s="2">
        <v>3.11081673386869E-4</v>
      </c>
      <c r="AY84" s="2">
        <v>383.22330573430997</v>
      </c>
      <c r="AZ84" s="2">
        <v>3.3313043850839899E-2</v>
      </c>
      <c r="BA84" s="2">
        <v>0.54129691195457996</v>
      </c>
      <c r="BB84" s="2">
        <v>434</v>
      </c>
    </row>
    <row r="85" spans="1:54" ht="15.75" customHeight="1" x14ac:dyDescent="0.15">
      <c r="A85" s="1" t="s">
        <v>262</v>
      </c>
      <c r="B85" s="1" t="s">
        <v>263</v>
      </c>
      <c r="C85" s="1" t="s">
        <v>264</v>
      </c>
      <c r="D85" s="1" t="s">
        <v>210</v>
      </c>
      <c r="E85" s="2">
        <v>4556</v>
      </c>
      <c r="F85" s="2">
        <v>87165</v>
      </c>
      <c r="G85" s="2">
        <v>40450</v>
      </c>
      <c r="H85" s="2">
        <f t="shared" si="0"/>
        <v>132171</v>
      </c>
      <c r="I85" s="2">
        <v>156040</v>
      </c>
      <c r="J85" s="2">
        <v>1273969</v>
      </c>
      <c r="K85" s="2">
        <f t="shared" si="1"/>
        <v>0.10374742242550643</v>
      </c>
      <c r="M85" s="2">
        <v>0.83205232696057696</v>
      </c>
      <c r="N85" s="2">
        <v>0.67263556409484004</v>
      </c>
      <c r="O85" s="2">
        <v>24.1242411451884</v>
      </c>
      <c r="P85" s="2">
        <v>35.865247740285902</v>
      </c>
      <c r="Q85" s="2">
        <v>50.289163842720598</v>
      </c>
      <c r="R85" s="2">
        <v>29.841762839322399</v>
      </c>
      <c r="S85" s="2">
        <v>0.30052406222786099</v>
      </c>
      <c r="T85" s="2">
        <v>4362.9883823943401</v>
      </c>
      <c r="U85" s="2">
        <v>529</v>
      </c>
      <c r="V85" s="2">
        <v>853</v>
      </c>
      <c r="W85" s="2">
        <v>355.05715451066101</v>
      </c>
      <c r="X85" s="2">
        <v>15046.140922005799</v>
      </c>
      <c r="Y85" s="2">
        <v>-214.26550603597701</v>
      </c>
      <c r="Z85" s="2">
        <v>81.059070362581707</v>
      </c>
      <c r="AA85" s="2">
        <v>6.6010051543235599</v>
      </c>
      <c r="AB85" s="2">
        <v>0.84867666533219999</v>
      </c>
      <c r="AC85" s="2">
        <v>1.9268920808632499</v>
      </c>
      <c r="AD85" s="2">
        <v>2.5201686399311001</v>
      </c>
      <c r="AE85" s="2">
        <v>0.47058479066729397</v>
      </c>
      <c r="AF85" s="2">
        <v>0.40162020512095498</v>
      </c>
      <c r="AG85" s="2">
        <v>0.99185044652832299</v>
      </c>
      <c r="AH85" s="2">
        <v>0.93844189568370895</v>
      </c>
      <c r="AI85" s="2">
        <v>-0.241011325785601</v>
      </c>
      <c r="AJ85" s="2">
        <v>0.92165668692240998</v>
      </c>
      <c r="AK85" s="2">
        <v>7.7061068949555002E-3</v>
      </c>
      <c r="AL85" s="2">
        <v>7.3851335843618902</v>
      </c>
      <c r="AM85" s="2">
        <v>7.1429793962077301</v>
      </c>
      <c r="AN85" s="2">
        <v>592.72036874451305</v>
      </c>
      <c r="AO85" s="2">
        <v>0.13009665687983199</v>
      </c>
      <c r="AP85" s="2">
        <v>261.58516242317802</v>
      </c>
      <c r="AQ85" s="2">
        <v>22.588248012635301</v>
      </c>
      <c r="AR85" s="2">
        <v>316.59482001755902</v>
      </c>
      <c r="AS85" s="2">
        <v>24.9192273924495</v>
      </c>
      <c r="AT85" s="2">
        <v>10285.970588235299</v>
      </c>
      <c r="AU85" s="2">
        <v>8.3741185374180904E-2</v>
      </c>
      <c r="AV85" s="2">
        <v>4.8323826620348303E-3</v>
      </c>
      <c r="AW85" s="2">
        <v>0.65680913776799998</v>
      </c>
      <c r="AX85" s="2">
        <v>3.9648848820806699E-3</v>
      </c>
      <c r="AY85" s="2">
        <v>275.922503854941</v>
      </c>
      <c r="AZ85" s="2">
        <v>7.06793774934419E-2</v>
      </c>
      <c r="BA85" s="2">
        <v>0.94142074790379704</v>
      </c>
      <c r="BB85" s="2">
        <v>476</v>
      </c>
    </row>
    <row r="86" spans="1:54" ht="15.75" customHeight="1" x14ac:dyDescent="0.15">
      <c r="A86" s="1" t="s">
        <v>265</v>
      </c>
      <c r="B86" s="1" t="s">
        <v>266</v>
      </c>
      <c r="C86" s="1" t="s">
        <v>267</v>
      </c>
      <c r="D86" s="1" t="s">
        <v>210</v>
      </c>
      <c r="E86" s="2">
        <v>35617</v>
      </c>
      <c r="F86" s="2">
        <v>87050</v>
      </c>
      <c r="G86" s="2">
        <v>26937</v>
      </c>
      <c r="H86" s="2">
        <f t="shared" si="0"/>
        <v>149604</v>
      </c>
      <c r="I86" s="2">
        <v>215842</v>
      </c>
      <c r="J86" s="2">
        <v>1455027</v>
      </c>
      <c r="K86" s="2">
        <f t="shared" si="1"/>
        <v>0.1028187105806284</v>
      </c>
      <c r="M86" s="2">
        <v>0.73996960251261401</v>
      </c>
      <c r="N86" s="2">
        <v>0.63812101464259596</v>
      </c>
      <c r="O86" s="2">
        <v>33.263381842898703</v>
      </c>
      <c r="P86" s="2">
        <v>52.1270747704949</v>
      </c>
      <c r="Q86" s="2">
        <v>61.1882341631134</v>
      </c>
      <c r="R86" s="2">
        <v>38.572450798068402</v>
      </c>
      <c r="S86" s="2">
        <v>0.35401590688274398</v>
      </c>
      <c r="T86" s="2">
        <v>14759.694877689401</v>
      </c>
      <c r="U86" s="2">
        <v>601</v>
      </c>
      <c r="V86" s="2">
        <v>1720</v>
      </c>
      <c r="W86" s="2">
        <v>2767.6235274987998</v>
      </c>
      <c r="X86" s="2">
        <v>3039238.90279319</v>
      </c>
      <c r="Y86" s="2">
        <v>-13056.287277524299</v>
      </c>
      <c r="Z86" s="2">
        <v>1057.6318900307499</v>
      </c>
      <c r="AA86" s="2">
        <v>47.075045495141801</v>
      </c>
      <c r="AB86" s="2">
        <v>0.91472284165249196</v>
      </c>
      <c r="AC86" s="2">
        <v>5.0118103140183203</v>
      </c>
      <c r="AD86" s="2">
        <v>3.82067650448018</v>
      </c>
      <c r="AE86" s="2">
        <v>0.29962565450047102</v>
      </c>
      <c r="AF86" s="2">
        <v>0.211577689596467</v>
      </c>
      <c r="AG86" s="2">
        <v>0.99396027135405296</v>
      </c>
      <c r="AH86" s="2">
        <v>0.94780577513522302</v>
      </c>
      <c r="AI86" s="2">
        <v>-0.23759305765333999</v>
      </c>
      <c r="AJ86" s="2">
        <v>0.96774710268061503</v>
      </c>
      <c r="AK86" s="2">
        <v>9.1015772621639603E-4</v>
      </c>
      <c r="AL86" s="2">
        <v>10.628576599981599</v>
      </c>
      <c r="AM86" s="2">
        <v>8.5492874123514593</v>
      </c>
      <c r="AN86" s="2">
        <v>7100.1211500126401</v>
      </c>
      <c r="AO86" s="2">
        <v>0.199346411826168</v>
      </c>
      <c r="AP86" s="2">
        <v>618.86394137630896</v>
      </c>
      <c r="AQ86" s="2">
        <v>276.86332874903798</v>
      </c>
      <c r="AR86" s="2">
        <v>2679.9934581800799</v>
      </c>
      <c r="AS86" s="2">
        <v>13.006850661201099</v>
      </c>
      <c r="AT86" s="2">
        <v>46440.978212651302</v>
      </c>
      <c r="AU86" s="2">
        <v>1.47543921203761E-2</v>
      </c>
      <c r="AV86" s="2">
        <v>1.21653092549494E-3</v>
      </c>
      <c r="AW86" s="2">
        <v>0.377265470200359</v>
      </c>
      <c r="AX86" s="2">
        <v>6.4635396773013605E-4</v>
      </c>
      <c r="AY86" s="2">
        <v>7518.2317640568099</v>
      </c>
      <c r="AZ86" s="2">
        <v>0.19159742466218799</v>
      </c>
      <c r="BA86" s="2">
        <v>1.7601277765222501</v>
      </c>
      <c r="BB86" s="2">
        <v>428</v>
      </c>
    </row>
    <row r="87" spans="1:54" ht="15.75" customHeight="1" x14ac:dyDescent="0.15">
      <c r="A87" s="1" t="s">
        <v>268</v>
      </c>
      <c r="B87" s="1" t="s">
        <v>269</v>
      </c>
      <c r="C87" s="1" t="s">
        <v>270</v>
      </c>
      <c r="D87" s="1" t="s">
        <v>210</v>
      </c>
      <c r="E87" s="2">
        <v>8759</v>
      </c>
      <c r="F87" s="2">
        <v>70998</v>
      </c>
      <c r="G87" s="2">
        <v>50084</v>
      </c>
      <c r="H87" s="2">
        <f t="shared" si="0"/>
        <v>129841</v>
      </c>
      <c r="I87" s="2">
        <v>231336</v>
      </c>
      <c r="J87" s="2">
        <v>1378776</v>
      </c>
      <c r="K87" s="2">
        <f t="shared" si="1"/>
        <v>9.4171206925562967E-2</v>
      </c>
      <c r="M87" s="2">
        <v>0.73632347593399805</v>
      </c>
      <c r="N87" s="2">
        <v>0.67581262949307797</v>
      </c>
      <c r="O87" s="2">
        <v>30.617524422217201</v>
      </c>
      <c r="P87" s="2">
        <v>45.304753249703502</v>
      </c>
      <c r="Q87" s="2">
        <v>51.224993899462802</v>
      </c>
      <c r="R87" s="2">
        <v>33.358953389153797</v>
      </c>
      <c r="S87" s="2">
        <v>0.20223537660656199</v>
      </c>
      <c r="T87" s="2">
        <v>9533.7995707083101</v>
      </c>
      <c r="U87" s="2">
        <v>462</v>
      </c>
      <c r="V87" s="2">
        <v>640</v>
      </c>
      <c r="W87" s="2">
        <v>343.06653913608102</v>
      </c>
      <c r="X87" s="2">
        <v>3262.8075587410299</v>
      </c>
      <c r="Y87" s="2">
        <v>-23.7805883899495</v>
      </c>
      <c r="Z87" s="2">
        <v>23.713516980574799</v>
      </c>
      <c r="AA87" s="2">
        <v>1.8331999476496399</v>
      </c>
      <c r="AB87" s="2">
        <v>0.85269638270800796</v>
      </c>
      <c r="AC87" s="2">
        <v>0.99965149527760799</v>
      </c>
      <c r="AD87" s="2">
        <v>1.76625871663844</v>
      </c>
      <c r="AE87" s="2">
        <v>0.61273373817393195</v>
      </c>
      <c r="AF87" s="2">
        <v>0.58027774551370903</v>
      </c>
      <c r="AG87" s="2">
        <v>0.99768134772744199</v>
      </c>
      <c r="AH87" s="2">
        <v>0.96645979342945398</v>
      </c>
      <c r="AI87" s="2">
        <v>-0.28761176272376199</v>
      </c>
      <c r="AJ87" s="2">
        <v>0.91322285785754598</v>
      </c>
      <c r="AK87" s="2">
        <v>3.1129717063540101E-2</v>
      </c>
      <c r="AL87" s="2">
        <v>5.6503029367137296</v>
      </c>
      <c r="AM87" s="2">
        <v>7.1678434534560997</v>
      </c>
      <c r="AN87" s="2">
        <v>708.20790044525597</v>
      </c>
      <c r="AO87" s="2">
        <v>8.0854880744977306E-2</v>
      </c>
      <c r="AP87" s="2">
        <v>957.43429615252899</v>
      </c>
      <c r="AQ87" s="2">
        <v>9.1761019647515791</v>
      </c>
      <c r="AR87" s="2">
        <v>327.80614225368203</v>
      </c>
      <c r="AS87" s="2">
        <v>55.247060166685699</v>
      </c>
      <c r="AT87" s="2">
        <v>18715.9449708871</v>
      </c>
      <c r="AU87" s="2">
        <v>0.172232231270666</v>
      </c>
      <c r="AV87" s="2">
        <v>3.7370880497597501E-3</v>
      </c>
      <c r="AW87" s="2">
        <v>0.76890182833901199</v>
      </c>
      <c r="AX87" s="2">
        <v>1.8657737683346999E-3</v>
      </c>
      <c r="AY87" s="2">
        <v>233.564996377905</v>
      </c>
      <c r="AZ87" s="2">
        <v>1.5214038360115201E-2</v>
      </c>
      <c r="BA87" s="2">
        <v>0.87374132896594403</v>
      </c>
      <c r="BB87" s="2">
        <v>67</v>
      </c>
    </row>
    <row r="88" spans="1:54" ht="15.75" customHeight="1" x14ac:dyDescent="0.15">
      <c r="A88" s="1" t="s">
        <v>271</v>
      </c>
      <c r="B88" s="1" t="s">
        <v>272</v>
      </c>
      <c r="C88" s="1" t="s">
        <v>273</v>
      </c>
      <c r="D88" s="1" t="s">
        <v>210</v>
      </c>
      <c r="E88" s="2">
        <v>7195</v>
      </c>
      <c r="F88" s="2">
        <v>129318</v>
      </c>
      <c r="G88" s="2">
        <v>49748</v>
      </c>
      <c r="H88" s="2">
        <f t="shared" si="0"/>
        <v>186261</v>
      </c>
      <c r="I88" s="2">
        <v>274679</v>
      </c>
      <c r="J88" s="2">
        <v>1259030</v>
      </c>
      <c r="K88" s="2">
        <f t="shared" si="1"/>
        <v>0.14794008085589699</v>
      </c>
      <c r="M88" s="2">
        <v>0.89993484791426803</v>
      </c>
      <c r="N88" s="2">
        <v>0.73129170549052502</v>
      </c>
      <c r="O88" s="2">
        <v>29.004753866102199</v>
      </c>
      <c r="P88" s="2">
        <v>39.662358602367497</v>
      </c>
      <c r="Q88" s="2">
        <v>53.150729063673197</v>
      </c>
      <c r="R88" s="2">
        <v>35.693538656742803</v>
      </c>
      <c r="S88" s="2">
        <v>0.26142282538499101</v>
      </c>
      <c r="T88" s="2">
        <v>6502.09403752246</v>
      </c>
      <c r="U88" s="2">
        <v>407</v>
      </c>
      <c r="V88" s="2">
        <v>623.6</v>
      </c>
      <c r="W88" s="2">
        <v>169.014840811836</v>
      </c>
      <c r="X88" s="2">
        <v>6653.29833215904</v>
      </c>
      <c r="Y88" s="2">
        <v>185.65334118963401</v>
      </c>
      <c r="Z88" s="2">
        <v>43.117760381552898</v>
      </c>
      <c r="AA88" s="2">
        <v>2.8481883501175198</v>
      </c>
      <c r="AB88" s="2">
        <v>0.87592107202431402</v>
      </c>
      <c r="AC88" s="2">
        <v>1.1592517882186699</v>
      </c>
      <c r="AD88" s="2">
        <v>2.0035843213566999</v>
      </c>
      <c r="AE88" s="2">
        <v>0.60095159783467</v>
      </c>
      <c r="AF88" s="2">
        <v>0.56369155171709195</v>
      </c>
      <c r="AG88" s="2">
        <v>0.99477414728630598</v>
      </c>
      <c r="AH88" s="2">
        <v>0.95428951724265798</v>
      </c>
      <c r="AI88" s="2">
        <v>-0.30926109750902597</v>
      </c>
      <c r="AJ88" s="2">
        <v>0.940561607316443</v>
      </c>
      <c r="AK88" s="2">
        <v>2.4176053963228899E-2</v>
      </c>
      <c r="AL88" s="2">
        <v>6.2165907771543303</v>
      </c>
      <c r="AM88" s="2">
        <v>7.4513889129202999</v>
      </c>
      <c r="AN88" s="2">
        <v>536.98082001389901</v>
      </c>
      <c r="AO88" s="2">
        <v>7.4632497569687095E-2</v>
      </c>
      <c r="AP88" s="2">
        <v>689.60236275191096</v>
      </c>
      <c r="AQ88" s="2">
        <v>11.544722364818799</v>
      </c>
      <c r="AR88" s="2">
        <v>166.842390548992</v>
      </c>
      <c r="AS88" s="2">
        <v>65.254343293954093</v>
      </c>
      <c r="AT88" s="2">
        <v>9657.7710910354399</v>
      </c>
      <c r="AU88" s="2">
        <v>0.55585762144536799</v>
      </c>
      <c r="AV88" s="2">
        <v>9.1108990864835707E-3</v>
      </c>
      <c r="AW88" s="2">
        <v>1.2054331876912701</v>
      </c>
      <c r="AX88" s="2">
        <v>2.6286760889534301E-3</v>
      </c>
      <c r="AY88" s="2">
        <v>135.99441856719</v>
      </c>
      <c r="AZ88" s="2">
        <v>2.8063847461009699E-2</v>
      </c>
      <c r="BA88" s="2">
        <v>0.57962910883205898</v>
      </c>
      <c r="BB88" s="2">
        <v>812</v>
      </c>
    </row>
    <row r="89" spans="1:54" ht="15.75" customHeight="1" x14ac:dyDescent="0.15">
      <c r="A89" s="1" t="s">
        <v>274</v>
      </c>
      <c r="B89" s="1" t="s">
        <v>275</v>
      </c>
      <c r="C89" s="1" t="s">
        <v>276</v>
      </c>
      <c r="D89" s="1" t="s">
        <v>210</v>
      </c>
      <c r="E89" s="2">
        <v>5985</v>
      </c>
      <c r="F89" s="2">
        <v>133610</v>
      </c>
      <c r="G89" s="2">
        <v>14523</v>
      </c>
      <c r="H89" s="2">
        <f t="shared" si="0"/>
        <v>154118</v>
      </c>
      <c r="I89" s="2">
        <v>331951</v>
      </c>
      <c r="J89" s="2">
        <v>1479276</v>
      </c>
      <c r="K89" s="2">
        <f t="shared" si="1"/>
        <v>0.10418474983708247</v>
      </c>
      <c r="M89" s="2">
        <v>0.37535813471579099</v>
      </c>
      <c r="N89" s="2">
        <v>0.28054158188149902</v>
      </c>
      <c r="O89" s="2">
        <v>20.458116679104499</v>
      </c>
      <c r="P89" s="2">
        <v>72.923651965953397</v>
      </c>
      <c r="Q89" s="2">
        <v>36.4005494464026</v>
      </c>
      <c r="R89" s="2">
        <v>27.372485978603802</v>
      </c>
      <c r="S89" s="2">
        <v>0.30078273141780398</v>
      </c>
      <c r="T89" s="2">
        <v>5142.3033596076302</v>
      </c>
      <c r="U89" s="2">
        <v>551</v>
      </c>
      <c r="V89" s="2">
        <v>977</v>
      </c>
      <c r="W89" s="2">
        <v>478.088676424749</v>
      </c>
      <c r="X89" s="2">
        <v>93971.523631482807</v>
      </c>
      <c r="Y89" s="2">
        <v>-483.97574768035201</v>
      </c>
      <c r="Z89" s="2">
        <v>155.93720620650899</v>
      </c>
      <c r="AA89" s="2">
        <v>9.8415156756599096</v>
      </c>
      <c r="AB89" s="2">
        <v>0.88003724652198101</v>
      </c>
      <c r="AC89" s="2">
        <v>2.2991581538516899</v>
      </c>
      <c r="AD89" s="2">
        <v>2.7673301200799498</v>
      </c>
      <c r="AE89" s="2">
        <v>0.44117880412365301</v>
      </c>
      <c r="AF89" s="2">
        <v>0.36731997658364501</v>
      </c>
      <c r="AG89" s="2">
        <v>0.99544920715426199</v>
      </c>
      <c r="AH89" s="2">
        <v>0.954143202309507</v>
      </c>
      <c r="AI89" s="2">
        <v>-0.26649911476062799</v>
      </c>
      <c r="AJ89" s="2">
        <v>0.95074085416364396</v>
      </c>
      <c r="AK89" s="2">
        <v>5.4367823532230301E-3</v>
      </c>
      <c r="AL89" s="2">
        <v>8.0764324626211508</v>
      </c>
      <c r="AM89" s="2">
        <v>7.7691746170362999</v>
      </c>
      <c r="AN89" s="2">
        <v>805.21754385964903</v>
      </c>
      <c r="AO89" s="2">
        <v>0.13453927215700101</v>
      </c>
      <c r="AP89" s="2">
        <v>269.06850459482001</v>
      </c>
      <c r="AQ89" s="2">
        <v>49.1123035659324</v>
      </c>
      <c r="AR89" s="2">
        <v>464.84294068504602</v>
      </c>
      <c r="AS89" s="2">
        <v>23.361570593149501</v>
      </c>
      <c r="AT89" s="2">
        <v>9849.4427736006692</v>
      </c>
      <c r="AU89" s="2">
        <v>0.19442440533559299</v>
      </c>
      <c r="AV89" s="2">
        <v>6.8283536357601699E-3</v>
      </c>
      <c r="AW89" s="2">
        <v>0.28647508518896098</v>
      </c>
      <c r="AX89" s="2">
        <v>3.15455533041786E-3</v>
      </c>
      <c r="AY89" s="2">
        <v>1115.67990588672</v>
      </c>
      <c r="AZ89" s="2">
        <v>6.0359272669535502E-2</v>
      </c>
      <c r="BA89" s="2">
        <v>2.8403189857281901</v>
      </c>
      <c r="BB89" s="2">
        <v>368</v>
      </c>
    </row>
    <row r="90" spans="1:54" ht="15.75" customHeight="1" x14ac:dyDescent="0.15">
      <c r="A90" s="1" t="s">
        <v>277</v>
      </c>
      <c r="B90" s="1" t="s">
        <v>278</v>
      </c>
      <c r="C90" s="1" t="s">
        <v>279</v>
      </c>
      <c r="D90" s="1" t="s">
        <v>210</v>
      </c>
      <c r="E90" s="2">
        <v>8969</v>
      </c>
      <c r="F90" s="2">
        <v>54524</v>
      </c>
      <c r="G90" s="2">
        <v>17276</v>
      </c>
      <c r="H90" s="2">
        <f t="shared" si="0"/>
        <v>80769</v>
      </c>
      <c r="I90" s="2">
        <v>139716</v>
      </c>
      <c r="J90" s="2">
        <v>1270163</v>
      </c>
      <c r="K90" s="2">
        <f t="shared" si="1"/>
        <v>6.3589476311308082E-2</v>
      </c>
      <c r="M90" s="2">
        <v>0.598076778210204</v>
      </c>
      <c r="N90" s="2">
        <v>0.47478618777237303</v>
      </c>
      <c r="O90" s="2">
        <v>28.345531655320801</v>
      </c>
      <c r="P90" s="2">
        <v>59.701677060813203</v>
      </c>
      <c r="Q90" s="2">
        <v>61.814237842102401</v>
      </c>
      <c r="R90" s="2">
        <v>35.706186670277198</v>
      </c>
      <c r="S90" s="2">
        <v>0.216932948652374</v>
      </c>
      <c r="T90" s="2">
        <v>9396.3699526048495</v>
      </c>
      <c r="U90" s="2">
        <v>281</v>
      </c>
      <c r="V90" s="2">
        <v>435</v>
      </c>
      <c r="W90" s="2">
        <v>75.912507446849702</v>
      </c>
      <c r="X90" s="2">
        <v>2330.5383227586699</v>
      </c>
      <c r="Y90" s="2">
        <v>141.344755629015</v>
      </c>
      <c r="Z90" s="2">
        <v>25.302442708115802</v>
      </c>
      <c r="AA90" s="2">
        <v>0.99766817115334105</v>
      </c>
      <c r="AB90" s="2">
        <v>0.92417397135556201</v>
      </c>
      <c r="AC90" s="2">
        <v>0.66536792366453401</v>
      </c>
      <c r="AD90" s="2">
        <v>1.4533343387850299</v>
      </c>
      <c r="AE90" s="2">
        <v>0.71385991138933003</v>
      </c>
      <c r="AF90" s="2">
        <v>0.699390961714774</v>
      </c>
      <c r="AG90" s="2">
        <v>0.99696580127432299</v>
      </c>
      <c r="AH90" s="2">
        <v>0.96582378369844202</v>
      </c>
      <c r="AI90" s="2">
        <v>-0.40483152096309699</v>
      </c>
      <c r="AJ90" s="2">
        <v>0.956838735107164</v>
      </c>
      <c r="AK90" s="2">
        <v>5.4598846482728502E-2</v>
      </c>
      <c r="AL90" s="2">
        <v>5.00726615604834</v>
      </c>
      <c r="AM90" s="2">
        <v>7.25453131555268</v>
      </c>
      <c r="AN90" s="2">
        <v>530.07169138142501</v>
      </c>
      <c r="AO90" s="2">
        <v>5.9100422720640498E-2</v>
      </c>
      <c r="AP90" s="2">
        <v>1333.19110268703</v>
      </c>
      <c r="AQ90" s="2">
        <v>6.09330352720358</v>
      </c>
      <c r="AR90" s="2">
        <v>72.693388337607303</v>
      </c>
      <c r="AS90" s="2">
        <v>111.38064444196699</v>
      </c>
      <c r="AT90" s="2">
        <v>7098.3789720147197</v>
      </c>
      <c r="AU90" s="2">
        <v>2.2330833983206602</v>
      </c>
      <c r="AV90" s="2">
        <v>1.92091647015168E-2</v>
      </c>
      <c r="AW90" s="2">
        <v>3.1372550957564398</v>
      </c>
      <c r="AX90" s="2">
        <v>1.86109473948093E-3</v>
      </c>
      <c r="AY90" s="2">
        <v>64.9029667726859</v>
      </c>
      <c r="AZ90" s="2">
        <v>1.7825440431999299E-2</v>
      </c>
      <c r="BA90" s="2">
        <v>0.31210352399096197</v>
      </c>
      <c r="BB90" s="2">
        <v>199</v>
      </c>
    </row>
    <row r="91" spans="1:54" ht="15.75" customHeight="1" x14ac:dyDescent="0.15">
      <c r="A91" s="1" t="s">
        <v>280</v>
      </c>
      <c r="B91" s="1" t="s">
        <v>281</v>
      </c>
      <c r="C91" s="1" t="s">
        <v>282</v>
      </c>
      <c r="D91" s="1" t="s">
        <v>210</v>
      </c>
      <c r="E91" s="2">
        <v>60</v>
      </c>
      <c r="F91" s="2">
        <v>14046</v>
      </c>
      <c r="G91" s="2">
        <v>2642</v>
      </c>
      <c r="H91" s="2">
        <f t="shared" si="0"/>
        <v>16748</v>
      </c>
      <c r="I91" s="2">
        <v>21001</v>
      </c>
      <c r="J91" s="2">
        <v>1425947</v>
      </c>
      <c r="K91" s="2">
        <f t="shared" si="1"/>
        <v>1.1745177064785717E-2</v>
      </c>
      <c r="M91" s="2">
        <v>0.83846397178529697</v>
      </c>
      <c r="N91" s="2">
        <v>0.458989271599265</v>
      </c>
      <c r="O91" s="2">
        <v>10.0665561365079</v>
      </c>
      <c r="P91" s="2">
        <v>21.932007476847598</v>
      </c>
      <c r="Q91" s="2">
        <v>15.2970585407784</v>
      </c>
      <c r="R91" s="2">
        <v>18.389198098262501</v>
      </c>
      <c r="S91" s="2">
        <v>0.26486237857559602</v>
      </c>
      <c r="T91" s="2">
        <v>143.716600201463</v>
      </c>
      <c r="U91" s="2">
        <v>994.9</v>
      </c>
      <c r="V91" s="2">
        <v>1110.7</v>
      </c>
      <c r="W91" s="2">
        <v>28.991025641025601</v>
      </c>
      <c r="X91" s="2">
        <v>126.75167583008</v>
      </c>
      <c r="Y91" s="2">
        <v>-6.7270415743378598</v>
      </c>
      <c r="Z91" s="2">
        <v>4.7300474833808197</v>
      </c>
      <c r="AA91" s="2">
        <v>4.9405982905982899</v>
      </c>
      <c r="AB91" s="2">
        <v>-0.14191988684321399</v>
      </c>
      <c r="AC91" s="2">
        <v>1.8175213675213699</v>
      </c>
      <c r="AD91" s="2">
        <v>0.96925188905969195</v>
      </c>
      <c r="AE91" s="2">
        <v>0.45613247863247902</v>
      </c>
      <c r="AF91" s="2">
        <v>0.376448737285841</v>
      </c>
      <c r="AG91" s="2">
        <v>0.95559505377166598</v>
      </c>
      <c r="AH91" s="2">
        <v>0.85588023088023102</v>
      </c>
      <c r="AI91" s="2">
        <v>-0.66137625793476595</v>
      </c>
      <c r="AJ91" s="2">
        <v>0.88577827674630905</v>
      </c>
      <c r="AK91" s="2">
        <v>0.26308404558404602</v>
      </c>
      <c r="AL91" s="2">
        <v>2.4879794852745598</v>
      </c>
      <c r="AM91" s="2">
        <v>3.9864717320318799</v>
      </c>
      <c r="AN91" s="2">
        <v>28.066666666666698</v>
      </c>
      <c r="AO91" s="2">
        <v>0.46777777777777801</v>
      </c>
      <c r="AP91" s="2">
        <v>8.4666666666666703</v>
      </c>
      <c r="AQ91" s="2">
        <v>4.1655555555555601</v>
      </c>
      <c r="AR91" s="2">
        <v>35.9</v>
      </c>
      <c r="AS91" s="2">
        <v>2.7666666666666702</v>
      </c>
      <c r="AT91" s="2">
        <v>101.033333333333</v>
      </c>
      <c r="AU91" s="2">
        <v>0.15946013112034901</v>
      </c>
      <c r="AV91" s="2">
        <v>6.5799495569832903E-2</v>
      </c>
      <c r="AW91" s="2">
        <v>0.203357314148681</v>
      </c>
      <c r="AX91" s="2">
        <v>0.10613207547169801</v>
      </c>
      <c r="AY91" s="2">
        <v>41.169764061369598</v>
      </c>
      <c r="AZ91" s="2">
        <v>0.104601728395062</v>
      </c>
      <c r="BA91" s="2">
        <v>3.66764995083579</v>
      </c>
      <c r="BB91" s="2">
        <v>333</v>
      </c>
    </row>
    <row r="92" spans="1:54" ht="15.75" customHeight="1" x14ac:dyDescent="0.15">
      <c r="A92" s="1" t="s">
        <v>283</v>
      </c>
      <c r="B92" s="1" t="s">
        <v>284</v>
      </c>
      <c r="C92" s="1" t="s">
        <v>285</v>
      </c>
      <c r="D92" s="1" t="s">
        <v>210</v>
      </c>
      <c r="E92" s="2">
        <v>18787</v>
      </c>
      <c r="F92" s="2">
        <v>38607</v>
      </c>
      <c r="G92" s="2">
        <v>31255</v>
      </c>
      <c r="H92" s="2">
        <f t="shared" si="0"/>
        <v>88649</v>
      </c>
      <c r="I92" s="2">
        <v>211178</v>
      </c>
      <c r="J92" s="2">
        <v>1565843</v>
      </c>
      <c r="K92" s="2">
        <f t="shared" si="1"/>
        <v>5.6614232716817717E-2</v>
      </c>
      <c r="M92" s="2">
        <v>0.469259850532803</v>
      </c>
      <c r="N92" s="2">
        <v>0.22465107209857499</v>
      </c>
      <c r="O92" s="2">
        <v>25.367978910812798</v>
      </c>
      <c r="P92" s="2">
        <v>112.921690841882</v>
      </c>
      <c r="Q92" s="2">
        <v>81.055536516637801</v>
      </c>
      <c r="R92" s="2">
        <v>52.989615766373198</v>
      </c>
      <c r="S92" s="2">
        <v>0.20472988103845599</v>
      </c>
      <c r="T92" s="2">
        <v>16288.554604405899</v>
      </c>
      <c r="U92" s="2">
        <v>1159</v>
      </c>
      <c r="V92" s="2">
        <v>1613</v>
      </c>
      <c r="W92" s="2">
        <v>1646.40594288734</v>
      </c>
      <c r="X92" s="2">
        <v>156406.16198214001</v>
      </c>
      <c r="Y92" s="2">
        <v>18.771560657936</v>
      </c>
      <c r="Z92" s="2">
        <v>197.93021041562599</v>
      </c>
      <c r="AA92" s="2">
        <v>14.9238216176765</v>
      </c>
      <c r="AB92" s="2">
        <v>0.85889232990192799</v>
      </c>
      <c r="AC92" s="2">
        <v>2.8176995531878299</v>
      </c>
      <c r="AD92" s="2">
        <v>3.0241308986408302</v>
      </c>
      <c r="AE92" s="2">
        <v>0.39628321361274199</v>
      </c>
      <c r="AF92" s="2">
        <v>0.31407177169794998</v>
      </c>
      <c r="AG92" s="2">
        <v>0.99758216115874598</v>
      </c>
      <c r="AH92" s="2">
        <v>0.96610766433879303</v>
      </c>
      <c r="AI92" s="2">
        <v>-0.227483987588815</v>
      </c>
      <c r="AJ92" s="2">
        <v>0.93582827889269304</v>
      </c>
      <c r="AK92" s="2">
        <v>3.9977263190504302E-3</v>
      </c>
      <c r="AL92" s="2">
        <v>8.6392166551647094</v>
      </c>
      <c r="AM92" s="2">
        <v>7.7385450809362197</v>
      </c>
      <c r="AN92" s="2">
        <v>2982.9169638579901</v>
      </c>
      <c r="AO92" s="2">
        <v>0.158775587579602</v>
      </c>
      <c r="AP92" s="2">
        <v>753.52898280726004</v>
      </c>
      <c r="AQ92" s="2">
        <v>59.084133038169398</v>
      </c>
      <c r="AR92" s="2">
        <v>1631.2127534997601</v>
      </c>
      <c r="AS92" s="2">
        <v>16.156437962420799</v>
      </c>
      <c r="AT92" s="2">
        <v>25185.718954596301</v>
      </c>
      <c r="AU92" s="2">
        <v>1.1759179011100501E-2</v>
      </c>
      <c r="AV92" s="2">
        <v>7.9934101547379105E-4</v>
      </c>
      <c r="AW92" s="2">
        <v>0.317362645039032</v>
      </c>
      <c r="AX92" s="2">
        <v>8.7880905047518396E-4</v>
      </c>
      <c r="AY92" s="2">
        <v>3504.6608258645902</v>
      </c>
      <c r="AZ92" s="2">
        <v>4.3644335763672E-2</v>
      </c>
      <c r="BA92" s="2">
        <v>1.99550643962528</v>
      </c>
      <c r="BB92" s="2">
        <v>362</v>
      </c>
    </row>
    <row r="93" spans="1:54" ht="15.75" customHeight="1" x14ac:dyDescent="0.15">
      <c r="A93" s="1" t="s">
        <v>286</v>
      </c>
      <c r="B93" s="1" t="s">
        <v>287</v>
      </c>
      <c r="C93" s="1" t="s">
        <v>288</v>
      </c>
      <c r="D93" s="1" t="s">
        <v>210</v>
      </c>
      <c r="E93" s="2">
        <v>15826</v>
      </c>
      <c r="F93" s="2">
        <v>83088</v>
      </c>
      <c r="G93" s="2">
        <v>63709</v>
      </c>
      <c r="H93" s="2">
        <f t="shared" si="0"/>
        <v>162623</v>
      </c>
      <c r="I93" s="2">
        <v>354378</v>
      </c>
      <c r="J93" s="2">
        <v>1445255</v>
      </c>
      <c r="K93" s="2">
        <f t="shared" si="1"/>
        <v>0.11252201168651899</v>
      </c>
      <c r="M93" s="2">
        <v>0.55078475061452203</v>
      </c>
      <c r="N93" s="2">
        <v>0.48707690693114197</v>
      </c>
      <c r="O93" s="2">
        <v>23.241197769510801</v>
      </c>
      <c r="P93" s="2">
        <v>47.715663458453399</v>
      </c>
      <c r="Q93" s="2">
        <v>54.341512676774101</v>
      </c>
      <c r="R93" s="2">
        <v>26.281059798370698</v>
      </c>
      <c r="S93" s="2">
        <v>0.438562948552285</v>
      </c>
      <c r="T93" s="2">
        <v>6876.5303817467702</v>
      </c>
      <c r="U93" s="2">
        <v>750</v>
      </c>
      <c r="V93" s="2">
        <v>908</v>
      </c>
      <c r="W93" s="2">
        <v>303.890686651907</v>
      </c>
      <c r="X93" s="2">
        <v>1895.9215098188899</v>
      </c>
      <c r="Y93" s="2">
        <v>-76.859848985893805</v>
      </c>
      <c r="Z93" s="2">
        <v>20.339700896485699</v>
      </c>
      <c r="AA93" s="2">
        <v>1.00835041949298</v>
      </c>
      <c r="AB93" s="2">
        <v>0.90467200619850996</v>
      </c>
      <c r="AC93" s="2">
        <v>0.69401491095712198</v>
      </c>
      <c r="AD93" s="2">
        <v>1.4469415569145001</v>
      </c>
      <c r="AE93" s="2">
        <v>0.69873156332509601</v>
      </c>
      <c r="AF93" s="2">
        <v>0.68383803056821502</v>
      </c>
      <c r="AG93" s="2">
        <v>0.99793389346526595</v>
      </c>
      <c r="AH93" s="2">
        <v>0.97038201746697195</v>
      </c>
      <c r="AI93" s="2">
        <v>-0.38940369616194298</v>
      </c>
      <c r="AJ93" s="2">
        <v>0.95258668225047805</v>
      </c>
      <c r="AK93" s="2">
        <v>4.11930883070072E-2</v>
      </c>
      <c r="AL93" s="2">
        <v>5.1052695178059402</v>
      </c>
      <c r="AM93" s="2">
        <v>7.4166183382424702</v>
      </c>
      <c r="AN93" s="2">
        <v>874.22949576645999</v>
      </c>
      <c r="AO93" s="2">
        <v>5.5240079348316699E-2</v>
      </c>
      <c r="AP93" s="2">
        <v>1858.27069379502</v>
      </c>
      <c r="AQ93" s="2">
        <v>7.6690931771297999</v>
      </c>
      <c r="AR93" s="2">
        <v>291.55731075445499</v>
      </c>
      <c r="AS93" s="2">
        <v>143.48704663212399</v>
      </c>
      <c r="AT93" s="2">
        <v>46724.362820674804</v>
      </c>
      <c r="AU93" s="2">
        <v>0.470847554255446</v>
      </c>
      <c r="AV93" s="2">
        <v>4.4162331713531898E-3</v>
      </c>
      <c r="AW93" s="2">
        <v>1.4839527101833201</v>
      </c>
      <c r="AX93" s="2">
        <v>1.3448293501525301E-3</v>
      </c>
      <c r="AY93" s="2">
        <v>115.065000744225</v>
      </c>
      <c r="AZ93" s="2">
        <v>1.43861013827149E-2</v>
      </c>
      <c r="BA93" s="2">
        <v>0.49102790029888099</v>
      </c>
      <c r="BB93" s="2">
        <v>82</v>
      </c>
    </row>
    <row r="94" spans="1:54" ht="15.75" customHeight="1" x14ac:dyDescent="0.15">
      <c r="A94" s="1" t="s">
        <v>289</v>
      </c>
      <c r="B94" s="1" t="s">
        <v>290</v>
      </c>
      <c r="C94" s="1" t="s">
        <v>291</v>
      </c>
      <c r="D94" s="1" t="s">
        <v>210</v>
      </c>
      <c r="E94" s="2">
        <v>5991</v>
      </c>
      <c r="F94" s="2">
        <v>133063</v>
      </c>
      <c r="G94" s="2">
        <v>36248</v>
      </c>
      <c r="H94" s="2">
        <f t="shared" si="0"/>
        <v>175302</v>
      </c>
      <c r="I94" s="2">
        <v>243455</v>
      </c>
      <c r="J94" s="2">
        <v>1560700</v>
      </c>
      <c r="K94" s="2">
        <f t="shared" si="1"/>
        <v>0.11232267572243224</v>
      </c>
      <c r="M94" s="2">
        <v>0.58788121884003097</v>
      </c>
      <c r="N94" s="2">
        <v>0.51511160378057896</v>
      </c>
      <c r="O94" s="2">
        <v>22.553669343878902</v>
      </c>
      <c r="P94" s="2">
        <v>43.784044425227201</v>
      </c>
      <c r="Q94" s="2">
        <v>62.641839053463301</v>
      </c>
      <c r="R94" s="2">
        <v>25.739817402448601</v>
      </c>
      <c r="S94" s="2">
        <v>0.26199021055967803</v>
      </c>
      <c r="T94" s="2">
        <v>5624.6114270246098</v>
      </c>
      <c r="U94" s="2">
        <v>512</v>
      </c>
      <c r="V94" s="2">
        <v>776</v>
      </c>
      <c r="W94" s="2">
        <v>306.81294954362301</v>
      </c>
      <c r="X94" s="2">
        <v>15093.7385182624</v>
      </c>
      <c r="Y94" s="2">
        <v>-528.30745492332096</v>
      </c>
      <c r="Z94" s="2">
        <v>48.645022654297101</v>
      </c>
      <c r="AA94" s="2">
        <v>1.3989336688179901</v>
      </c>
      <c r="AB94" s="2">
        <v>0.94286447124490802</v>
      </c>
      <c r="AC94" s="2">
        <v>0.82643205429365796</v>
      </c>
      <c r="AD94" s="2">
        <v>1.62973262490986</v>
      </c>
      <c r="AE94" s="2">
        <v>0.66514645829295505</v>
      </c>
      <c r="AF94" s="2">
        <v>0.641760524979895</v>
      </c>
      <c r="AG94" s="2">
        <v>0.997385166158542</v>
      </c>
      <c r="AH94" s="2">
        <v>0.96648828375187101</v>
      </c>
      <c r="AI94" s="2">
        <v>-0.40284581030632899</v>
      </c>
      <c r="AJ94" s="2">
        <v>0.96766770464886198</v>
      </c>
      <c r="AK94" s="2">
        <v>3.2322519361302898E-2</v>
      </c>
      <c r="AL94" s="2">
        <v>5.6680230008543102</v>
      </c>
      <c r="AM94" s="2">
        <v>7.6592922900122904</v>
      </c>
      <c r="AN94" s="2">
        <v>375.73643799031902</v>
      </c>
      <c r="AO94" s="2">
        <v>6.2716814887384204E-2</v>
      </c>
      <c r="AP94" s="2">
        <v>551.19996661659195</v>
      </c>
      <c r="AQ94" s="2">
        <v>18.2228741766185</v>
      </c>
      <c r="AR94" s="2">
        <v>280.65097646469701</v>
      </c>
      <c r="AS94" s="2">
        <v>89.519112001335301</v>
      </c>
      <c r="AT94" s="2">
        <v>29665.961275246202</v>
      </c>
      <c r="AU94" s="2">
        <v>0.36264683165546702</v>
      </c>
      <c r="AV94" s="2">
        <v>8.8888098914211705E-3</v>
      </c>
      <c r="AW94" s="2">
        <v>0.59479447813546005</v>
      </c>
      <c r="AX94" s="2">
        <v>3.6888757547984402E-3</v>
      </c>
      <c r="AY94" s="2">
        <v>128.535291451577</v>
      </c>
      <c r="AZ94" s="2">
        <v>3.7832744870868497E-2</v>
      </c>
      <c r="BA94" s="2">
        <v>1.16738787395979</v>
      </c>
      <c r="BB94" s="2">
        <v>317</v>
      </c>
    </row>
    <row r="95" spans="1:54" ht="15.75" customHeight="1" x14ac:dyDescent="0.15">
      <c r="A95" s="1" t="s">
        <v>292</v>
      </c>
      <c r="B95" s="1" t="s">
        <v>293</v>
      </c>
      <c r="C95" s="1" t="s">
        <v>294</v>
      </c>
      <c r="D95" s="1" t="s">
        <v>210</v>
      </c>
      <c r="E95" s="2">
        <v>1590</v>
      </c>
      <c r="F95" s="2">
        <v>37067</v>
      </c>
      <c r="G95" s="2">
        <v>20160</v>
      </c>
      <c r="H95" s="2">
        <f t="shared" si="0"/>
        <v>58817</v>
      </c>
      <c r="I95" s="2">
        <v>90641</v>
      </c>
      <c r="J95" s="2">
        <v>1489413</v>
      </c>
      <c r="K95" s="2">
        <f t="shared" si="1"/>
        <v>3.9490054135421136E-2</v>
      </c>
      <c r="M95" s="2">
        <v>0.719200904814283</v>
      </c>
      <c r="N95" s="2">
        <v>0.496875666514765</v>
      </c>
      <c r="O95" s="2">
        <v>21.403710195058199</v>
      </c>
      <c r="P95" s="2">
        <v>43.0765916656581</v>
      </c>
      <c r="Q95" s="2">
        <v>36.496575181789296</v>
      </c>
      <c r="R95" s="2">
        <v>30.9807237022567</v>
      </c>
      <c r="S95" s="2">
        <v>0.182699531717328</v>
      </c>
      <c r="T95" s="2">
        <v>3035.3057463692298</v>
      </c>
      <c r="U95" s="2">
        <v>660</v>
      </c>
      <c r="V95" s="2">
        <v>1111.0999999999999</v>
      </c>
      <c r="W95" s="2">
        <v>428.914122404311</v>
      </c>
      <c r="X95" s="2">
        <v>79538.630207821698</v>
      </c>
      <c r="Y95" s="2">
        <v>1808.31439573074</v>
      </c>
      <c r="Z95" s="2">
        <v>197.63734525666001</v>
      </c>
      <c r="AA95" s="2">
        <v>2.21603351540079</v>
      </c>
      <c r="AB95" s="2">
        <v>0.97798077188770105</v>
      </c>
      <c r="AC95" s="2">
        <v>1.0920016959243399</v>
      </c>
      <c r="AD95" s="2">
        <v>1.86080810693504</v>
      </c>
      <c r="AE95" s="2">
        <v>0.59785889165527994</v>
      </c>
      <c r="AF95" s="2">
        <v>0.55957218736408898</v>
      </c>
      <c r="AG95" s="2">
        <v>0.99820342747141999</v>
      </c>
      <c r="AH95" s="2">
        <v>0.97048485457897904</v>
      </c>
      <c r="AI95" s="2">
        <v>-0.46960469999717602</v>
      </c>
      <c r="AJ95" s="2">
        <v>0.98992383000135797</v>
      </c>
      <c r="AK95" s="2">
        <v>1.8638177624534302E-2</v>
      </c>
      <c r="AL95" s="2">
        <v>6.4654986486051502</v>
      </c>
      <c r="AM95" s="2">
        <v>6.9769876038084302</v>
      </c>
      <c r="AN95" s="2">
        <v>202.29559748427701</v>
      </c>
      <c r="AO95" s="2">
        <v>0.12722993552470199</v>
      </c>
      <c r="AP95" s="2">
        <v>119.25031446540901</v>
      </c>
      <c r="AQ95" s="2">
        <v>42.059270202919201</v>
      </c>
      <c r="AR95" s="2">
        <v>329.20188679245302</v>
      </c>
      <c r="AS95" s="2">
        <v>26.037735849056599</v>
      </c>
      <c r="AT95" s="2">
        <v>9075.3553459119503</v>
      </c>
      <c r="AU95" s="2">
        <v>0.105412102366231</v>
      </c>
      <c r="AV95" s="2">
        <v>6.2588497216738096E-3</v>
      </c>
      <c r="AW95" s="2">
        <v>9.6625002554098297E-2</v>
      </c>
      <c r="AX95" s="2">
        <v>1.5116805376001701E-2</v>
      </c>
      <c r="AY95" s="2">
        <v>333.24651722659797</v>
      </c>
      <c r="AZ95" s="2">
        <v>4.5218016935397697E-2</v>
      </c>
      <c r="BA95" s="2">
        <v>9.9911649122656296</v>
      </c>
      <c r="BB95" s="2">
        <v>508</v>
      </c>
    </row>
    <row r="96" spans="1:54" ht="15.75" customHeight="1" x14ac:dyDescent="0.15">
      <c r="A96" s="1" t="s">
        <v>295</v>
      </c>
      <c r="B96" s="1" t="s">
        <v>296</v>
      </c>
      <c r="C96" s="1" t="s">
        <v>297</v>
      </c>
      <c r="D96" s="1" t="s">
        <v>210</v>
      </c>
      <c r="E96" s="2">
        <v>4349</v>
      </c>
      <c r="F96" s="2">
        <v>15723</v>
      </c>
      <c r="G96" s="2">
        <v>4362</v>
      </c>
      <c r="H96" s="2">
        <f t="shared" si="0"/>
        <v>24434</v>
      </c>
      <c r="I96" s="2">
        <v>48151</v>
      </c>
      <c r="J96" s="2">
        <v>1323769</v>
      </c>
      <c r="K96" s="2">
        <f t="shared" si="1"/>
        <v>1.8457903153797982E-2</v>
      </c>
      <c r="M96" s="2">
        <v>0.71713068433077598</v>
      </c>
      <c r="N96" s="2">
        <v>0.56393057550858094</v>
      </c>
      <c r="O96" s="2">
        <v>17.188168364754599</v>
      </c>
      <c r="P96" s="2">
        <v>30.479227605726798</v>
      </c>
      <c r="Q96" s="2">
        <v>33.286633954186499</v>
      </c>
      <c r="R96" s="2">
        <v>21.8575893507684</v>
      </c>
      <c r="S96" s="2">
        <v>0.35302504808948199</v>
      </c>
      <c r="T96" s="2">
        <v>3588.7905600895001</v>
      </c>
      <c r="U96" s="2">
        <v>309</v>
      </c>
      <c r="V96" s="2">
        <v>389</v>
      </c>
      <c r="W96" s="2">
        <v>35.317760195830601</v>
      </c>
      <c r="X96" s="2">
        <v>83.521534826874102</v>
      </c>
      <c r="Y96" s="2">
        <v>-6.0922398845303496</v>
      </c>
      <c r="Z96" s="2">
        <v>4.5829785203495002</v>
      </c>
      <c r="AA96" s="2">
        <v>0.73802876799916395</v>
      </c>
      <c r="AB96" s="2">
        <v>0.719780553367805</v>
      </c>
      <c r="AC96" s="2">
        <v>0.55622553005669695</v>
      </c>
      <c r="AD96" s="2">
        <v>1.2961443502876899</v>
      </c>
      <c r="AE96" s="2">
        <v>0.74816830378828103</v>
      </c>
      <c r="AF96" s="2">
        <v>0.73968424794628096</v>
      </c>
      <c r="AG96" s="2">
        <v>0.994991930761293</v>
      </c>
      <c r="AH96" s="2">
        <v>0.95817356724055602</v>
      </c>
      <c r="AI96" s="2">
        <v>-0.25948595822827603</v>
      </c>
      <c r="AJ96" s="2">
        <v>0.80766767091361502</v>
      </c>
      <c r="AK96" s="2">
        <v>0.117499842160298</v>
      </c>
      <c r="AL96" s="2">
        <v>3.7923117379699498</v>
      </c>
      <c r="AM96" s="2">
        <v>6.5149154210941704</v>
      </c>
      <c r="AN96" s="2">
        <v>215.546792366061</v>
      </c>
      <c r="AO96" s="2">
        <v>4.9562380401485702E-2</v>
      </c>
      <c r="AP96" s="2">
        <v>1064.55162106231</v>
      </c>
      <c r="AQ96" s="2">
        <v>1.6854987530005201</v>
      </c>
      <c r="AR96" s="2">
        <v>34.418946884341203</v>
      </c>
      <c r="AS96" s="2">
        <v>154.44355024143499</v>
      </c>
      <c r="AT96" s="2">
        <v>5764.0450678316902</v>
      </c>
      <c r="AU96" s="2">
        <v>4.6211182059922704</v>
      </c>
      <c r="AV96" s="2">
        <v>3.9055293118581698E-2</v>
      </c>
      <c r="AW96" s="2">
        <v>3.9848058570843201</v>
      </c>
      <c r="AX96" s="2">
        <v>2.59278300164881E-3</v>
      </c>
      <c r="AY96" s="2">
        <v>28.059742935964501</v>
      </c>
      <c r="AZ96" s="2">
        <v>1.09104625207808E-2</v>
      </c>
      <c r="BA96" s="2">
        <v>0.18353203226863801</v>
      </c>
      <c r="BB96" s="2">
        <v>322</v>
      </c>
    </row>
    <row r="97" spans="1:54" ht="15.75" customHeight="1" x14ac:dyDescent="0.15">
      <c r="A97" s="1" t="s">
        <v>298</v>
      </c>
      <c r="B97" s="1" t="s">
        <v>299</v>
      </c>
      <c r="C97" s="1" t="s">
        <v>300</v>
      </c>
      <c r="D97" s="1" t="s">
        <v>210</v>
      </c>
      <c r="E97" s="2">
        <v>16013</v>
      </c>
      <c r="F97" s="2">
        <v>91667</v>
      </c>
      <c r="G97" s="2">
        <v>79009</v>
      </c>
      <c r="H97" s="2">
        <f t="shared" si="0"/>
        <v>186689</v>
      </c>
      <c r="I97" s="2">
        <v>313306</v>
      </c>
      <c r="J97" s="2">
        <v>1379679</v>
      </c>
      <c r="K97" s="2">
        <f t="shared" si="1"/>
        <v>0.13531335912194067</v>
      </c>
      <c r="M97" s="2">
        <v>0.58699076044958898</v>
      </c>
      <c r="N97" s="2">
        <v>0.492386914129609</v>
      </c>
      <c r="O97" s="2">
        <v>35.622899476570304</v>
      </c>
      <c r="P97" s="2">
        <v>72.347372471384105</v>
      </c>
      <c r="Q97" s="2">
        <v>67.683085036070906</v>
      </c>
      <c r="R97" s="2">
        <v>42.467239183507402</v>
      </c>
      <c r="S97" s="2">
        <v>0.27262619514108399</v>
      </c>
      <c r="T97" s="2">
        <v>11093.3128619655</v>
      </c>
      <c r="U97" s="2">
        <v>611.20000000000005</v>
      </c>
      <c r="V97" s="2">
        <v>947</v>
      </c>
      <c r="W97" s="2">
        <v>640.631569423678</v>
      </c>
      <c r="X97" s="2">
        <v>42081.665224399403</v>
      </c>
      <c r="Y97" s="2">
        <v>-765.64464393761205</v>
      </c>
      <c r="Z97" s="2">
        <v>96.187306098223502</v>
      </c>
      <c r="AA97" s="2">
        <v>5.18422713469214</v>
      </c>
      <c r="AB97" s="2">
        <v>0.89549273828702103</v>
      </c>
      <c r="AC97" s="2">
        <v>1.76181322337104</v>
      </c>
      <c r="AD97" s="2">
        <v>2.3702880936279298</v>
      </c>
      <c r="AE97" s="2">
        <v>0.47974159280832901</v>
      </c>
      <c r="AF97" s="2">
        <v>0.41212823519125602</v>
      </c>
      <c r="AG97" s="2">
        <v>0.99645138772353903</v>
      </c>
      <c r="AH97" s="2">
        <v>0.95690782086640003</v>
      </c>
      <c r="AI97" s="2">
        <v>-0.27686347168984898</v>
      </c>
      <c r="AJ97" s="2">
        <v>0.94607735451659203</v>
      </c>
      <c r="AK97" s="2">
        <v>8.1090530678368002E-3</v>
      </c>
      <c r="AL97" s="2">
        <v>7.4174631565822802</v>
      </c>
      <c r="AM97" s="2">
        <v>7.5465078370027499</v>
      </c>
      <c r="AN97" s="2">
        <v>2002.76693936177</v>
      </c>
      <c r="AO97" s="2">
        <v>0.12507131326807999</v>
      </c>
      <c r="AP97" s="2">
        <v>882.27071754199699</v>
      </c>
      <c r="AQ97" s="2">
        <v>31.1160421400727</v>
      </c>
      <c r="AR97" s="2">
        <v>601.55704739898795</v>
      </c>
      <c r="AS97" s="2">
        <v>28.6574033597702</v>
      </c>
      <c r="AT97" s="2">
        <v>19583.4340223568</v>
      </c>
      <c r="AU97" s="2">
        <v>5.8606320690927603E-2</v>
      </c>
      <c r="AV97" s="2">
        <v>2.7673470162058698E-3</v>
      </c>
      <c r="AW97" s="2">
        <v>0.67881783318190303</v>
      </c>
      <c r="AX97" s="2">
        <v>1.3420152837231799E-3</v>
      </c>
      <c r="AY97" s="2">
        <v>585.33229981077704</v>
      </c>
      <c r="AZ97" s="2">
        <v>4.0661715828111102E-2</v>
      </c>
      <c r="BA97" s="2">
        <v>0.88130095732040503</v>
      </c>
      <c r="BB97" s="2">
        <v>268</v>
      </c>
    </row>
    <row r="98" spans="1:54" ht="15.75" customHeight="1" x14ac:dyDescent="0.15">
      <c r="A98" s="1" t="s">
        <v>301</v>
      </c>
      <c r="B98" s="1" t="s">
        <v>302</v>
      </c>
      <c r="C98" s="5" t="s">
        <v>303</v>
      </c>
      <c r="D98" s="1" t="s">
        <v>304</v>
      </c>
      <c r="E98" s="2">
        <v>19169</v>
      </c>
      <c r="F98" s="2">
        <v>67089</v>
      </c>
      <c r="G98" s="2">
        <v>15158</v>
      </c>
      <c r="H98" s="2">
        <f t="shared" si="0"/>
        <v>101416</v>
      </c>
      <c r="I98" s="2">
        <v>159934</v>
      </c>
      <c r="J98" s="2">
        <v>1543473</v>
      </c>
      <c r="K98" s="2">
        <f t="shared" si="1"/>
        <v>6.5706364801975808E-2</v>
      </c>
      <c r="M98" s="2">
        <v>0.73039514983707199</v>
      </c>
      <c r="N98" s="2">
        <v>0.50695337053708101</v>
      </c>
      <c r="O98" s="2">
        <v>23.114847075387399</v>
      </c>
      <c r="P98" s="2">
        <v>45.595607838446597</v>
      </c>
      <c r="Q98" s="2">
        <v>53.075418038862402</v>
      </c>
      <c r="R98" s="2">
        <v>33.302810819074601</v>
      </c>
      <c r="S98" s="2">
        <v>0.261428484155246</v>
      </c>
      <c r="T98" s="2">
        <v>12865.627871803899</v>
      </c>
      <c r="U98" s="2">
        <v>538</v>
      </c>
      <c r="V98" s="2">
        <v>1017.2</v>
      </c>
      <c r="W98" s="2">
        <v>1119.85701032972</v>
      </c>
      <c r="X98" s="2">
        <v>214998.01743295501</v>
      </c>
      <c r="Y98" s="2">
        <v>-2895.85986262391</v>
      </c>
      <c r="Z98" s="2">
        <v>224.82989797740299</v>
      </c>
      <c r="AA98" s="2">
        <v>19.199212499969299</v>
      </c>
      <c r="AB98" s="2">
        <v>0.842264936644467</v>
      </c>
      <c r="AC98" s="2">
        <v>2.9759793107674199</v>
      </c>
      <c r="AD98" s="2">
        <v>3.1175110526964298</v>
      </c>
      <c r="AE98" s="2">
        <v>0.401502863280364</v>
      </c>
      <c r="AF98" s="2">
        <v>0.32244629108501299</v>
      </c>
      <c r="AG98" s="2">
        <v>0.99374402198022904</v>
      </c>
      <c r="AH98" s="2">
        <v>0.95043551228999301</v>
      </c>
      <c r="AI98" s="2">
        <v>-0.22078923761494901</v>
      </c>
      <c r="AJ98" s="2">
        <v>0.93271164895265501</v>
      </c>
      <c r="AK98" s="2">
        <v>3.7445651653661501E-3</v>
      </c>
      <c r="AL98" s="2">
        <v>8.7351629799997301</v>
      </c>
      <c r="AM98" s="2">
        <v>7.91920940689839</v>
      </c>
      <c r="AN98" s="2">
        <v>2704.1123167614401</v>
      </c>
      <c r="AO98" s="2">
        <v>0.14106694750698701</v>
      </c>
      <c r="AP98" s="2">
        <v>715.17570034952303</v>
      </c>
      <c r="AQ98" s="2">
        <v>65.407295780397504</v>
      </c>
      <c r="AR98" s="2">
        <v>1074.8160050080901</v>
      </c>
      <c r="AS98" s="2">
        <v>20.116907506912199</v>
      </c>
      <c r="AT98" s="2">
        <v>22806.101518076099</v>
      </c>
      <c r="AU98" s="2">
        <v>8.8869062995172193E-2</v>
      </c>
      <c r="AV98" s="2">
        <v>2.96934275978599E-3</v>
      </c>
      <c r="AW98" s="2">
        <v>0.49403913180234399</v>
      </c>
      <c r="AX98" s="2">
        <v>9.8904546711699399E-4</v>
      </c>
      <c r="AY98" s="2">
        <v>2005.2939862998201</v>
      </c>
      <c r="AZ98" s="2">
        <v>7.4486961136027902E-2</v>
      </c>
      <c r="BA98" s="2">
        <v>1.1290234654922999</v>
      </c>
      <c r="BB98" s="2">
        <v>284</v>
      </c>
    </row>
    <row r="99" spans="1:54" ht="15.75" customHeight="1" x14ac:dyDescent="0.15">
      <c r="A99" s="1" t="s">
        <v>305</v>
      </c>
      <c r="B99" s="1" t="s">
        <v>306</v>
      </c>
      <c r="C99" s="5" t="s">
        <v>307</v>
      </c>
      <c r="D99" s="1" t="s">
        <v>304</v>
      </c>
      <c r="E99" s="2">
        <v>21206</v>
      </c>
      <c r="F99" s="2">
        <v>79002</v>
      </c>
      <c r="G99" s="2">
        <v>40427</v>
      </c>
      <c r="H99" s="2">
        <f t="shared" si="0"/>
        <v>140635</v>
      </c>
      <c r="I99" s="2">
        <v>168084</v>
      </c>
      <c r="J99" s="2">
        <v>1530234</v>
      </c>
      <c r="K99" s="2">
        <f t="shared" si="1"/>
        <v>9.1904244710286145E-2</v>
      </c>
      <c r="M99" s="2">
        <v>0.809514595389488</v>
      </c>
      <c r="N99" s="2">
        <v>0.64344376649632795</v>
      </c>
      <c r="O99" s="2">
        <v>25.3090057717368</v>
      </c>
      <c r="P99" s="2">
        <v>39.333671549184601</v>
      </c>
      <c r="Q99" s="2">
        <v>48.0104155366312</v>
      </c>
      <c r="R99" s="2">
        <v>31.841181209321199</v>
      </c>
      <c r="S99" s="2">
        <v>0.57758075431920897</v>
      </c>
      <c r="T99" s="2">
        <v>6406.3330994132302</v>
      </c>
      <c r="U99" s="2">
        <v>903</v>
      </c>
      <c r="V99" s="2">
        <v>1067</v>
      </c>
      <c r="W99" s="2">
        <v>300.57193965692898</v>
      </c>
      <c r="X99" s="2">
        <v>2369.9727905606301</v>
      </c>
      <c r="Y99" s="2">
        <v>-71.636198396841905</v>
      </c>
      <c r="Z99" s="2">
        <v>24.5332839744636</v>
      </c>
      <c r="AA99" s="2">
        <v>3.5453772576760998</v>
      </c>
      <c r="AB99" s="2">
        <v>0.74728093522546601</v>
      </c>
      <c r="AC99" s="2">
        <v>1.3635829488947699</v>
      </c>
      <c r="AD99" s="2">
        <v>2.1425122995313899</v>
      </c>
      <c r="AE99" s="2">
        <v>0.55057860888003196</v>
      </c>
      <c r="AF99" s="2">
        <v>0.50197637688341401</v>
      </c>
      <c r="AG99" s="2">
        <v>0.99489328200614502</v>
      </c>
      <c r="AH99" s="2">
        <v>0.952166228687651</v>
      </c>
      <c r="AI99" s="2">
        <v>-0.194368241118553</v>
      </c>
      <c r="AJ99" s="2">
        <v>0.84279956560397096</v>
      </c>
      <c r="AK99" s="2">
        <v>2.1637944342762099E-2</v>
      </c>
      <c r="AL99" s="2">
        <v>6.1399317355830796</v>
      </c>
      <c r="AM99" s="2">
        <v>7.0486310827815597</v>
      </c>
      <c r="AN99" s="2">
        <v>1773.5851174196</v>
      </c>
      <c r="AO99" s="2">
        <v>8.3636004782589701E-2</v>
      </c>
      <c r="AP99" s="2">
        <v>2391.8927661982498</v>
      </c>
      <c r="AQ99" s="2">
        <v>7.0459029473070904</v>
      </c>
      <c r="AR99" s="2">
        <v>301.61029897198898</v>
      </c>
      <c r="AS99" s="2">
        <v>60.589550127322497</v>
      </c>
      <c r="AT99" s="2">
        <v>19423.116948033599</v>
      </c>
      <c r="AU99" s="2">
        <v>0.20254869011641399</v>
      </c>
      <c r="AV99" s="2">
        <v>3.8825676034404998E-3</v>
      </c>
      <c r="AW99" s="2">
        <v>2.83402823275236</v>
      </c>
      <c r="AX99" s="2">
        <v>5.5957020158167096E-4</v>
      </c>
      <c r="AY99" s="2">
        <v>278.91891932562902</v>
      </c>
      <c r="AZ99" s="2">
        <v>1.8485674290820101E-2</v>
      </c>
      <c r="BA99" s="2">
        <v>0.22061202572557101</v>
      </c>
      <c r="BB99" s="2">
        <v>521</v>
      </c>
    </row>
    <row r="100" spans="1:54" ht="15.75" customHeight="1" x14ac:dyDescent="0.15">
      <c r="A100" s="1" t="s">
        <v>308</v>
      </c>
      <c r="B100" s="1" t="s">
        <v>309</v>
      </c>
      <c r="C100" s="5" t="s">
        <v>310</v>
      </c>
      <c r="D100" s="1" t="s">
        <v>304</v>
      </c>
      <c r="E100" s="2">
        <v>15788</v>
      </c>
      <c r="F100" s="2">
        <v>97029</v>
      </c>
      <c r="G100" s="2">
        <v>37180</v>
      </c>
      <c r="H100" s="2">
        <f t="shared" si="0"/>
        <v>149997</v>
      </c>
      <c r="I100" s="2">
        <v>293217</v>
      </c>
      <c r="J100" s="2">
        <v>1291824</v>
      </c>
      <c r="K100" s="2">
        <f t="shared" si="1"/>
        <v>0.11611256641771635</v>
      </c>
      <c r="M100" s="2">
        <v>0.94080655044309702</v>
      </c>
      <c r="N100" s="2">
        <v>0.77902469523030005</v>
      </c>
      <c r="O100" s="2">
        <v>31.1279394393191</v>
      </c>
      <c r="P100" s="2">
        <v>39.957577249995701</v>
      </c>
      <c r="Q100" s="2">
        <v>51.884487084291401</v>
      </c>
      <c r="R100" s="2">
        <v>37.592350416632001</v>
      </c>
      <c r="S100" s="2">
        <v>0.25121523191207101</v>
      </c>
      <c r="T100" s="2">
        <v>11904.2161706856</v>
      </c>
      <c r="U100" s="2">
        <v>509</v>
      </c>
      <c r="V100" s="2">
        <v>919</v>
      </c>
      <c r="W100" s="2">
        <v>490.803203410533</v>
      </c>
      <c r="X100" s="2">
        <v>40683.992633898903</v>
      </c>
      <c r="Y100" s="2">
        <v>159.36843791437801</v>
      </c>
      <c r="Z100" s="2">
        <v>129.95405854705899</v>
      </c>
      <c r="AA100" s="2">
        <v>8.5461465085364292</v>
      </c>
      <c r="AB100" s="2">
        <v>0.87637075902997097</v>
      </c>
      <c r="AC100" s="2">
        <v>2.1304043281506102</v>
      </c>
      <c r="AD100" s="2">
        <v>2.6874695121265701</v>
      </c>
      <c r="AE100" s="2">
        <v>0.458257092892562</v>
      </c>
      <c r="AF100" s="2">
        <v>0.38800149367493603</v>
      </c>
      <c r="AG100" s="2">
        <v>0.99393427162515002</v>
      </c>
      <c r="AH100" s="2">
        <v>0.94786018666124505</v>
      </c>
      <c r="AI100" s="2">
        <v>-0.25176950871714898</v>
      </c>
      <c r="AJ100" s="2">
        <v>0.94218864845390904</v>
      </c>
      <c r="AK100" s="2">
        <v>5.4076128900618099E-3</v>
      </c>
      <c r="AL100" s="2">
        <v>7.9840243759270697</v>
      </c>
      <c r="AM100" s="2">
        <v>7.8184968607841201</v>
      </c>
      <c r="AN100" s="2">
        <v>1909.13947301748</v>
      </c>
      <c r="AO100" s="2">
        <v>0.12092345281337</v>
      </c>
      <c r="AP100" s="2">
        <v>722.47035723334204</v>
      </c>
      <c r="AQ100" s="2">
        <v>36.659754361678097</v>
      </c>
      <c r="AR100" s="2">
        <v>460.50373701545499</v>
      </c>
      <c r="AS100" s="2">
        <v>28.050671395997</v>
      </c>
      <c r="AT100" s="2">
        <v>14940.265454775799</v>
      </c>
      <c r="AU100" s="2">
        <v>7.7609138944452996E-2</v>
      </c>
      <c r="AV100" s="2">
        <v>3.3641782991166999E-3</v>
      </c>
      <c r="AW100" s="2">
        <v>1.18814160683765</v>
      </c>
      <c r="AX100" s="2">
        <v>1.16170514195549E-3</v>
      </c>
      <c r="AY100" s="2">
        <v>699.74041835786795</v>
      </c>
      <c r="AZ100" s="2">
        <v>6.78880431573015E-2</v>
      </c>
      <c r="BA100" s="2">
        <v>0.58214100077956099</v>
      </c>
      <c r="BB100" s="2">
        <v>537</v>
      </c>
    </row>
    <row r="101" spans="1:54" ht="15.75" customHeight="1" x14ac:dyDescent="0.15">
      <c r="A101" s="1" t="s">
        <v>311</v>
      </c>
      <c r="B101" s="1" t="s">
        <v>312</v>
      </c>
      <c r="C101" s="1" t="s">
        <v>313</v>
      </c>
      <c r="D101" s="1" t="s">
        <v>304</v>
      </c>
      <c r="E101" s="2">
        <v>27812</v>
      </c>
      <c r="F101" s="2">
        <v>51348</v>
      </c>
      <c r="G101" s="2">
        <v>24144</v>
      </c>
      <c r="H101" s="2">
        <f t="shared" si="0"/>
        <v>103304</v>
      </c>
      <c r="I101" s="2">
        <v>316960</v>
      </c>
      <c r="J101" s="2">
        <v>1760070</v>
      </c>
      <c r="K101" s="2">
        <f t="shared" si="1"/>
        <v>5.8693120159993638E-2</v>
      </c>
      <c r="M101" s="2">
        <v>0.87392220872694304</v>
      </c>
      <c r="N101" s="2">
        <v>0.77388362399171995</v>
      </c>
      <c r="O101" s="2">
        <v>32.3736368765748</v>
      </c>
      <c r="P101" s="2">
        <v>41.8326940549413</v>
      </c>
      <c r="Q101" s="2">
        <v>49.244289008980502</v>
      </c>
      <c r="R101" s="2">
        <v>36.558520385492699</v>
      </c>
      <c r="S101" s="2">
        <v>0.41660935607219202</v>
      </c>
      <c r="T101" s="2">
        <v>10593.2925867868</v>
      </c>
      <c r="U101" s="2">
        <v>997</v>
      </c>
      <c r="V101" s="2">
        <v>1803</v>
      </c>
      <c r="W101" s="2">
        <v>1388.4157848156201</v>
      </c>
      <c r="X101" s="2">
        <v>578524.50916270702</v>
      </c>
      <c r="Y101" s="2">
        <v>-3964.5139636212498</v>
      </c>
      <c r="Z101" s="2">
        <v>555.13110057013398</v>
      </c>
      <c r="AA101" s="2">
        <v>19.009511259193498</v>
      </c>
      <c r="AB101" s="2">
        <v>0.93371958461684101</v>
      </c>
      <c r="AC101" s="2">
        <v>2.9161541542810698</v>
      </c>
      <c r="AD101" s="2">
        <v>3.1386416887908402</v>
      </c>
      <c r="AE101" s="2">
        <v>0.42954550098449401</v>
      </c>
      <c r="AF101" s="2">
        <v>0.35918140395159698</v>
      </c>
      <c r="AG101" s="2">
        <v>0.99417178388347904</v>
      </c>
      <c r="AH101" s="2">
        <v>0.95310619815770503</v>
      </c>
      <c r="AI101" s="2">
        <v>-0.30531312829431601</v>
      </c>
      <c r="AJ101" s="2">
        <v>0.97841344469702296</v>
      </c>
      <c r="AK101" s="2">
        <v>3.42971104611382E-3</v>
      </c>
      <c r="AL101" s="2">
        <v>9.1016821343180503</v>
      </c>
      <c r="AM101" s="2">
        <v>8.5876739464614804</v>
      </c>
      <c r="AN101" s="2">
        <v>3064.12476628793</v>
      </c>
      <c r="AO101" s="2">
        <v>0.110172758747589</v>
      </c>
      <c r="AP101" s="2">
        <v>695.11750323601302</v>
      </c>
      <c r="AQ101" s="2">
        <v>149.84393606998501</v>
      </c>
      <c r="AR101" s="2">
        <v>1308.16784121962</v>
      </c>
      <c r="AS101" s="2">
        <v>40.576945203509297</v>
      </c>
      <c r="AT101" s="2">
        <v>80982.440601179405</v>
      </c>
      <c r="AU101" s="2">
        <v>3.4066613483899902E-2</v>
      </c>
      <c r="AV101" s="2">
        <v>1.6897399640383099E-3</v>
      </c>
      <c r="AW101" s="2">
        <v>0.56206838708671203</v>
      </c>
      <c r="AX101" s="2">
        <v>9.7569065679440497E-4</v>
      </c>
      <c r="AY101" s="2">
        <v>1911.1693733689399</v>
      </c>
      <c r="AZ101" s="2">
        <v>0.152791100799199</v>
      </c>
      <c r="BA101" s="2">
        <v>1.13280219813482</v>
      </c>
      <c r="BB101" s="2">
        <v>613</v>
      </c>
    </row>
    <row r="102" spans="1:54" ht="15.75" customHeight="1" x14ac:dyDescent="0.15">
      <c r="A102" s="1" t="s">
        <v>314</v>
      </c>
      <c r="B102" s="1" t="s">
        <v>315</v>
      </c>
      <c r="C102" s="1" t="s">
        <v>316</v>
      </c>
      <c r="D102" s="1" t="s">
        <v>304</v>
      </c>
      <c r="E102" s="2">
        <v>2346</v>
      </c>
      <c r="F102" s="2">
        <v>119083</v>
      </c>
      <c r="G102" s="2">
        <v>4251</v>
      </c>
      <c r="H102" s="2">
        <f t="shared" si="0"/>
        <v>125680</v>
      </c>
      <c r="I102" s="2">
        <v>192733</v>
      </c>
      <c r="J102" s="2">
        <v>1421953</v>
      </c>
      <c r="K102" s="2">
        <f t="shared" si="1"/>
        <v>8.838548109536673E-2</v>
      </c>
      <c r="M102" s="2">
        <v>0.57943064557637303</v>
      </c>
      <c r="N102" s="2">
        <v>0.40588366443989798</v>
      </c>
      <c r="O102" s="2">
        <v>15.617913124633301</v>
      </c>
      <c r="P102" s="2">
        <v>38.478792060245603</v>
      </c>
      <c r="Q102" s="2">
        <v>48.703182647543699</v>
      </c>
      <c r="R102" s="2">
        <v>22.2957913244671</v>
      </c>
      <c r="S102" s="2">
        <v>0.21046759860887801</v>
      </c>
      <c r="T102" s="2">
        <v>3650.6088381393301</v>
      </c>
      <c r="U102" s="2">
        <v>695</v>
      </c>
      <c r="V102" s="2">
        <v>998.5</v>
      </c>
      <c r="W102" s="2">
        <v>160.58908613058799</v>
      </c>
      <c r="X102" s="2">
        <v>18711.092912405002</v>
      </c>
      <c r="Y102" s="2">
        <v>260.44727026396799</v>
      </c>
      <c r="Z102" s="2">
        <v>69.205885273993502</v>
      </c>
      <c r="AA102" s="2">
        <v>7.85058104019887</v>
      </c>
      <c r="AB102" s="2">
        <v>0.79207119054972996</v>
      </c>
      <c r="AC102" s="2">
        <v>2.10128145472892</v>
      </c>
      <c r="AD102" s="2">
        <v>2.63691802076869</v>
      </c>
      <c r="AE102" s="2">
        <v>0.45568873551398498</v>
      </c>
      <c r="AF102" s="2">
        <v>0.38356142908615598</v>
      </c>
      <c r="AG102" s="2">
        <v>0.99338120591611001</v>
      </c>
      <c r="AH102" s="2">
        <v>0.94414053471909098</v>
      </c>
      <c r="AI102" s="2">
        <v>-0.220981386560305</v>
      </c>
      <c r="AJ102" s="2">
        <v>0.90318598163519603</v>
      </c>
      <c r="AK102" s="2">
        <v>8.46108852460533E-3</v>
      </c>
      <c r="AL102" s="2">
        <v>7.3224139655324301</v>
      </c>
      <c r="AM102" s="2">
        <v>6.9488231793933197</v>
      </c>
      <c r="AN102" s="2">
        <v>382.26598465473199</v>
      </c>
      <c r="AO102" s="2">
        <v>0.16294372747430999</v>
      </c>
      <c r="AP102" s="2">
        <v>146.031543052003</v>
      </c>
      <c r="AQ102" s="2">
        <v>24.942711433511501</v>
      </c>
      <c r="AR102" s="2">
        <v>175.083546462063</v>
      </c>
      <c r="AS102" s="2">
        <v>15.8627450980392</v>
      </c>
      <c r="AT102" s="2">
        <v>2191.3478260869601</v>
      </c>
      <c r="AU102" s="2">
        <v>0.20685661630494201</v>
      </c>
      <c r="AV102" s="2">
        <v>1.2557901139142E-2</v>
      </c>
      <c r="AW102" s="2">
        <v>0.35725558355391901</v>
      </c>
      <c r="AX102" s="2">
        <v>6.2328225483514101E-3</v>
      </c>
      <c r="AY102" s="2">
        <v>642.136037399722</v>
      </c>
      <c r="AZ102" s="2">
        <v>5.3762716245712598E-2</v>
      </c>
      <c r="BA102" s="2">
        <v>3.5649603999444599</v>
      </c>
      <c r="BB102" s="2">
        <v>684</v>
      </c>
    </row>
    <row r="103" spans="1:54" ht="15.75" customHeight="1" x14ac:dyDescent="0.15">
      <c r="A103" s="1" t="s">
        <v>317</v>
      </c>
      <c r="B103" s="1" t="s">
        <v>318</v>
      </c>
      <c r="C103" s="5" t="s">
        <v>319</v>
      </c>
      <c r="D103" s="1" t="s">
        <v>304</v>
      </c>
      <c r="E103" s="2">
        <v>8907</v>
      </c>
      <c r="F103" s="2">
        <v>53823</v>
      </c>
      <c r="G103" s="2">
        <v>11742</v>
      </c>
      <c r="H103" s="2">
        <f t="shared" si="0"/>
        <v>74472</v>
      </c>
      <c r="I103" s="2">
        <v>105779</v>
      </c>
      <c r="J103" s="2">
        <v>1519130</v>
      </c>
      <c r="K103" s="2">
        <f t="shared" si="1"/>
        <v>4.9022795942414411E-2</v>
      </c>
      <c r="M103" s="2">
        <v>0.749787219052239</v>
      </c>
      <c r="N103" s="2">
        <v>0.58803268951336896</v>
      </c>
      <c r="O103" s="2">
        <v>21.1885588182402</v>
      </c>
      <c r="P103" s="2">
        <v>36.032960745388102</v>
      </c>
      <c r="Q103" s="2">
        <v>34.713109915419601</v>
      </c>
      <c r="R103" s="2">
        <v>27.017053431503101</v>
      </c>
      <c r="S103" s="2">
        <v>0.504340907111268</v>
      </c>
      <c r="T103" s="2">
        <v>4098.6105933052004</v>
      </c>
      <c r="U103" s="2">
        <v>753</v>
      </c>
      <c r="V103" s="2">
        <v>1569</v>
      </c>
      <c r="W103" s="2">
        <v>2577.0058521404299</v>
      </c>
      <c r="X103" s="2">
        <v>1385097.7549843099</v>
      </c>
      <c r="Y103" s="2">
        <v>-12305.3097009865</v>
      </c>
      <c r="Z103" s="2">
        <v>634.64685468423704</v>
      </c>
      <c r="AA103" s="2">
        <v>34.651192068561699</v>
      </c>
      <c r="AB103" s="2">
        <v>0.896315635835917</v>
      </c>
      <c r="AC103" s="2">
        <v>4.2122836738628697</v>
      </c>
      <c r="AD103" s="2">
        <v>3.58767245194647</v>
      </c>
      <c r="AE103" s="2">
        <v>0.33381725979198701</v>
      </c>
      <c r="AF103" s="2">
        <v>0.24780005593020801</v>
      </c>
      <c r="AG103" s="2">
        <v>0.99403323902099605</v>
      </c>
      <c r="AH103" s="2">
        <v>0.94917256833100805</v>
      </c>
      <c r="AI103" s="2">
        <v>-0.24848836161161</v>
      </c>
      <c r="AJ103" s="2">
        <v>0.96547366954132996</v>
      </c>
      <c r="AK103" s="2">
        <v>1.68695031069668E-3</v>
      </c>
      <c r="AL103" s="2">
        <v>9.8481494666195104</v>
      </c>
      <c r="AM103" s="2">
        <v>8.2631500717938007</v>
      </c>
      <c r="AN103" s="2">
        <v>1522.9422925788699</v>
      </c>
      <c r="AO103" s="2">
        <v>0.17098263080485801</v>
      </c>
      <c r="AP103" s="2">
        <v>204.03693724037299</v>
      </c>
      <c r="AQ103" s="2">
        <v>169.74752630467901</v>
      </c>
      <c r="AR103" s="2">
        <v>2497.10856629617</v>
      </c>
      <c r="AS103" s="2">
        <v>15.2880880206579</v>
      </c>
      <c r="AT103" s="2">
        <v>46933.593353542201</v>
      </c>
      <c r="AU103" s="2">
        <v>8.6630778775036998E-3</v>
      </c>
      <c r="AV103" s="2">
        <v>9.9631663475386201E-4</v>
      </c>
      <c r="AW103" s="2">
        <v>0.114274896259491</v>
      </c>
      <c r="AX103" s="2">
        <v>2.26892396433562E-3</v>
      </c>
      <c r="AY103" s="2">
        <v>5366.6643098168597</v>
      </c>
      <c r="AZ103" s="2">
        <v>0.149464248390211</v>
      </c>
      <c r="BA103" s="2">
        <v>5.0456631494673996</v>
      </c>
      <c r="BB103" s="2">
        <v>215</v>
      </c>
    </row>
    <row r="104" spans="1:54" ht="15.75" customHeight="1" x14ac:dyDescent="0.15">
      <c r="A104" s="1" t="s">
        <v>320</v>
      </c>
      <c r="B104" s="1" t="s">
        <v>321</v>
      </c>
      <c r="C104" s="5" t="s">
        <v>322</v>
      </c>
      <c r="D104" s="1" t="s">
        <v>304</v>
      </c>
      <c r="E104" s="2">
        <v>162</v>
      </c>
      <c r="F104" s="2">
        <v>57277</v>
      </c>
      <c r="G104" s="2">
        <v>4068</v>
      </c>
      <c r="H104" s="2">
        <f t="shared" si="0"/>
        <v>61507</v>
      </c>
      <c r="I104" s="2">
        <v>87918</v>
      </c>
      <c r="J104" s="2">
        <v>1402124</v>
      </c>
      <c r="K104" s="2">
        <f t="shared" si="1"/>
        <v>4.3867018894191957E-2</v>
      </c>
      <c r="M104" s="2">
        <v>0.47519000776690801</v>
      </c>
      <c r="N104" s="2">
        <v>0.29487435241769899</v>
      </c>
      <c r="O104" s="2">
        <v>4.8503980066676</v>
      </c>
      <c r="P104" s="2">
        <v>16.449033179382202</v>
      </c>
      <c r="Q104" s="2">
        <v>9.4868329805051399</v>
      </c>
      <c r="R104" s="2">
        <v>7.8164162042688003</v>
      </c>
      <c r="S104" s="2">
        <v>0.494390368727045</v>
      </c>
      <c r="T104" s="2">
        <v>268.78573415738498</v>
      </c>
      <c r="U104" s="2">
        <v>737.1</v>
      </c>
      <c r="V104" s="2">
        <v>1000</v>
      </c>
      <c r="W104" s="2">
        <v>126.020139975547</v>
      </c>
      <c r="X104" s="2">
        <v>13975.057503398</v>
      </c>
      <c r="Y104" s="2">
        <v>420.961627798238</v>
      </c>
      <c r="Z104" s="2">
        <v>61.339080374602503</v>
      </c>
      <c r="AA104" s="2">
        <v>11.109854321094399</v>
      </c>
      <c r="AB104" s="2">
        <v>0.68926299276646497</v>
      </c>
      <c r="AC104" s="2">
        <v>2.5625748170454501</v>
      </c>
      <c r="AD104" s="2">
        <v>2.73149265332323</v>
      </c>
      <c r="AE104" s="2">
        <v>0.41431174458290099</v>
      </c>
      <c r="AF104" s="2">
        <v>0.33614785139948</v>
      </c>
      <c r="AG104" s="2">
        <v>0.98175300679184196</v>
      </c>
      <c r="AH104" s="2">
        <v>0.90903949246609805</v>
      </c>
      <c r="AI104" s="2">
        <v>-0.38837005283265902</v>
      </c>
      <c r="AJ104" s="2">
        <v>0.97207194217744497</v>
      </c>
      <c r="AK104" s="2">
        <v>1.6403589850038099E-2</v>
      </c>
      <c r="AL104" s="2">
        <v>6.2121167852099504</v>
      </c>
      <c r="AM104" s="2">
        <v>5.7336148771640296</v>
      </c>
      <c r="AN104" s="2">
        <v>33.172839506172799</v>
      </c>
      <c r="AO104" s="2">
        <v>0.204770614235635</v>
      </c>
      <c r="AP104" s="2">
        <v>12.7530864197531</v>
      </c>
      <c r="AQ104" s="2">
        <v>20.4708504801097</v>
      </c>
      <c r="AR104" s="2">
        <v>131.5</v>
      </c>
      <c r="AS104" s="2">
        <v>10.2222222222222</v>
      </c>
      <c r="AT104" s="2">
        <v>1182.7469135802501</v>
      </c>
      <c r="AU104" s="2">
        <v>0.16009150707766701</v>
      </c>
      <c r="AV104" s="2">
        <v>2.2264853865564101E-2</v>
      </c>
      <c r="AW104" s="2">
        <v>9.8198690849279902E-2</v>
      </c>
      <c r="AX104" s="2">
        <v>5.5880919116944303E-2</v>
      </c>
      <c r="AY104" s="2">
        <v>312.77146996519298</v>
      </c>
      <c r="AZ104" s="2">
        <v>0.140318064879212</v>
      </c>
      <c r="BA104" s="2">
        <v>11.2897091605612</v>
      </c>
      <c r="BB104" s="2">
        <v>149</v>
      </c>
    </row>
    <row r="105" spans="1:54" ht="15.75" customHeight="1" x14ac:dyDescent="0.15">
      <c r="A105" s="1" t="s">
        <v>323</v>
      </c>
      <c r="B105" s="1" t="s">
        <v>324</v>
      </c>
      <c r="C105" s="5" t="s">
        <v>325</v>
      </c>
      <c r="D105" s="1" t="s">
        <v>304</v>
      </c>
      <c r="E105" s="2">
        <v>0</v>
      </c>
      <c r="F105" s="2">
        <v>23459</v>
      </c>
      <c r="G105" s="2">
        <v>333</v>
      </c>
      <c r="H105" s="2">
        <f t="shared" si="0"/>
        <v>23792</v>
      </c>
      <c r="I105" s="2">
        <v>29041</v>
      </c>
      <c r="J105" s="2">
        <v>1344340</v>
      </c>
      <c r="K105" s="2">
        <f t="shared" si="1"/>
        <v>1.7697903804097179E-2</v>
      </c>
      <c r="M105" s="2">
        <v>0.91817945124453804</v>
      </c>
      <c r="N105" s="2">
        <v>0.63065736158229502</v>
      </c>
      <c r="O105" s="2">
        <v>25.416068997763599</v>
      </c>
      <c r="P105" s="2">
        <v>40.3009154352781</v>
      </c>
      <c r="Q105" s="2">
        <v>46.872166581031898</v>
      </c>
      <c r="R105" s="2">
        <v>37.003472419016198</v>
      </c>
      <c r="S105" s="2">
        <v>0.63682785847407497</v>
      </c>
      <c r="T105" s="2">
        <v>6217.3525248018204</v>
      </c>
      <c r="U105" s="2">
        <v>610</v>
      </c>
      <c r="V105" s="2">
        <v>926</v>
      </c>
      <c r="W105" s="2">
        <v>287.66761307900202</v>
      </c>
      <c r="X105" s="2">
        <v>17972.220920002299</v>
      </c>
      <c r="Y105" s="2">
        <v>-227.575146554112</v>
      </c>
      <c r="Z105" s="2">
        <v>83.129607601700698</v>
      </c>
      <c r="AA105" s="2">
        <v>6.1103266245643804</v>
      </c>
      <c r="AB105" s="2">
        <v>0.86272370323966197</v>
      </c>
      <c r="AC105" s="2">
        <v>1.7619660812744899</v>
      </c>
      <c r="AD105" s="2">
        <v>2.4667622758091601</v>
      </c>
      <c r="AE105" s="2">
        <v>0.50324643888611698</v>
      </c>
      <c r="AF105" s="2">
        <v>0.44306666678856899</v>
      </c>
      <c r="AG105" s="2">
        <v>0.99607363371853697</v>
      </c>
      <c r="AH105" s="2">
        <v>0.95838838427574402</v>
      </c>
      <c r="AI105" s="2">
        <v>-0.25654706600391097</v>
      </c>
      <c r="AJ105" s="2">
        <v>0.93340364876095006</v>
      </c>
      <c r="AK105" s="2">
        <v>9.6584227178772106E-3</v>
      </c>
      <c r="AL105" s="2">
        <v>7.3599349271459298</v>
      </c>
      <c r="AM105" s="2">
        <v>7.7998760839316397</v>
      </c>
      <c r="AN105" s="2">
        <v>2153.4955880472298</v>
      </c>
      <c r="AO105" s="2">
        <v>9.1798268811425499E-2</v>
      </c>
      <c r="AP105" s="2">
        <v>1404.1303124600399</v>
      </c>
      <c r="AQ105" s="2">
        <v>23.9041046607176</v>
      </c>
      <c r="AR105" s="2">
        <v>282.05567159725501</v>
      </c>
      <c r="AS105" s="2">
        <v>50.427426574022803</v>
      </c>
      <c r="AT105" s="2">
        <v>16248.165480199499</v>
      </c>
      <c r="AU105" s="2">
        <v>0.230012266788817</v>
      </c>
      <c r="AV105" s="2">
        <v>6.1793345927484804E-3</v>
      </c>
      <c r="AW105" s="2">
        <v>1.48009936453525</v>
      </c>
      <c r="AX105" s="2">
        <v>8.5253868906204095E-4</v>
      </c>
      <c r="AY105" s="2">
        <v>633.06607260062594</v>
      </c>
      <c r="AZ105" s="2">
        <v>3.2443500331238002E-2</v>
      </c>
      <c r="BA105" s="2">
        <v>0.53731733737392395</v>
      </c>
      <c r="BB105" s="2">
        <v>490</v>
      </c>
    </row>
    <row r="106" spans="1:54" ht="15.75" customHeight="1" x14ac:dyDescent="0.15">
      <c r="A106" s="1" t="s">
        <v>326</v>
      </c>
      <c r="B106" s="1" t="s">
        <v>327</v>
      </c>
      <c r="C106" s="5" t="s">
        <v>328</v>
      </c>
      <c r="D106" s="1" t="s">
        <v>304</v>
      </c>
      <c r="E106" s="2">
        <v>0</v>
      </c>
      <c r="F106" s="2">
        <v>35725</v>
      </c>
      <c r="G106" s="2">
        <v>27216</v>
      </c>
      <c r="H106" s="2">
        <f t="shared" si="0"/>
        <v>62941</v>
      </c>
      <c r="I106" s="2">
        <v>94667</v>
      </c>
      <c r="J106" s="2">
        <v>1470641</v>
      </c>
      <c r="K106" s="2">
        <f t="shared" si="1"/>
        <v>4.2798344395403094E-2</v>
      </c>
      <c r="M106" s="2">
        <v>0.78257710731710695</v>
      </c>
      <c r="N106" s="2">
        <v>0.52337442125820999</v>
      </c>
      <c r="O106" s="2">
        <v>33.121087136087397</v>
      </c>
      <c r="P106" s="2">
        <v>63.283733004114303</v>
      </c>
      <c r="Q106" s="2">
        <v>82.607505712253499</v>
      </c>
      <c r="R106" s="2">
        <v>49.524400714587898</v>
      </c>
      <c r="S106" s="2">
        <v>0.30817604028177398</v>
      </c>
      <c r="T106" s="2">
        <v>16958.915461253899</v>
      </c>
      <c r="U106" s="2">
        <v>418</v>
      </c>
      <c r="V106" s="2">
        <v>711</v>
      </c>
      <c r="W106" s="2">
        <v>499.14720810140898</v>
      </c>
      <c r="X106" s="2">
        <v>27518.927837272298</v>
      </c>
      <c r="Y106" s="2">
        <v>490.07641982770798</v>
      </c>
      <c r="Z106" s="2">
        <v>85.313723274799202</v>
      </c>
      <c r="AA106" s="2">
        <v>6.6437378739132997</v>
      </c>
      <c r="AB106" s="2">
        <v>0.85561333156214203</v>
      </c>
      <c r="AC106" s="2">
        <v>1.88874405446953</v>
      </c>
      <c r="AD106" s="2">
        <v>2.5314263790237201</v>
      </c>
      <c r="AE106" s="2">
        <v>0.47962524811130303</v>
      </c>
      <c r="AF106" s="2">
        <v>0.413552060392543</v>
      </c>
      <c r="AG106" s="2">
        <v>0.99715717567143503</v>
      </c>
      <c r="AH106" s="2">
        <v>0.96326869328165099</v>
      </c>
      <c r="AI106" s="2">
        <v>-0.236424525236889</v>
      </c>
      <c r="AJ106" s="2">
        <v>0.923784505430431</v>
      </c>
      <c r="AK106" s="2">
        <v>8.7842498110158405E-3</v>
      </c>
      <c r="AL106" s="2">
        <v>7.5118607081152904</v>
      </c>
      <c r="AM106" s="2">
        <v>7.6261262952287803</v>
      </c>
      <c r="AN106" s="2">
        <v>3884.2997060881698</v>
      </c>
      <c r="AO106" s="2">
        <v>0.10872777343843699</v>
      </c>
      <c r="AP106" s="2">
        <v>2305.77827851645</v>
      </c>
      <c r="AQ106" s="2">
        <v>22.745663997148</v>
      </c>
      <c r="AR106" s="2">
        <v>497.10004198740398</v>
      </c>
      <c r="AS106" s="2">
        <v>35.455311406577998</v>
      </c>
      <c r="AT106" s="2">
        <v>16851.523219034301</v>
      </c>
      <c r="AU106" s="2">
        <v>8.6072711170118499E-2</v>
      </c>
      <c r="AV106" s="2">
        <v>2.4949347492159001E-3</v>
      </c>
      <c r="AW106" s="2">
        <v>1.5468636540373799</v>
      </c>
      <c r="AX106" s="2">
        <v>4.7602126373028298E-4</v>
      </c>
      <c r="AY106" s="2">
        <v>1008.73128367049</v>
      </c>
      <c r="AZ106" s="2">
        <v>2.2865492169466602E-2</v>
      </c>
      <c r="BA106" s="2">
        <v>0.50784058164670498</v>
      </c>
      <c r="BB106" s="2">
        <v>122</v>
      </c>
    </row>
    <row r="107" spans="1:54" ht="15.75" customHeight="1" x14ac:dyDescent="0.15">
      <c r="A107" s="1" t="s">
        <v>329</v>
      </c>
      <c r="B107" s="1" t="s">
        <v>330</v>
      </c>
      <c r="C107" s="1" t="s">
        <v>331</v>
      </c>
      <c r="D107" s="1" t="s">
        <v>304</v>
      </c>
      <c r="E107" s="2">
        <v>11539</v>
      </c>
      <c r="F107" s="2">
        <v>100479</v>
      </c>
      <c r="G107" s="2">
        <v>25719</v>
      </c>
      <c r="H107" s="2">
        <f t="shared" si="0"/>
        <v>137737</v>
      </c>
      <c r="I107" s="2">
        <v>208152</v>
      </c>
      <c r="J107" s="2">
        <v>1542554</v>
      </c>
      <c r="K107" s="2">
        <f t="shared" si="1"/>
        <v>8.9291525612717609E-2</v>
      </c>
      <c r="M107" s="2">
        <v>0.80695676098292701</v>
      </c>
      <c r="N107" s="2">
        <v>0.63517264643018301</v>
      </c>
      <c r="O107" s="2">
        <v>23.8583735876426</v>
      </c>
      <c r="P107" s="2">
        <v>37.5620293501809</v>
      </c>
      <c r="Q107" s="2">
        <v>50.009999000199997</v>
      </c>
      <c r="R107" s="2">
        <v>30.3109335403676</v>
      </c>
      <c r="S107" s="2">
        <v>0.31846554336597199</v>
      </c>
      <c r="T107" s="2">
        <v>7687.3405220465702</v>
      </c>
      <c r="U107" s="2">
        <v>327</v>
      </c>
      <c r="V107" s="2">
        <v>1277</v>
      </c>
      <c r="W107" s="2">
        <v>1261.91711885326</v>
      </c>
      <c r="X107" s="2">
        <v>1261212.1983203299</v>
      </c>
      <c r="Y107" s="2">
        <v>1082.7919218673601</v>
      </c>
      <c r="Z107" s="2">
        <v>795.60611410665899</v>
      </c>
      <c r="AA107" s="2">
        <v>41.287396179141098</v>
      </c>
      <c r="AB107" s="2">
        <v>0.90132566649829504</v>
      </c>
      <c r="AC107" s="2">
        <v>4.4219749508341604</v>
      </c>
      <c r="AD107" s="2">
        <v>3.65213130386782</v>
      </c>
      <c r="AE107" s="2">
        <v>0.33404773367930202</v>
      </c>
      <c r="AF107" s="2">
        <v>0.24985193236825301</v>
      </c>
      <c r="AG107" s="2">
        <v>0.991039575014804</v>
      </c>
      <c r="AH107" s="2">
        <v>0.94086464913184098</v>
      </c>
      <c r="AI107" s="2">
        <v>-0.24987238087525901</v>
      </c>
      <c r="AJ107" s="2">
        <v>0.96835057063088203</v>
      </c>
      <c r="AK107" s="2">
        <v>1.2822959682742101E-3</v>
      </c>
      <c r="AL107" s="2">
        <v>10.1324082209173</v>
      </c>
      <c r="AM107" s="2">
        <v>8.4056294502676003</v>
      </c>
      <c r="AN107" s="2">
        <v>2096.8183551434299</v>
      </c>
      <c r="AO107" s="2">
        <v>0.18171577737615299</v>
      </c>
      <c r="AP107" s="2">
        <v>224.660629170639</v>
      </c>
      <c r="AQ107" s="2">
        <v>202.838282386929</v>
      </c>
      <c r="AR107" s="2">
        <v>1271.75821128347</v>
      </c>
      <c r="AS107" s="2">
        <v>13.661929109974899</v>
      </c>
      <c r="AT107" s="2">
        <v>19346.2828667996</v>
      </c>
      <c r="AU107" s="2">
        <v>3.4475459579859001E-2</v>
      </c>
      <c r="AV107" s="2">
        <v>3.2158248313604401E-3</v>
      </c>
      <c r="AW107" s="2">
        <v>0.29126461423265398</v>
      </c>
      <c r="AX107" s="2">
        <v>2.0318240911000301E-3</v>
      </c>
      <c r="AY107" s="2">
        <v>3659.5787935687299</v>
      </c>
      <c r="AZ107" s="2">
        <v>0.21615431616321401</v>
      </c>
      <c r="BA107" s="2">
        <v>2.8345936685900601</v>
      </c>
      <c r="BB107" s="2">
        <v>342</v>
      </c>
    </row>
    <row r="108" spans="1:54" ht="15.75" customHeight="1" x14ac:dyDescent="0.15">
      <c r="A108" s="1" t="s">
        <v>332</v>
      </c>
      <c r="B108" s="1" t="s">
        <v>333</v>
      </c>
      <c r="C108" s="5" t="s">
        <v>334</v>
      </c>
      <c r="D108" s="1" t="s">
        <v>304</v>
      </c>
      <c r="E108" s="2">
        <v>32628</v>
      </c>
      <c r="F108" s="2">
        <v>65980</v>
      </c>
      <c r="G108" s="2">
        <v>30664</v>
      </c>
      <c r="H108" s="2">
        <f t="shared" si="0"/>
        <v>129272</v>
      </c>
      <c r="I108" s="2">
        <v>217310</v>
      </c>
      <c r="J108" s="2">
        <v>1437727</v>
      </c>
      <c r="K108" s="2">
        <f t="shared" si="1"/>
        <v>8.9914149209133584E-2</v>
      </c>
      <c r="M108" s="2">
        <v>0.70631107496534595</v>
      </c>
      <c r="N108" s="2">
        <v>0.50426321225832504</v>
      </c>
      <c r="O108" s="2">
        <v>26.013770414565901</v>
      </c>
      <c r="P108" s="2">
        <v>51.587682349589002</v>
      </c>
      <c r="Q108" s="2">
        <v>60.876925020897701</v>
      </c>
      <c r="R108" s="2">
        <v>36.4369513753091</v>
      </c>
      <c r="S108" s="2">
        <v>0.58761651441249996</v>
      </c>
      <c r="T108" s="2">
        <v>8384.4492015390606</v>
      </c>
      <c r="U108" s="2">
        <v>538</v>
      </c>
      <c r="V108" s="2">
        <v>1628</v>
      </c>
      <c r="W108" s="2">
        <v>2812.8774740877798</v>
      </c>
      <c r="X108" s="2">
        <v>4254482.8604297498</v>
      </c>
      <c r="Y108" s="2">
        <v>-44228.945001791202</v>
      </c>
      <c r="Z108" s="2">
        <v>1105.2751663440199</v>
      </c>
      <c r="AA108" s="2">
        <v>61.747160555513403</v>
      </c>
      <c r="AB108" s="2">
        <v>0.89386904740143802</v>
      </c>
      <c r="AC108" s="2">
        <v>4.7825455900871301</v>
      </c>
      <c r="AD108" s="2">
        <v>3.73790008122706</v>
      </c>
      <c r="AE108" s="2">
        <v>0.39324332407919699</v>
      </c>
      <c r="AF108" s="2">
        <v>0.32842365795110701</v>
      </c>
      <c r="AG108" s="2">
        <v>0.99010719930979596</v>
      </c>
      <c r="AH108" s="2">
        <v>0.94564659211841495</v>
      </c>
      <c r="AI108" s="2">
        <v>-0.25455938500610298</v>
      </c>
      <c r="AJ108" s="2">
        <v>0.96433681255657</v>
      </c>
      <c r="AK108" s="2">
        <v>4.6717740979806896E-3</v>
      </c>
      <c r="AL108" s="2">
        <v>9.6744259866884192</v>
      </c>
      <c r="AM108" s="2">
        <v>8.6084771368212198</v>
      </c>
      <c r="AN108" s="2">
        <v>4024.19756037759</v>
      </c>
      <c r="AO108" s="2">
        <v>0.12333571044433</v>
      </c>
      <c r="AP108" s="2">
        <v>937.17463528257895</v>
      </c>
      <c r="AQ108" s="2">
        <v>285.93039817048799</v>
      </c>
      <c r="AR108" s="2">
        <v>2793.1318499448298</v>
      </c>
      <c r="AS108" s="2">
        <v>47.591210003677801</v>
      </c>
      <c r="AT108" s="2">
        <v>182007.574169425</v>
      </c>
      <c r="AU108" s="2">
        <v>0.29759326216320198</v>
      </c>
      <c r="AV108" s="2">
        <v>4.9236839948853302E-3</v>
      </c>
      <c r="AW108" s="2">
        <v>0.35364205248991698</v>
      </c>
      <c r="AX108" s="2">
        <v>5.6452175965339695E-4</v>
      </c>
      <c r="AY108" s="2">
        <v>6194.7892848663696</v>
      </c>
      <c r="AZ108" s="2">
        <v>0.26746293396635901</v>
      </c>
      <c r="BA108" s="2">
        <v>1.5746118515329099</v>
      </c>
      <c r="BB108" s="2">
        <v>248</v>
      </c>
    </row>
    <row r="109" spans="1:54" ht="15.75" customHeight="1" x14ac:dyDescent="0.15">
      <c r="A109" s="1" t="s">
        <v>335</v>
      </c>
      <c r="B109" s="1" t="s">
        <v>336</v>
      </c>
      <c r="C109" s="5" t="s">
        <v>337</v>
      </c>
      <c r="D109" s="1" t="s">
        <v>304</v>
      </c>
      <c r="E109" s="2">
        <v>7899</v>
      </c>
      <c r="F109" s="2">
        <v>87045</v>
      </c>
      <c r="G109" s="2">
        <v>32444</v>
      </c>
      <c r="H109" s="2">
        <f t="shared" si="0"/>
        <v>127388</v>
      </c>
      <c r="I109" s="2">
        <v>176333</v>
      </c>
      <c r="J109" s="2">
        <v>1553129</v>
      </c>
      <c r="K109" s="2">
        <f t="shared" si="1"/>
        <v>8.202023141670782E-2</v>
      </c>
      <c r="M109" s="2">
        <v>0.54290596569344896</v>
      </c>
      <c r="N109" s="2">
        <v>0.451693396791433</v>
      </c>
      <c r="O109" s="2">
        <v>18.9688564615724</v>
      </c>
      <c r="P109" s="2">
        <v>41.994982871824497</v>
      </c>
      <c r="Q109" s="2">
        <v>42.801869118065397</v>
      </c>
      <c r="R109" s="2">
        <v>22.799326730307701</v>
      </c>
      <c r="S109" s="2">
        <v>0.389623486409024</v>
      </c>
      <c r="T109" s="2">
        <v>4854.4107079953401</v>
      </c>
      <c r="U109" s="2">
        <v>719</v>
      </c>
      <c r="V109" s="2">
        <v>1228</v>
      </c>
      <c r="W109" s="2">
        <v>508.65004732853902</v>
      </c>
      <c r="X109" s="2">
        <v>90907.802374549894</v>
      </c>
      <c r="Y109" s="2">
        <v>372.89800522989901</v>
      </c>
      <c r="Z109" s="2">
        <v>214.98212092049499</v>
      </c>
      <c r="AA109" s="2">
        <v>8.8404823460528608</v>
      </c>
      <c r="AB109" s="2">
        <v>0.92114020760274695</v>
      </c>
      <c r="AC109" s="2">
        <v>2.22015505277529</v>
      </c>
      <c r="AD109" s="2">
        <v>2.7181967241189402</v>
      </c>
      <c r="AE109" s="2">
        <v>0.44388961777185099</v>
      </c>
      <c r="AF109" s="2">
        <v>0.369953632842554</v>
      </c>
      <c r="AG109" s="2">
        <v>0.99370674219800204</v>
      </c>
      <c r="AH109" s="2">
        <v>0.94565089343789299</v>
      </c>
      <c r="AI109" s="2">
        <v>-0.29412106654215803</v>
      </c>
      <c r="AJ109" s="2">
        <v>0.96655005170290398</v>
      </c>
      <c r="AK109" s="2">
        <v>4.3148664212999304E-3</v>
      </c>
      <c r="AL109" s="2">
        <v>8.2187401944324208</v>
      </c>
      <c r="AM109" s="2">
        <v>7.7987003270185999</v>
      </c>
      <c r="AN109" s="2">
        <v>1024.9080896316</v>
      </c>
      <c r="AO109" s="2">
        <v>0.129751625475579</v>
      </c>
      <c r="AP109" s="2">
        <v>303.28433978984702</v>
      </c>
      <c r="AQ109" s="2">
        <v>54.703946477333702</v>
      </c>
      <c r="AR109" s="2">
        <v>467.21192556019702</v>
      </c>
      <c r="AS109" s="2">
        <v>27.030383592859899</v>
      </c>
      <c r="AT109" s="2">
        <v>15729.427395872901</v>
      </c>
      <c r="AU109" s="2">
        <v>9.7119229686342803E-2</v>
      </c>
      <c r="AV109" s="2">
        <v>4.0752528897694002E-3</v>
      </c>
      <c r="AW109" s="2">
        <v>0.66644701768930803</v>
      </c>
      <c r="AX109" s="2">
        <v>2.7896938909800998E-3</v>
      </c>
      <c r="AY109" s="2">
        <v>627.66759956525402</v>
      </c>
      <c r="AZ109" s="2">
        <v>9.6074484045990394E-2</v>
      </c>
      <c r="BA109" s="2">
        <v>1.3649558576763301</v>
      </c>
      <c r="BB109" s="2">
        <v>516</v>
      </c>
    </row>
    <row r="110" spans="1:54" ht="15.75" customHeight="1" x14ac:dyDescent="0.15">
      <c r="A110" s="1" t="s">
        <v>338</v>
      </c>
      <c r="B110" s="1" t="s">
        <v>339</v>
      </c>
      <c r="C110" s="5" t="s">
        <v>340</v>
      </c>
      <c r="D110" s="1" t="s">
        <v>304</v>
      </c>
      <c r="E110" s="2">
        <v>16548</v>
      </c>
      <c r="F110" s="2">
        <v>107092</v>
      </c>
      <c r="G110" s="2">
        <v>30371</v>
      </c>
      <c r="H110" s="2">
        <f t="shared" si="0"/>
        <v>154011</v>
      </c>
      <c r="I110" s="2">
        <v>208995</v>
      </c>
      <c r="J110" s="2">
        <v>1324075</v>
      </c>
      <c r="K110" s="2">
        <f t="shared" si="1"/>
        <v>0.11631591866019673</v>
      </c>
      <c r="M110" s="2">
        <v>0.80717731925075498</v>
      </c>
      <c r="N110" s="2">
        <v>0.63840170833267795</v>
      </c>
      <c r="O110" s="2">
        <v>24.033793175805901</v>
      </c>
      <c r="P110" s="2">
        <v>37.6468183936652</v>
      </c>
      <c r="Q110" s="2">
        <v>45.398237851264703</v>
      </c>
      <c r="R110" s="2">
        <v>30.387657949318701</v>
      </c>
      <c r="S110" s="2">
        <v>0.62231657700941501</v>
      </c>
      <c r="T110" s="2">
        <v>5036.0068090980103</v>
      </c>
      <c r="U110" s="2">
        <v>1011</v>
      </c>
      <c r="V110" s="2">
        <v>1367</v>
      </c>
      <c r="W110" s="2">
        <v>1087.3474519628201</v>
      </c>
      <c r="X110" s="2">
        <v>50201.318358230303</v>
      </c>
      <c r="Y110" s="2">
        <v>-523.17880586790704</v>
      </c>
      <c r="Z110" s="2">
        <v>114.234022161788</v>
      </c>
      <c r="AA110" s="2">
        <v>15.0234623888767</v>
      </c>
      <c r="AB110" s="2">
        <v>0.76693739782057102</v>
      </c>
      <c r="AC110" s="2">
        <v>2.8671185887206501</v>
      </c>
      <c r="AD110" s="2">
        <v>3.0409202300676901</v>
      </c>
      <c r="AE110" s="2">
        <v>0.39066085460654798</v>
      </c>
      <c r="AF110" s="2">
        <v>0.30702482011980098</v>
      </c>
      <c r="AG110" s="2">
        <v>0.99563682885687099</v>
      </c>
      <c r="AH110" s="2">
        <v>0.95452912540679502</v>
      </c>
      <c r="AI110" s="2">
        <v>-0.16720177273848</v>
      </c>
      <c r="AJ110" s="2">
        <v>0.86621460439707898</v>
      </c>
      <c r="AK110" s="2">
        <v>4.8904554409503103E-3</v>
      </c>
      <c r="AL110" s="2">
        <v>8.2940944970439805</v>
      </c>
      <c r="AM110" s="2">
        <v>7.4938535837552802</v>
      </c>
      <c r="AN110" s="2">
        <v>2358.5900410925801</v>
      </c>
      <c r="AO110" s="2">
        <v>0.142530217614973</v>
      </c>
      <c r="AP110" s="2">
        <v>846.30601885424198</v>
      </c>
      <c r="AQ110" s="2">
        <v>33.897027210825897</v>
      </c>
      <c r="AR110" s="2">
        <v>1076.5297316896299</v>
      </c>
      <c r="AS110" s="2">
        <v>20.663524292965899</v>
      </c>
      <c r="AT110" s="2">
        <v>23524.909112883699</v>
      </c>
      <c r="AU110" s="2">
        <v>2.0596318399583199E-2</v>
      </c>
      <c r="AV110" s="2">
        <v>1.22014576794607E-3</v>
      </c>
      <c r="AW110" s="2">
        <v>0.48063167567515402</v>
      </c>
      <c r="AX110" s="2">
        <v>8.4886595709431599E-4</v>
      </c>
      <c r="AY110" s="2">
        <v>2294.2467122835901</v>
      </c>
      <c r="AZ110" s="2">
        <v>3.7448841719321897E-2</v>
      </c>
      <c r="BA110" s="2">
        <v>1.26030735690812</v>
      </c>
      <c r="BB110" s="2">
        <v>324</v>
      </c>
    </row>
    <row r="111" spans="1:54" ht="15.75" customHeight="1" x14ac:dyDescent="0.15">
      <c r="A111" s="1" t="s">
        <v>341</v>
      </c>
      <c r="B111" s="1" t="s">
        <v>342</v>
      </c>
      <c r="C111" s="1" t="s">
        <v>343</v>
      </c>
      <c r="D111" s="1" t="s">
        <v>304</v>
      </c>
      <c r="E111" s="2">
        <v>2881</v>
      </c>
      <c r="F111" s="2">
        <v>65434</v>
      </c>
      <c r="G111" s="2">
        <v>9819</v>
      </c>
      <c r="H111" s="2">
        <f t="shared" si="0"/>
        <v>78134</v>
      </c>
      <c r="I111" s="2">
        <v>122540</v>
      </c>
      <c r="J111" s="2">
        <v>1613537</v>
      </c>
      <c r="K111" s="2">
        <f t="shared" si="1"/>
        <v>4.8424052252907746E-2</v>
      </c>
      <c r="M111" s="2">
        <v>0.92467193514705603</v>
      </c>
      <c r="N111" s="2">
        <v>0.59150295151673804</v>
      </c>
      <c r="O111" s="2">
        <v>13.1064499424249</v>
      </c>
      <c r="P111" s="2">
        <v>22.157877503091399</v>
      </c>
      <c r="Q111" s="2">
        <v>29.410882339705498</v>
      </c>
      <c r="R111" s="2">
        <v>20.488767469534999</v>
      </c>
      <c r="S111" s="2">
        <v>0.44883700753387201</v>
      </c>
      <c r="T111" s="2">
        <v>2137.7738453413799</v>
      </c>
      <c r="U111" s="2">
        <v>1086</v>
      </c>
      <c r="V111" s="2">
        <v>1693</v>
      </c>
      <c r="W111" s="2">
        <v>1231.4568341310601</v>
      </c>
      <c r="X111" s="2">
        <v>150070.62222938801</v>
      </c>
      <c r="Y111" s="2">
        <v>-1162.6187043438299</v>
      </c>
      <c r="Z111" s="2">
        <v>253.7045095144</v>
      </c>
      <c r="AA111" s="2">
        <v>29.698393009241801</v>
      </c>
      <c r="AB111" s="2">
        <v>0.78979456811742599</v>
      </c>
      <c r="AC111" s="2">
        <v>4.0553742955512799</v>
      </c>
      <c r="AD111" s="2">
        <v>3.4921750372939999</v>
      </c>
      <c r="AE111" s="2">
        <v>0.325558553120952</v>
      </c>
      <c r="AF111" s="2">
        <v>0.23562120455926999</v>
      </c>
      <c r="AG111" s="2">
        <v>0.989111433689571</v>
      </c>
      <c r="AH111" s="2">
        <v>0.93005522801913698</v>
      </c>
      <c r="AI111" s="2">
        <v>-0.19207964789344301</v>
      </c>
      <c r="AJ111" s="2">
        <v>0.91581583979391501</v>
      </c>
      <c r="AK111" s="2">
        <v>2.28366712167347E-3</v>
      </c>
      <c r="AL111" s="2">
        <v>9.1068891790035202</v>
      </c>
      <c r="AM111" s="2">
        <v>7.4254869469773102</v>
      </c>
      <c r="AN111" s="2">
        <v>589.21381464769195</v>
      </c>
      <c r="AO111" s="2">
        <v>0.20451711719808799</v>
      </c>
      <c r="AP111" s="2">
        <v>88.353002429711907</v>
      </c>
      <c r="AQ111" s="2">
        <v>80.230551913390599</v>
      </c>
      <c r="AR111" s="2">
        <v>1126.81256508157</v>
      </c>
      <c r="AS111" s="2">
        <v>10.480735855605699</v>
      </c>
      <c r="AT111" s="2">
        <v>14202.708434571299</v>
      </c>
      <c r="AU111" s="2">
        <v>1.1277506344743501E-2</v>
      </c>
      <c r="AV111" s="2">
        <v>1.73119587009518E-3</v>
      </c>
      <c r="AW111" s="2">
        <v>0.14708857236271999</v>
      </c>
      <c r="AX111" s="2">
        <v>5.1733217766026301E-3</v>
      </c>
      <c r="AY111" s="2">
        <v>2096.4816076410202</v>
      </c>
      <c r="AZ111" s="2">
        <v>0.17090906380721799</v>
      </c>
      <c r="BA111" s="2">
        <v>4.1817870078257604</v>
      </c>
      <c r="BB111" s="2">
        <v>416</v>
      </c>
    </row>
    <row r="112" spans="1:54" ht="15.75" customHeight="1" x14ac:dyDescent="0.15">
      <c r="A112" s="1" t="s">
        <v>344</v>
      </c>
      <c r="B112" s="1" t="s">
        <v>345</v>
      </c>
      <c r="C112" s="5" t="s">
        <v>346</v>
      </c>
      <c r="D112" s="1" t="s">
        <v>304</v>
      </c>
      <c r="E112" s="2">
        <v>1806</v>
      </c>
      <c r="F112" s="2">
        <v>44333</v>
      </c>
      <c r="G112" s="2">
        <v>16373</v>
      </c>
      <c r="H112" s="2">
        <f t="shared" si="0"/>
        <v>62512</v>
      </c>
      <c r="I112" s="2">
        <v>219824</v>
      </c>
      <c r="J112" s="2">
        <v>1560894</v>
      </c>
      <c r="K112" s="2">
        <f t="shared" si="1"/>
        <v>4.0048843803615106E-2</v>
      </c>
      <c r="M112" s="2">
        <v>0.68819951030316195</v>
      </c>
      <c r="N112" s="2">
        <v>0.392225113945538</v>
      </c>
      <c r="O112" s="2">
        <v>13.542479573573001</v>
      </c>
      <c r="P112" s="2">
        <v>34.527313759550303</v>
      </c>
      <c r="Q112" s="2">
        <v>39.812058474788799</v>
      </c>
      <c r="R112" s="2">
        <v>23.761680421406201</v>
      </c>
      <c r="S112" s="2">
        <v>0.38537701059771701</v>
      </c>
      <c r="T112" s="2">
        <v>1808.4631723971399</v>
      </c>
      <c r="U112" s="2">
        <v>589.5</v>
      </c>
      <c r="V112" s="2">
        <v>1089</v>
      </c>
      <c r="W112" s="2">
        <v>544.67517147330796</v>
      </c>
      <c r="X112" s="2">
        <v>74150.657702876604</v>
      </c>
      <c r="Y112" s="2">
        <v>-1251.66105869133</v>
      </c>
      <c r="Z112" s="2">
        <v>162.79857493731799</v>
      </c>
      <c r="AA112" s="2">
        <v>13.499655566901099</v>
      </c>
      <c r="AB112" s="2">
        <v>0.84452700466374198</v>
      </c>
      <c r="AC112" s="2">
        <v>2.7160708266429401</v>
      </c>
      <c r="AD112" s="2">
        <v>2.9873468766371101</v>
      </c>
      <c r="AE112" s="2">
        <v>0.409792179680878</v>
      </c>
      <c r="AF112" s="2">
        <v>0.33032118494582402</v>
      </c>
      <c r="AG112" s="2">
        <v>0.99144524783473698</v>
      </c>
      <c r="AH112" s="2">
        <v>0.937947608231814</v>
      </c>
      <c r="AI112" s="2">
        <v>-0.24714516910408199</v>
      </c>
      <c r="AJ112" s="2">
        <v>0.94282349167481005</v>
      </c>
      <c r="AK112" s="2">
        <v>4.6421226930492502E-3</v>
      </c>
      <c r="AL112" s="2">
        <v>8.1287921176201792</v>
      </c>
      <c r="AM112" s="2">
        <v>7.4042617199762404</v>
      </c>
      <c r="AN112" s="2">
        <v>278.31561461794001</v>
      </c>
      <c r="AO112" s="2">
        <v>0.154106098902514</v>
      </c>
      <c r="AP112" s="2">
        <v>73.354374307862699</v>
      </c>
      <c r="AQ112" s="2">
        <v>50.276011179665701</v>
      </c>
      <c r="AR112" s="2">
        <v>483.31229235880397</v>
      </c>
      <c r="AS112" s="2">
        <v>18.6810631229236</v>
      </c>
      <c r="AT112" s="2">
        <v>10007.055370985599</v>
      </c>
      <c r="AU112" s="2">
        <v>9.0704327058585596E-2</v>
      </c>
      <c r="AV112" s="2">
        <v>4.8217953916982999E-3</v>
      </c>
      <c r="AW112" s="2">
        <v>0.169007647047902</v>
      </c>
      <c r="AX112" s="2">
        <v>8.9056943335347298E-3</v>
      </c>
      <c r="AY112" s="2">
        <v>760.72446137448401</v>
      </c>
      <c r="AZ112" s="2">
        <v>0.13321533928511101</v>
      </c>
      <c r="BA112" s="2">
        <v>3.9110036308197</v>
      </c>
      <c r="BB112" s="2">
        <v>707</v>
      </c>
    </row>
    <row r="113" spans="1:54" ht="15.75" customHeight="1" x14ac:dyDescent="0.15">
      <c r="A113" s="1" t="s">
        <v>347</v>
      </c>
      <c r="B113" s="1" t="s">
        <v>348</v>
      </c>
      <c r="C113" s="5" t="s">
        <v>349</v>
      </c>
      <c r="D113" s="1" t="s">
        <v>304</v>
      </c>
      <c r="E113" s="2">
        <v>8234</v>
      </c>
      <c r="F113" s="2">
        <v>133130</v>
      </c>
      <c r="G113" s="2">
        <v>29674</v>
      </c>
      <c r="H113" s="2">
        <f t="shared" si="0"/>
        <v>171038</v>
      </c>
      <c r="I113" s="2">
        <v>221963</v>
      </c>
      <c r="J113" s="2">
        <v>1567695</v>
      </c>
      <c r="K113" s="2">
        <f t="shared" si="1"/>
        <v>0.10910157906990837</v>
      </c>
      <c r="M113" s="2">
        <v>0.58308484976460695</v>
      </c>
      <c r="N113" s="2">
        <v>0.45896944812979201</v>
      </c>
      <c r="O113" s="2">
        <v>18.4186480814814</v>
      </c>
      <c r="P113" s="2">
        <v>40.130444752986698</v>
      </c>
      <c r="Q113" s="2">
        <v>45.486261662176602</v>
      </c>
      <c r="R113" s="2">
        <v>23.399454349782101</v>
      </c>
      <c r="S113" s="2">
        <v>0.43491767570867401</v>
      </c>
      <c r="T113" s="2">
        <v>4509.7068408400301</v>
      </c>
      <c r="U113" s="2">
        <v>1068</v>
      </c>
      <c r="V113" s="2">
        <v>1257</v>
      </c>
      <c r="W113" s="2">
        <v>145.68929604291901</v>
      </c>
      <c r="X113" s="2">
        <v>2329.8970575551002</v>
      </c>
      <c r="Y113" s="2">
        <v>-111.55533867337699</v>
      </c>
      <c r="Z113" s="2">
        <v>29.2392315119633</v>
      </c>
      <c r="AA113" s="2">
        <v>1.36656549177063</v>
      </c>
      <c r="AB113" s="2">
        <v>0.910437257124869</v>
      </c>
      <c r="AC113" s="2">
        <v>0.82169328320497503</v>
      </c>
      <c r="AD113" s="2">
        <v>1.61536142411568</v>
      </c>
      <c r="AE113" s="2">
        <v>0.66444840028680896</v>
      </c>
      <c r="AF113" s="2">
        <v>0.641913328410461</v>
      </c>
      <c r="AG113" s="2">
        <v>0.99585282292101596</v>
      </c>
      <c r="AH113" s="2">
        <v>0.95813378474002298</v>
      </c>
      <c r="AI113" s="2">
        <v>-0.36548345267642302</v>
      </c>
      <c r="AJ113" s="2">
        <v>0.95211211792454298</v>
      </c>
      <c r="AK113" s="2">
        <v>3.44250831825679E-2</v>
      </c>
      <c r="AL113" s="2">
        <v>5.4809076313322498</v>
      </c>
      <c r="AM113" s="2">
        <v>7.4532989350149599</v>
      </c>
      <c r="AN113" s="2">
        <v>504.66504736458597</v>
      </c>
      <c r="AO113" s="2">
        <v>6.1290387097957998E-2</v>
      </c>
      <c r="AP113" s="2">
        <v>923.07262569832403</v>
      </c>
      <c r="AQ113" s="2">
        <v>8.0870154608736495</v>
      </c>
      <c r="AR113" s="2">
        <v>140.36774350255001</v>
      </c>
      <c r="AS113" s="2">
        <v>111.56254554287101</v>
      </c>
      <c r="AT113" s="2">
        <v>17223.171969881001</v>
      </c>
      <c r="AU113" s="2">
        <v>0.91494992933561503</v>
      </c>
      <c r="AV113" s="2">
        <v>1.03644140823298E-2</v>
      </c>
      <c r="AW113" s="2">
        <v>1.8758720676832501</v>
      </c>
      <c r="AX113" s="2">
        <v>2.1471615272687199E-3</v>
      </c>
      <c r="AY113" s="2">
        <v>80.064549917797095</v>
      </c>
      <c r="AZ113" s="2">
        <v>2.9580313293333899E-2</v>
      </c>
      <c r="BA113" s="2">
        <v>0.30475499737687001</v>
      </c>
      <c r="BB113" s="2">
        <v>249</v>
      </c>
    </row>
    <row r="114" spans="1:54" ht="15.75" customHeight="1" x14ac:dyDescent="0.15">
      <c r="A114" s="1" t="s">
        <v>350</v>
      </c>
      <c r="B114" s="1" t="s">
        <v>351</v>
      </c>
      <c r="C114" s="5" t="s">
        <v>352</v>
      </c>
      <c r="D114" s="1" t="s">
        <v>304</v>
      </c>
      <c r="E114" s="2">
        <v>11636</v>
      </c>
      <c r="F114" s="2">
        <v>14607</v>
      </c>
      <c r="G114" s="2">
        <v>27215</v>
      </c>
      <c r="H114" s="2">
        <f t="shared" si="0"/>
        <v>53458</v>
      </c>
      <c r="I114" s="2">
        <v>70893</v>
      </c>
      <c r="J114" s="2">
        <v>1657554</v>
      </c>
      <c r="K114" s="2">
        <f t="shared" si="1"/>
        <v>3.2251136312904438E-2</v>
      </c>
      <c r="M114" s="2">
        <v>0.56715262641818598</v>
      </c>
      <c r="N114" s="2">
        <v>0.35383792847143197</v>
      </c>
      <c r="O114" s="2">
        <v>18.4995147529905</v>
      </c>
      <c r="P114" s="2">
        <v>52.282452683656103</v>
      </c>
      <c r="Q114" s="2">
        <v>41.109609582188902</v>
      </c>
      <c r="R114" s="2">
        <v>29.6521303551201</v>
      </c>
      <c r="S114" s="2">
        <v>0.46200763686270602</v>
      </c>
      <c r="T114" s="2">
        <v>5340.2047353191701</v>
      </c>
      <c r="U114" s="2">
        <v>788</v>
      </c>
      <c r="V114" s="2">
        <v>1501</v>
      </c>
      <c r="W114" s="2">
        <v>2183.8566726581898</v>
      </c>
      <c r="X114" s="2">
        <v>689969.58105204895</v>
      </c>
      <c r="Y114" s="2">
        <v>-3262.8092339751902</v>
      </c>
      <c r="Z114" s="2">
        <v>451.80422898408</v>
      </c>
      <c r="AA114" s="2">
        <v>42.209691701626603</v>
      </c>
      <c r="AB114" s="2">
        <v>0.82906248441693897</v>
      </c>
      <c r="AC114" s="2">
        <v>4.4857288684548404</v>
      </c>
      <c r="AD114" s="2">
        <v>3.65049894888319</v>
      </c>
      <c r="AE114" s="2">
        <v>0.32435921826991398</v>
      </c>
      <c r="AF114" s="2">
        <v>0.23767213640082199</v>
      </c>
      <c r="AG114" s="2">
        <v>0.99387360653568002</v>
      </c>
      <c r="AH114" s="2">
        <v>0.950072559699496</v>
      </c>
      <c r="AI114" s="2">
        <v>-0.20832572972096</v>
      </c>
      <c r="AJ114" s="2">
        <v>0.93867711526662101</v>
      </c>
      <c r="AK114" s="2">
        <v>1.66494670811681E-3</v>
      </c>
      <c r="AL114" s="2">
        <v>9.7951151077935101</v>
      </c>
      <c r="AM114" s="2">
        <v>8.0730844922673004</v>
      </c>
      <c r="AN114" s="2">
        <v>2147.2282571330402</v>
      </c>
      <c r="AO114" s="2">
        <v>0.18453319500971399</v>
      </c>
      <c r="AP114" s="2">
        <v>298.39034032313498</v>
      </c>
      <c r="AQ114" s="2">
        <v>124.428894851164</v>
      </c>
      <c r="AR114" s="2">
        <v>2111.5073908559598</v>
      </c>
      <c r="AS114" s="2">
        <v>13.137332416637999</v>
      </c>
      <c r="AT114" s="2">
        <v>28667.2691646614</v>
      </c>
      <c r="AU114" s="2">
        <v>9.7975299525613398E-3</v>
      </c>
      <c r="AV114" s="2">
        <v>9.6832761559964098E-4</v>
      </c>
      <c r="AW114" s="2">
        <v>0.16338836096290299</v>
      </c>
      <c r="AX114" s="2">
        <v>1.50396363633663E-3</v>
      </c>
      <c r="AY114" s="2">
        <v>6829.6822140411896</v>
      </c>
      <c r="AZ114" s="2">
        <v>9.7287895058745202E-2</v>
      </c>
      <c r="BA114" s="2">
        <v>3.7625543344495198</v>
      </c>
      <c r="BB114" s="2">
        <v>376</v>
      </c>
    </row>
    <row r="115" spans="1:54" ht="15.75" customHeight="1" x14ac:dyDescent="0.15">
      <c r="A115" s="1" t="s">
        <v>353</v>
      </c>
      <c r="B115" s="1" t="s">
        <v>354</v>
      </c>
      <c r="C115" s="5" t="s">
        <v>355</v>
      </c>
      <c r="D115" s="1" t="s">
        <v>304</v>
      </c>
      <c r="E115" s="2">
        <v>1847</v>
      </c>
      <c r="F115" s="2">
        <v>21555</v>
      </c>
      <c r="G115" s="2">
        <v>12320</v>
      </c>
      <c r="H115" s="2">
        <f t="shared" si="0"/>
        <v>35722</v>
      </c>
      <c r="I115" s="2">
        <v>102951</v>
      </c>
      <c r="J115" s="2">
        <v>1480386</v>
      </c>
      <c r="K115" s="2">
        <f t="shared" si="1"/>
        <v>2.4130193071266549E-2</v>
      </c>
      <c r="M115" s="2">
        <v>0.66803978530762798</v>
      </c>
      <c r="N115" s="2">
        <v>0.46765675712247801</v>
      </c>
      <c r="O115" s="2">
        <v>14.423260136470001</v>
      </c>
      <c r="P115" s="2">
        <v>30.841551879240001</v>
      </c>
      <c r="Q115" s="2">
        <v>36.0138862107382</v>
      </c>
      <c r="R115" s="2">
        <v>20.6033836959616</v>
      </c>
      <c r="S115" s="2">
        <v>0.36275648598447502</v>
      </c>
      <c r="T115" s="2">
        <v>1933.6453568827301</v>
      </c>
      <c r="U115" s="2">
        <v>1076</v>
      </c>
      <c r="V115" s="2">
        <v>1863</v>
      </c>
      <c r="W115" s="2">
        <v>2379.7375922834099</v>
      </c>
      <c r="X115" s="2">
        <v>588559.55006314896</v>
      </c>
      <c r="Y115" s="2">
        <v>-7568.3064441085398</v>
      </c>
      <c r="Z115" s="2">
        <v>387.493081266621</v>
      </c>
      <c r="AA115" s="2">
        <v>52.145409356864398</v>
      </c>
      <c r="AB115" s="2">
        <v>0.75897018971141805</v>
      </c>
      <c r="AC115" s="2">
        <v>5.54835192443411</v>
      </c>
      <c r="AD115" s="2">
        <v>3.8721708281663698</v>
      </c>
      <c r="AE115" s="2">
        <v>0.26751707816635001</v>
      </c>
      <c r="AF115" s="2">
        <v>0.17732337503023601</v>
      </c>
      <c r="AG115" s="2">
        <v>0.98883991453358999</v>
      </c>
      <c r="AH115" s="2">
        <v>0.92703093528743397</v>
      </c>
      <c r="AI115" s="2">
        <v>-0.21825102864469401</v>
      </c>
      <c r="AJ115" s="2">
        <v>0.94375657514592803</v>
      </c>
      <c r="AK115" s="2">
        <v>2.0739304563876398E-3</v>
      </c>
      <c r="AL115" s="2">
        <v>9.2992634901417599</v>
      </c>
      <c r="AM115" s="2">
        <v>7.1457335691427</v>
      </c>
      <c r="AN115" s="2">
        <v>529.84136437466202</v>
      </c>
      <c r="AO115" s="2">
        <v>0.286865925487093</v>
      </c>
      <c r="AP115" s="2">
        <v>49.597726042230697</v>
      </c>
      <c r="AQ115" s="2">
        <v>141.26961205765701</v>
      </c>
      <c r="AR115" s="2">
        <v>2165.92853275582</v>
      </c>
      <c r="AS115" s="2">
        <v>6.1618841364374699</v>
      </c>
      <c r="AT115" s="2">
        <v>16383.854899837601</v>
      </c>
      <c r="AU115" s="2">
        <v>4.2015979850092101E-3</v>
      </c>
      <c r="AV115" s="2">
        <v>1.2842411985252401E-3</v>
      </c>
      <c r="AW115" s="2">
        <v>5.53166873704403E-2</v>
      </c>
      <c r="AX115" s="2">
        <v>6.6153157713034197E-3</v>
      </c>
      <c r="AY115" s="2">
        <v>4829.02097493778</v>
      </c>
      <c r="AZ115" s="2">
        <v>0.27398132930409103</v>
      </c>
      <c r="BA115" s="2">
        <v>9.7331764260522196</v>
      </c>
      <c r="BB115" s="2">
        <v>598</v>
      </c>
    </row>
    <row r="116" spans="1:54" ht="15.75" customHeight="1" x14ac:dyDescent="0.15">
      <c r="A116" s="1" t="s">
        <v>356</v>
      </c>
      <c r="B116" s="1" t="s">
        <v>357</v>
      </c>
      <c r="C116" s="5" t="s">
        <v>358</v>
      </c>
      <c r="D116" s="1" t="s">
        <v>304</v>
      </c>
      <c r="E116" s="2">
        <v>4595</v>
      </c>
      <c r="F116" s="2">
        <v>44344</v>
      </c>
      <c r="G116" s="2">
        <v>22159</v>
      </c>
      <c r="H116" s="2">
        <f t="shared" si="0"/>
        <v>71098</v>
      </c>
      <c r="I116" s="2">
        <v>89005</v>
      </c>
      <c r="J116" s="2">
        <v>1744544</v>
      </c>
      <c r="K116" s="2">
        <f t="shared" si="1"/>
        <v>4.0754489425316877E-2</v>
      </c>
      <c r="M116" s="2">
        <v>0.82308854272611398</v>
      </c>
      <c r="N116" s="2">
        <v>0.65497244198814897</v>
      </c>
      <c r="O116" s="2">
        <v>24.286932937831399</v>
      </c>
      <c r="P116" s="2">
        <v>37.0808470416086</v>
      </c>
      <c r="Q116" s="2">
        <v>36.138621999185297</v>
      </c>
      <c r="R116" s="2">
        <v>30.520820354527601</v>
      </c>
      <c r="S116" s="2">
        <v>0.332252032451268</v>
      </c>
      <c r="T116" s="2">
        <v>3941.9050053413398</v>
      </c>
      <c r="U116" s="2">
        <v>858.4</v>
      </c>
      <c r="V116" s="2">
        <v>1365</v>
      </c>
      <c r="W116" s="2">
        <v>671.59275316821299</v>
      </c>
      <c r="X116" s="2">
        <v>91125.484909707797</v>
      </c>
      <c r="Y116" s="2">
        <v>-1431.1366191634199</v>
      </c>
      <c r="Z116" s="2">
        <v>205.57303373299899</v>
      </c>
      <c r="AA116" s="2">
        <v>10.257616122691701</v>
      </c>
      <c r="AB116" s="2">
        <v>0.90446389361840795</v>
      </c>
      <c r="AC116" s="2">
        <v>2.1502086099952402</v>
      </c>
      <c r="AD116" s="2">
        <v>2.7242038270366198</v>
      </c>
      <c r="AE116" s="2">
        <v>0.47454304083937499</v>
      </c>
      <c r="AF116" s="2">
        <v>0.40908511446170298</v>
      </c>
      <c r="AG116" s="2">
        <v>0.99329648511529001</v>
      </c>
      <c r="AH116" s="2">
        <v>0.94935300875439299</v>
      </c>
      <c r="AI116" s="2">
        <v>-0.29703797444017899</v>
      </c>
      <c r="AJ116" s="2">
        <v>0.96432605816543304</v>
      </c>
      <c r="AK116" s="2">
        <v>7.1157586150419096E-3</v>
      </c>
      <c r="AL116" s="2">
        <v>7.9392269398282398</v>
      </c>
      <c r="AM116" s="2">
        <v>7.8667026239378401</v>
      </c>
      <c r="AN116" s="2">
        <v>530.13122959738905</v>
      </c>
      <c r="AO116" s="2">
        <v>0.115371323089747</v>
      </c>
      <c r="AP116" s="2">
        <v>185.07007616975</v>
      </c>
      <c r="AQ116" s="2">
        <v>58.046557868525802</v>
      </c>
      <c r="AR116" s="2">
        <v>624.12404787812795</v>
      </c>
      <c r="AS116" s="2">
        <v>34.563438520130603</v>
      </c>
      <c r="AT116" s="2">
        <v>29357.704896626801</v>
      </c>
      <c r="AU116" s="2">
        <v>6.0973542339838399E-2</v>
      </c>
      <c r="AV116" s="2">
        <v>3.22117495729842E-3</v>
      </c>
      <c r="AW116" s="2">
        <v>0.25647437001623302</v>
      </c>
      <c r="AX116" s="2">
        <v>4.3513960162817897E-3</v>
      </c>
      <c r="AY116" s="2">
        <v>763.59399013299299</v>
      </c>
      <c r="AZ116" s="2">
        <v>0.121555019382466</v>
      </c>
      <c r="BA116" s="2">
        <v>2.1799285126641301</v>
      </c>
      <c r="BB116" s="2">
        <v>36</v>
      </c>
    </row>
    <row r="117" spans="1:54" ht="15.75" customHeight="1" x14ac:dyDescent="0.15">
      <c r="A117" s="1" t="s">
        <v>359</v>
      </c>
      <c r="B117" s="1" t="s">
        <v>360</v>
      </c>
      <c r="C117" s="5" t="s">
        <v>361</v>
      </c>
      <c r="D117" s="1" t="s">
        <v>304</v>
      </c>
      <c r="E117" s="2">
        <v>14269</v>
      </c>
      <c r="F117" s="2">
        <v>16385</v>
      </c>
      <c r="G117" s="2">
        <v>16849</v>
      </c>
      <c r="H117" s="2">
        <f t="shared" si="0"/>
        <v>47503</v>
      </c>
      <c r="I117" s="2">
        <v>62842</v>
      </c>
      <c r="J117" s="2">
        <v>1448118</v>
      </c>
      <c r="K117" s="2">
        <f t="shared" si="1"/>
        <v>3.2803266032187986E-2</v>
      </c>
      <c r="M117" s="2">
        <v>0.41467798948202</v>
      </c>
      <c r="N117" s="2">
        <v>0.37980638233337799</v>
      </c>
      <c r="O117" s="2">
        <v>22.598850568366199</v>
      </c>
      <c r="P117" s="2">
        <v>59.500976338332997</v>
      </c>
      <c r="Q117" s="2">
        <v>63.031738037277698</v>
      </c>
      <c r="R117" s="2">
        <v>24.673745240197199</v>
      </c>
      <c r="S117" s="2">
        <v>0.45556479364428099</v>
      </c>
      <c r="T117" s="2">
        <v>6220.4391716247701</v>
      </c>
      <c r="U117" s="2">
        <v>475</v>
      </c>
      <c r="V117" s="2">
        <v>1423</v>
      </c>
      <c r="W117" s="2">
        <v>785.86790094640901</v>
      </c>
      <c r="X117" s="2">
        <v>1187344.81298387</v>
      </c>
      <c r="Y117" s="2">
        <v>15761.4469452433</v>
      </c>
      <c r="Z117" s="2">
        <v>657.01817046158101</v>
      </c>
      <c r="AA117" s="2">
        <v>13.7613491237336</v>
      </c>
      <c r="AB117" s="2">
        <v>0.95893693541944203</v>
      </c>
      <c r="AC117" s="2">
        <v>2.6804200156995202</v>
      </c>
      <c r="AD117" s="2">
        <v>2.9994059524629701</v>
      </c>
      <c r="AE117" s="2">
        <v>0.41798604960235602</v>
      </c>
      <c r="AF117" s="2">
        <v>0.34070642950687802</v>
      </c>
      <c r="AG117" s="2">
        <v>0.99554948048493497</v>
      </c>
      <c r="AH117" s="2">
        <v>0.95529516190395802</v>
      </c>
      <c r="AI117" s="2">
        <v>-0.30208003111127801</v>
      </c>
      <c r="AJ117" s="2">
        <v>0.97593321380387899</v>
      </c>
      <c r="AK117" s="2">
        <v>3.5111486900193298E-3</v>
      </c>
      <c r="AL117" s="2">
        <v>8.8508139954486698</v>
      </c>
      <c r="AM117" s="2">
        <v>8.2794191473945897</v>
      </c>
      <c r="AN117" s="2">
        <v>1771.20071483636</v>
      </c>
      <c r="AO117" s="2">
        <v>0.124129281297663</v>
      </c>
      <c r="AP117" s="2">
        <v>446.366318592754</v>
      </c>
      <c r="AQ117" s="2">
        <v>163.24500830313701</v>
      </c>
      <c r="AR117" s="2">
        <v>796.63375148924194</v>
      </c>
      <c r="AS117" s="2">
        <v>29.197070572569899</v>
      </c>
      <c r="AT117" s="2">
        <v>36338.0824865092</v>
      </c>
      <c r="AU117" s="2">
        <v>8.67383828059346E-2</v>
      </c>
      <c r="AV117" s="2">
        <v>3.5022537374955801E-3</v>
      </c>
      <c r="AW117" s="2">
        <v>0.49623609527634399</v>
      </c>
      <c r="AX117" s="2">
        <v>1.6497298523595E-3</v>
      </c>
      <c r="AY117" s="2">
        <v>1776.2730081775701</v>
      </c>
      <c r="AZ117" s="2">
        <v>0.176902897161616</v>
      </c>
      <c r="BA117" s="2">
        <v>2.0409068033697801</v>
      </c>
      <c r="BB117" s="2">
        <v>316</v>
      </c>
    </row>
    <row r="118" spans="1:54" ht="15.75" customHeight="1" x14ac:dyDescent="0.15">
      <c r="A118" s="1" t="s">
        <v>362</v>
      </c>
      <c r="B118" s="1" t="s">
        <v>363</v>
      </c>
      <c r="C118" s="5" t="s">
        <v>364</v>
      </c>
      <c r="D118" s="1" t="s">
        <v>304</v>
      </c>
      <c r="E118" s="2">
        <v>1873</v>
      </c>
      <c r="F118" s="2">
        <v>63939</v>
      </c>
      <c r="G118" s="2">
        <v>26467</v>
      </c>
      <c r="H118" s="2">
        <f t="shared" si="0"/>
        <v>92279</v>
      </c>
      <c r="I118" s="2">
        <v>140367</v>
      </c>
      <c r="J118" s="2">
        <v>1342721</v>
      </c>
      <c r="K118" s="2">
        <f t="shared" si="1"/>
        <v>6.8725371838229979E-2</v>
      </c>
      <c r="M118" s="2">
        <v>0.351859550047873</v>
      </c>
      <c r="N118" s="2">
        <v>0.29766437988195499</v>
      </c>
      <c r="O118" s="2">
        <v>16.227575997530799</v>
      </c>
      <c r="P118" s="2">
        <v>54.516351617100199</v>
      </c>
      <c r="Q118" s="2">
        <v>44.011362169330802</v>
      </c>
      <c r="R118" s="2">
        <v>19.182098950244502</v>
      </c>
      <c r="S118" s="2">
        <v>0.28031833627622699</v>
      </c>
      <c r="T118" s="2">
        <v>2435.8513556830399</v>
      </c>
      <c r="U118" s="2">
        <v>654.20000000000005</v>
      </c>
      <c r="V118" s="2">
        <v>1409</v>
      </c>
      <c r="W118" s="2">
        <v>576.96916068205906</v>
      </c>
      <c r="X118" s="2">
        <v>892218.145198151</v>
      </c>
      <c r="Y118" s="2">
        <v>13375.1167962162</v>
      </c>
      <c r="Z118" s="2">
        <v>552.932029541465</v>
      </c>
      <c r="AA118" s="2">
        <v>25.6666643846178</v>
      </c>
      <c r="AB118" s="2">
        <v>0.91179244306331497</v>
      </c>
      <c r="AC118" s="2">
        <v>3.50975731911497</v>
      </c>
      <c r="AD118" s="2">
        <v>3.3174786088796799</v>
      </c>
      <c r="AE118" s="2">
        <v>0.37712133286558702</v>
      </c>
      <c r="AF118" s="2">
        <v>0.29759463215382997</v>
      </c>
      <c r="AG118" s="2">
        <v>0.992174888368487</v>
      </c>
      <c r="AH118" s="2">
        <v>0.94423083285360099</v>
      </c>
      <c r="AI118" s="2">
        <v>-0.33068767981136399</v>
      </c>
      <c r="AJ118" s="2">
        <v>0.98246245523867504</v>
      </c>
      <c r="AK118" s="2">
        <v>4.2043579624514897E-3</v>
      </c>
      <c r="AL118" s="2">
        <v>8.6252937261137195</v>
      </c>
      <c r="AM118" s="2">
        <v>7.3948284430874596</v>
      </c>
      <c r="AN118" s="2">
        <v>359.23384943940198</v>
      </c>
      <c r="AO118" s="2">
        <v>0.191795968734331</v>
      </c>
      <c r="AP118" s="2">
        <v>73.594767752269107</v>
      </c>
      <c r="AQ118" s="2">
        <v>128.023606315503</v>
      </c>
      <c r="AR118" s="2">
        <v>532.34917245061399</v>
      </c>
      <c r="AS118" s="2">
        <v>12.3710624666311</v>
      </c>
      <c r="AT118" s="2">
        <v>4755.8003203417002</v>
      </c>
      <c r="AU118" s="2">
        <v>7.0487173692502195E-2</v>
      </c>
      <c r="AV118" s="2">
        <v>5.9849525728306102E-3</v>
      </c>
      <c r="AW118" s="2">
        <v>0.12863056537982201</v>
      </c>
      <c r="AX118" s="2">
        <v>8.7595140549977107E-3</v>
      </c>
      <c r="AY118" s="2">
        <v>2454.26123390268</v>
      </c>
      <c r="AZ118" s="2">
        <v>0.163831028450451</v>
      </c>
      <c r="BA118" s="2">
        <v>13.7091526413697</v>
      </c>
      <c r="BB118" s="2">
        <v>284</v>
      </c>
    </row>
    <row r="119" spans="1:54" ht="15.75" customHeight="1" x14ac:dyDescent="0.15">
      <c r="A119" s="1" t="s">
        <v>365</v>
      </c>
      <c r="B119" s="1" t="s">
        <v>366</v>
      </c>
      <c r="C119" s="5" t="s">
        <v>367</v>
      </c>
      <c r="D119" s="1" t="s">
        <v>304</v>
      </c>
      <c r="E119" s="2">
        <v>17651</v>
      </c>
      <c r="F119" s="2">
        <v>33003</v>
      </c>
      <c r="G119" s="2">
        <v>24761</v>
      </c>
      <c r="H119" s="2">
        <f t="shared" si="0"/>
        <v>75415</v>
      </c>
      <c r="I119" s="2">
        <v>144825</v>
      </c>
      <c r="J119" s="2">
        <v>1517307</v>
      </c>
      <c r="K119" s="2">
        <f t="shared" si="1"/>
        <v>4.970319124606952E-2</v>
      </c>
      <c r="M119" s="2">
        <v>0.452924215014334</v>
      </c>
      <c r="N119" s="2">
        <v>0.33736882911830302</v>
      </c>
      <c r="O119" s="2">
        <v>22.286774437769601</v>
      </c>
      <c r="P119" s="2">
        <v>66.060561955338102</v>
      </c>
      <c r="Q119" s="2">
        <v>65.520989003524704</v>
      </c>
      <c r="R119" s="2">
        <v>29.9204281670273</v>
      </c>
      <c r="S119" s="2">
        <v>0.41973041615580298</v>
      </c>
      <c r="T119" s="2">
        <v>7785.6383771278597</v>
      </c>
      <c r="U119" s="2">
        <v>685</v>
      </c>
      <c r="V119" s="2">
        <v>1195</v>
      </c>
      <c r="W119" s="2">
        <v>673.55414088659199</v>
      </c>
      <c r="X119" s="2">
        <v>90877.297539405801</v>
      </c>
      <c r="Y119" s="2">
        <v>-433.830454348827</v>
      </c>
      <c r="Z119" s="2">
        <v>222.052472789158</v>
      </c>
      <c r="AA119" s="2">
        <v>10.5005230439274</v>
      </c>
      <c r="AB119" s="2">
        <v>0.90966089399283501</v>
      </c>
      <c r="AC119" s="2">
        <v>2.3713634836343802</v>
      </c>
      <c r="AD119" s="2">
        <v>2.8333531379522099</v>
      </c>
      <c r="AE119" s="2">
        <v>0.43799374343300801</v>
      </c>
      <c r="AF119" s="2">
        <v>0.36376945832846103</v>
      </c>
      <c r="AG119" s="2">
        <v>0.99392089389944105</v>
      </c>
      <c r="AH119" s="2">
        <v>0.94761622073065899</v>
      </c>
      <c r="AI119" s="2">
        <v>-0.26985946692147</v>
      </c>
      <c r="AJ119" s="2">
        <v>0.95801680582488202</v>
      </c>
      <c r="AK119" s="2">
        <v>4.1897733245251801E-3</v>
      </c>
      <c r="AL119" s="2">
        <v>8.3250637568160499</v>
      </c>
      <c r="AM119" s="2">
        <v>7.9956366928415203</v>
      </c>
      <c r="AN119" s="2">
        <v>2078.4855815534502</v>
      </c>
      <c r="AO119" s="2">
        <v>0.11775455110494901</v>
      </c>
      <c r="AP119" s="2">
        <v>649.33051951730795</v>
      </c>
      <c r="AQ119" s="2">
        <v>59.564096005415102</v>
      </c>
      <c r="AR119" s="2">
        <v>644.35929975638805</v>
      </c>
      <c r="AS119" s="2">
        <v>31.437708911676399</v>
      </c>
      <c r="AT119" s="2">
        <v>25205.543595263702</v>
      </c>
      <c r="AU119" s="2">
        <v>6.8245045738051902E-2</v>
      </c>
      <c r="AV119" s="2">
        <v>2.6381833056718998E-3</v>
      </c>
      <c r="AW119" s="2">
        <v>1.0021485447616201</v>
      </c>
      <c r="AX119" s="2">
        <v>1.23121922280409E-3</v>
      </c>
      <c r="AY119" s="2">
        <v>790.04563281284004</v>
      </c>
      <c r="AZ119" s="2">
        <v>0.103398530679084</v>
      </c>
      <c r="BA119" s="2">
        <v>0.66760126747404802</v>
      </c>
      <c r="BB119" s="2">
        <v>338</v>
      </c>
    </row>
    <row r="120" spans="1:54" ht="15.75" customHeight="1" x14ac:dyDescent="0.15">
      <c r="A120" s="1" t="s">
        <v>368</v>
      </c>
      <c r="B120" s="1" t="s">
        <v>369</v>
      </c>
      <c r="C120" s="5" t="s">
        <v>370</v>
      </c>
      <c r="D120" s="1" t="s">
        <v>304</v>
      </c>
      <c r="E120" s="2">
        <v>20470</v>
      </c>
      <c r="F120" s="2">
        <v>60202</v>
      </c>
      <c r="G120" s="2">
        <v>24797</v>
      </c>
      <c r="H120" s="2">
        <f t="shared" si="0"/>
        <v>105469</v>
      </c>
      <c r="I120" s="2">
        <v>146603</v>
      </c>
      <c r="J120" s="2">
        <v>1415286</v>
      </c>
      <c r="K120" s="2">
        <f t="shared" si="1"/>
        <v>7.45213334972578E-2</v>
      </c>
      <c r="M120" s="2">
        <v>0.82675720688513499</v>
      </c>
      <c r="N120" s="2">
        <v>0.472603866050752</v>
      </c>
      <c r="O120" s="2">
        <v>24.557804471218098</v>
      </c>
      <c r="P120" s="2">
        <v>51.962766780627398</v>
      </c>
      <c r="Q120" s="2">
        <v>65.620118866091701</v>
      </c>
      <c r="R120" s="2">
        <v>42.960591925575201</v>
      </c>
      <c r="S120" s="2">
        <v>0.41281407344190202</v>
      </c>
      <c r="T120" s="2">
        <v>8713.9789743296697</v>
      </c>
      <c r="U120" s="2">
        <v>744</v>
      </c>
      <c r="V120" s="2">
        <v>1404</v>
      </c>
      <c r="W120" s="2">
        <v>2358.93854137361</v>
      </c>
      <c r="X120" s="2">
        <v>3134977.4564122902</v>
      </c>
      <c r="Y120" s="2">
        <v>-36201.625759697599</v>
      </c>
      <c r="Z120" s="2">
        <v>672.36331593567297</v>
      </c>
      <c r="AA120" s="2">
        <v>17.8675939234076</v>
      </c>
      <c r="AB120" s="2">
        <v>0.94786623321631902</v>
      </c>
      <c r="AC120" s="2">
        <v>2.4788949531720901</v>
      </c>
      <c r="AD120" s="2">
        <v>2.9099536480120101</v>
      </c>
      <c r="AE120" s="2">
        <v>0.49413054466040401</v>
      </c>
      <c r="AF120" s="2">
        <v>0.43695087211996603</v>
      </c>
      <c r="AG120" s="2">
        <v>0.99557514909619904</v>
      </c>
      <c r="AH120" s="2">
        <v>0.96392514884198999</v>
      </c>
      <c r="AI120" s="2">
        <v>-0.32551988423447598</v>
      </c>
      <c r="AJ120" s="2">
        <v>0.97718160203188997</v>
      </c>
      <c r="AK120" s="2">
        <v>8.6131948877624393E-3</v>
      </c>
      <c r="AL120" s="2">
        <v>8.2376972503286598</v>
      </c>
      <c r="AM120" s="2">
        <v>8.5431139470788704</v>
      </c>
      <c r="AN120" s="2">
        <v>1667.41670737665</v>
      </c>
      <c r="AO120" s="2">
        <v>8.1456605147857797E-2</v>
      </c>
      <c r="AP120" s="2">
        <v>837.43478260869597</v>
      </c>
      <c r="AQ120" s="2">
        <v>174.437186173768</v>
      </c>
      <c r="AR120" s="2">
        <v>2286.2325354176801</v>
      </c>
      <c r="AS120" s="2">
        <v>65.170200293111904</v>
      </c>
      <c r="AT120" s="2">
        <v>180999.34147533</v>
      </c>
      <c r="AU120" s="2">
        <v>0.59310003045519599</v>
      </c>
      <c r="AV120" s="2">
        <v>8.4428671149703108E-3</v>
      </c>
      <c r="AW120" s="2">
        <v>0.21958260367646701</v>
      </c>
      <c r="AX120" s="2">
        <v>1.1412427306667699E-3</v>
      </c>
      <c r="AY120" s="2">
        <v>2636.6989267443</v>
      </c>
      <c r="AZ120" s="2">
        <v>0.13565047967990801</v>
      </c>
      <c r="BA120" s="2">
        <v>2.8984382656543701</v>
      </c>
      <c r="BB120" s="2">
        <v>127</v>
      </c>
    </row>
    <row r="121" spans="1:54" ht="15.75" customHeight="1" x14ac:dyDescent="0.15">
      <c r="A121" s="1" t="s">
        <v>371</v>
      </c>
      <c r="B121" s="1" t="s">
        <v>372</v>
      </c>
      <c r="C121" s="5" t="s">
        <v>373</v>
      </c>
      <c r="D121" s="1" t="s">
        <v>304</v>
      </c>
      <c r="E121" s="2">
        <v>847</v>
      </c>
      <c r="F121" s="2">
        <v>24229</v>
      </c>
      <c r="G121" s="2">
        <v>4774</v>
      </c>
      <c r="H121" s="2">
        <f t="shared" si="0"/>
        <v>29850</v>
      </c>
      <c r="I121" s="2">
        <v>98025</v>
      </c>
      <c r="J121" s="2">
        <v>1521097</v>
      </c>
      <c r="K121" s="2">
        <f t="shared" si="1"/>
        <v>1.9623995050940209E-2</v>
      </c>
      <c r="M121" s="2">
        <v>0.41041038695752202</v>
      </c>
      <c r="N121" s="2">
        <v>0.293812675057186</v>
      </c>
      <c r="O121" s="2">
        <v>9.5715128040706592</v>
      </c>
      <c r="P121" s="2">
        <v>32.5769227015399</v>
      </c>
      <c r="Q121" s="2">
        <v>17.029386365926399</v>
      </c>
      <c r="R121" s="2">
        <v>13.3699074518243</v>
      </c>
      <c r="S121" s="2">
        <v>0.56720560255264696</v>
      </c>
      <c r="T121" s="2">
        <v>744.78850180286497</v>
      </c>
      <c r="U121" s="2">
        <v>123</v>
      </c>
      <c r="V121" s="2">
        <v>244.4</v>
      </c>
      <c r="W121" s="2">
        <v>39.978505855223801</v>
      </c>
      <c r="X121" s="2">
        <v>268.03572398678</v>
      </c>
      <c r="Y121" s="2">
        <v>-0.62482631327033</v>
      </c>
      <c r="Z121" s="2">
        <v>10.036906245533901</v>
      </c>
      <c r="AA121" s="2">
        <v>1.8118598536375301</v>
      </c>
      <c r="AB121" s="2">
        <v>0.69209903596823297</v>
      </c>
      <c r="AC121" s="2">
        <v>0.98705849847372495</v>
      </c>
      <c r="AD121" s="2">
        <v>1.7489516162977401</v>
      </c>
      <c r="AE121" s="2">
        <v>0.61767703988640899</v>
      </c>
      <c r="AF121" s="2">
        <v>0.58586385180724798</v>
      </c>
      <c r="AG121" s="2">
        <v>0.98795518949673999</v>
      </c>
      <c r="AH121" s="2">
        <v>0.92834232802830896</v>
      </c>
      <c r="AI121" s="2">
        <v>-0.207271609828447</v>
      </c>
      <c r="AJ121" s="2">
        <v>0.81192738416823296</v>
      </c>
      <c r="AK121" s="2">
        <v>4.08921612334825E-2</v>
      </c>
      <c r="AL121" s="2">
        <v>5.0392085708744503</v>
      </c>
      <c r="AM121" s="2">
        <v>6.4342160538842901</v>
      </c>
      <c r="AN121" s="2">
        <v>68.539551357733203</v>
      </c>
      <c r="AO121" s="2">
        <v>8.0920367600629498E-2</v>
      </c>
      <c r="AP121" s="2">
        <v>131.50531286894901</v>
      </c>
      <c r="AQ121" s="2">
        <v>3.2427081344114699</v>
      </c>
      <c r="AR121" s="2">
        <v>39.5123966942149</v>
      </c>
      <c r="AS121" s="2">
        <v>63.687131050767398</v>
      </c>
      <c r="AT121" s="2">
        <v>2634.84415584416</v>
      </c>
      <c r="AU121" s="2">
        <v>2.1419684891967901</v>
      </c>
      <c r="AV121" s="2">
        <v>4.10646228839898E-2</v>
      </c>
      <c r="AW121" s="2">
        <v>0.96725545015110903</v>
      </c>
      <c r="AX121" s="2">
        <v>1.3136810821543899E-2</v>
      </c>
      <c r="AY121" s="2">
        <v>38.789423490379498</v>
      </c>
      <c r="AZ121" s="2">
        <v>3.1478693395953397E-2</v>
      </c>
      <c r="BA121" s="2">
        <v>0.68052110411844002</v>
      </c>
      <c r="BB121" s="2">
        <v>493</v>
      </c>
    </row>
    <row r="122" spans="1:54" ht="15.75" customHeight="1" x14ac:dyDescent="0.15">
      <c r="A122" s="1" t="s">
        <v>374</v>
      </c>
      <c r="B122" s="1" t="s">
        <v>375</v>
      </c>
      <c r="C122" s="5" t="s">
        <v>376</v>
      </c>
      <c r="D122" s="1" t="s">
        <v>304</v>
      </c>
      <c r="E122" s="2">
        <v>1649</v>
      </c>
      <c r="F122" s="2">
        <v>21636</v>
      </c>
      <c r="G122" s="2">
        <v>11426</v>
      </c>
      <c r="H122" s="2">
        <f t="shared" si="0"/>
        <v>34711</v>
      </c>
      <c r="I122" s="2">
        <v>63412</v>
      </c>
      <c r="J122" s="2">
        <v>1515894</v>
      </c>
      <c r="K122" s="2">
        <f t="shared" si="1"/>
        <v>2.2898039044946413E-2</v>
      </c>
      <c r="M122" s="2">
        <v>0.82746506573902401</v>
      </c>
      <c r="N122" s="2">
        <v>0.54337565685673095</v>
      </c>
      <c r="O122" s="2">
        <v>9.8365498650768206</v>
      </c>
      <c r="P122" s="2">
        <v>18.1026693797406</v>
      </c>
      <c r="Q122" s="2">
        <v>18.681541692269398</v>
      </c>
      <c r="R122" s="2">
        <v>14.9793265083589</v>
      </c>
      <c r="S122" s="2">
        <v>0.76237052257663995</v>
      </c>
      <c r="T122" s="2">
        <v>878.89948366286706</v>
      </c>
      <c r="U122" s="2">
        <v>4834</v>
      </c>
      <c r="V122" s="2">
        <v>5211.2</v>
      </c>
      <c r="W122" s="2">
        <v>700.92275127142602</v>
      </c>
      <c r="X122" s="2">
        <v>53413.876856803603</v>
      </c>
      <c r="Y122" s="2">
        <v>336.75807681561997</v>
      </c>
      <c r="Z122" s="2">
        <v>117.884815515939</v>
      </c>
      <c r="AA122" s="2">
        <v>17.580965275858599</v>
      </c>
      <c r="AB122" s="2">
        <v>0.73761984370128697</v>
      </c>
      <c r="AC122" s="2">
        <v>3.1511574257516402</v>
      </c>
      <c r="AD122" s="2">
        <v>3.1461599807949199</v>
      </c>
      <c r="AE122" s="2">
        <v>0.37167377573756399</v>
      </c>
      <c r="AF122" s="2">
        <v>0.28621448862230803</v>
      </c>
      <c r="AG122" s="2">
        <v>0.99365932025844395</v>
      </c>
      <c r="AH122" s="2">
        <v>0.94509674732555904</v>
      </c>
      <c r="AI122" s="2">
        <v>-0.20474515553554101</v>
      </c>
      <c r="AJ122" s="2">
        <v>0.90891444561337897</v>
      </c>
      <c r="AK122" s="2">
        <v>5.0401601159459604E-3</v>
      </c>
      <c r="AL122" s="2">
        <v>8.1587951767836202</v>
      </c>
      <c r="AM122" s="2">
        <v>7.24944105716874</v>
      </c>
      <c r="AN122" s="2">
        <v>257.24135839902999</v>
      </c>
      <c r="AO122" s="2">
        <v>0.155998398058842</v>
      </c>
      <c r="AP122" s="2">
        <v>78.921164342025506</v>
      </c>
      <c r="AQ122" s="2">
        <v>40.802848336698901</v>
      </c>
      <c r="AR122" s="2">
        <v>727.56701030927798</v>
      </c>
      <c r="AS122" s="2">
        <v>16.507580351728301</v>
      </c>
      <c r="AT122" s="2">
        <v>10723.986658581</v>
      </c>
      <c r="AU122" s="2">
        <v>2.9621330736042999E-2</v>
      </c>
      <c r="AV122" s="2">
        <v>2.4423025670580402E-3</v>
      </c>
      <c r="AW122" s="2">
        <v>8.9014596947834104E-2</v>
      </c>
      <c r="AX122" s="2">
        <v>7.7924228760049303E-3</v>
      </c>
      <c r="AY122" s="2">
        <v>1819.45077852079</v>
      </c>
      <c r="AZ122" s="2">
        <v>7.4580403855739705E-2</v>
      </c>
      <c r="BA122" s="2">
        <v>6.7730392648230602</v>
      </c>
      <c r="BB122" s="2">
        <v>680</v>
      </c>
    </row>
    <row r="123" spans="1:54" ht="15.75" customHeight="1" x14ac:dyDescent="0.15">
      <c r="A123" s="1" t="s">
        <v>377</v>
      </c>
      <c r="B123" s="1" t="s">
        <v>378</v>
      </c>
      <c r="C123" s="1" t="s">
        <v>379</v>
      </c>
      <c r="D123" s="1" t="s">
        <v>304</v>
      </c>
      <c r="E123" s="2">
        <v>8380</v>
      </c>
      <c r="F123" s="2">
        <v>17392</v>
      </c>
      <c r="G123" s="2">
        <v>17570</v>
      </c>
      <c r="H123" s="2">
        <f t="shared" si="0"/>
        <v>43342</v>
      </c>
      <c r="I123" s="2">
        <v>70749</v>
      </c>
      <c r="J123" s="2">
        <v>1702197</v>
      </c>
      <c r="K123" s="2">
        <f t="shared" si="1"/>
        <v>2.5462387725980012E-2</v>
      </c>
      <c r="M123" s="2">
        <v>0.816979129002668</v>
      </c>
      <c r="N123" s="2">
        <v>0.49409799952417799</v>
      </c>
      <c r="O123" s="2">
        <v>18.967544542003399</v>
      </c>
      <c r="P123" s="2">
        <v>38.388223713249999</v>
      </c>
      <c r="Q123" s="2">
        <v>47.707441767506303</v>
      </c>
      <c r="R123" s="2">
        <v>31.362377573210601</v>
      </c>
      <c r="S123" s="2">
        <v>0.32845103766257999</v>
      </c>
      <c r="T123" s="2">
        <v>5972.4519476476298</v>
      </c>
      <c r="U123" s="2">
        <v>729.9</v>
      </c>
      <c r="V123" s="2">
        <v>1641</v>
      </c>
      <c r="W123" s="2">
        <v>2194.3221499738102</v>
      </c>
      <c r="X123" s="2">
        <v>1016413.52519978</v>
      </c>
      <c r="Y123" s="2">
        <v>-4446.16006753083</v>
      </c>
      <c r="Z123" s="2">
        <v>640.20424221486098</v>
      </c>
      <c r="AA123" s="2">
        <v>59.466470151038301</v>
      </c>
      <c r="AB123" s="2">
        <v>0.82937548512621095</v>
      </c>
      <c r="AC123" s="2">
        <v>5.70479739587135</v>
      </c>
      <c r="AD123" s="2">
        <v>3.9794333417132202</v>
      </c>
      <c r="AE123" s="2">
        <v>0.27471784155558998</v>
      </c>
      <c r="AF123" s="2">
        <v>0.186527121148062</v>
      </c>
      <c r="AG123" s="2">
        <v>0.990611586877853</v>
      </c>
      <c r="AH123" s="2">
        <v>0.935154812526654</v>
      </c>
      <c r="AI123" s="2">
        <v>-0.19025458589549701</v>
      </c>
      <c r="AJ123" s="2">
        <v>0.93480067494933605</v>
      </c>
      <c r="AK123" s="2">
        <v>1.0522415961217099E-3</v>
      </c>
      <c r="AL123" s="2">
        <v>10.320847280148101</v>
      </c>
      <c r="AM123" s="2">
        <v>7.9334709162771002</v>
      </c>
      <c r="AN123" s="2">
        <v>2048.30572792363</v>
      </c>
      <c r="AO123" s="2">
        <v>0.244427891160337</v>
      </c>
      <c r="AP123" s="2">
        <v>173.70596658711199</v>
      </c>
      <c r="AQ123" s="2">
        <v>182.69550663302201</v>
      </c>
      <c r="AR123" s="2">
        <v>2005.0276849642</v>
      </c>
      <c r="AS123" s="2">
        <v>7.95107398568019</v>
      </c>
      <c r="AT123" s="2">
        <v>16864.549880668299</v>
      </c>
      <c r="AU123" s="2">
        <v>6.1791069932961504E-3</v>
      </c>
      <c r="AV123" s="2">
        <v>1.0358356550232101E-3</v>
      </c>
      <c r="AW123" s="2">
        <v>0.15353881222391599</v>
      </c>
      <c r="AX123" s="2">
        <v>2.05015576865141E-3</v>
      </c>
      <c r="AY123" s="2">
        <v>7329.9049719005498</v>
      </c>
      <c r="AZ123" s="2">
        <v>0.179196622144213</v>
      </c>
      <c r="BA123" s="2">
        <v>4.42267612231156</v>
      </c>
      <c r="BB123" s="2">
        <v>334</v>
      </c>
    </row>
    <row r="124" spans="1:54" ht="15.75" customHeight="1" x14ac:dyDescent="0.15">
      <c r="A124" s="1" t="s">
        <v>380</v>
      </c>
      <c r="B124" s="1" t="s">
        <v>381</v>
      </c>
      <c r="C124" s="5" t="s">
        <v>382</v>
      </c>
      <c r="D124" s="1" t="s">
        <v>304</v>
      </c>
      <c r="E124" s="2">
        <v>3086</v>
      </c>
      <c r="F124" s="2">
        <v>5063</v>
      </c>
      <c r="G124" s="2">
        <v>23080</v>
      </c>
      <c r="H124" s="2">
        <f t="shared" si="0"/>
        <v>31229</v>
      </c>
      <c r="I124" s="2">
        <v>45963</v>
      </c>
      <c r="J124" s="2">
        <v>1573363</v>
      </c>
      <c r="K124" s="2">
        <f t="shared" si="1"/>
        <v>1.9848566414743449E-2</v>
      </c>
      <c r="M124" s="2">
        <v>0.78993131219922397</v>
      </c>
      <c r="N124" s="2">
        <v>0.59374396047311295</v>
      </c>
      <c r="O124" s="2">
        <v>18.8561152592452</v>
      </c>
      <c r="P124" s="2">
        <v>31.7579908420796</v>
      </c>
      <c r="Q124" s="2">
        <v>33.060550509633103</v>
      </c>
      <c r="R124" s="2">
        <v>25.086631378694801</v>
      </c>
      <c r="S124" s="2">
        <v>0.25997151762424298</v>
      </c>
      <c r="T124" s="2">
        <v>3810.08934146813</v>
      </c>
      <c r="U124" s="2">
        <v>1193</v>
      </c>
      <c r="V124" s="2">
        <v>1497</v>
      </c>
      <c r="W124" s="2">
        <v>232.97782818575101</v>
      </c>
      <c r="X124" s="2">
        <v>14469.0949760151</v>
      </c>
      <c r="Y124" s="2">
        <v>-144.22509966465299</v>
      </c>
      <c r="Z124" s="2">
        <v>79.171414263195004</v>
      </c>
      <c r="AA124" s="2">
        <v>6.0142274439885499</v>
      </c>
      <c r="AB124" s="2">
        <v>0.85861546738306904</v>
      </c>
      <c r="AC124" s="2">
        <v>1.8433148035775</v>
      </c>
      <c r="AD124" s="2">
        <v>2.4734627477966802</v>
      </c>
      <c r="AE124" s="2">
        <v>0.47886498127719701</v>
      </c>
      <c r="AF124" s="2">
        <v>0.41165441433885402</v>
      </c>
      <c r="AG124" s="2">
        <v>0.99201084089186298</v>
      </c>
      <c r="AH124" s="2">
        <v>0.93885500519656095</v>
      </c>
      <c r="AI124" s="2">
        <v>-0.25558832556370698</v>
      </c>
      <c r="AJ124" s="2">
        <v>0.93452146310342399</v>
      </c>
      <c r="AK124" s="2">
        <v>8.26522850415372E-3</v>
      </c>
      <c r="AL124" s="2">
        <v>7.3319274817608697</v>
      </c>
      <c r="AM124" s="2">
        <v>7.1750332626317901</v>
      </c>
      <c r="AN124" s="2">
        <v>426.06804925469902</v>
      </c>
      <c r="AO124" s="2">
        <v>0.13806482477469201</v>
      </c>
      <c r="AP124" s="2">
        <v>184.171095268957</v>
      </c>
      <c r="AQ124" s="2">
        <v>21.736723013513298</v>
      </c>
      <c r="AR124" s="2">
        <v>236.31270252754399</v>
      </c>
      <c r="AS124" s="2">
        <v>21.581335061568399</v>
      </c>
      <c r="AT124" s="2">
        <v>5261.1279974076497</v>
      </c>
      <c r="AU124" s="2">
        <v>0.148064658942649</v>
      </c>
      <c r="AV124" s="2">
        <v>8.2716459379009594E-3</v>
      </c>
      <c r="AW124" s="2">
        <v>0.50352239396310206</v>
      </c>
      <c r="AX124" s="2">
        <v>4.9401615787522599E-3</v>
      </c>
      <c r="AY124" s="2">
        <v>339.951682110999</v>
      </c>
      <c r="AZ124" s="2">
        <v>7.2208240945413393E-2</v>
      </c>
      <c r="BA124" s="2">
        <v>1.2429490504332901</v>
      </c>
      <c r="BB124" s="2">
        <v>355</v>
      </c>
    </row>
    <row r="125" spans="1:54" ht="15.75" customHeight="1" x14ac:dyDescent="0.15">
      <c r="A125" s="1" t="s">
        <v>383</v>
      </c>
      <c r="B125" s="1" t="s">
        <v>384</v>
      </c>
      <c r="C125" s="5" t="s">
        <v>385</v>
      </c>
      <c r="D125" s="1" t="s">
        <v>304</v>
      </c>
      <c r="E125" s="2">
        <v>27395</v>
      </c>
      <c r="F125" s="2">
        <v>72194</v>
      </c>
      <c r="G125" s="2">
        <v>33299</v>
      </c>
      <c r="H125" s="2">
        <f t="shared" si="0"/>
        <v>132888</v>
      </c>
      <c r="I125" s="2">
        <v>179652</v>
      </c>
      <c r="J125" s="2">
        <v>1579402</v>
      </c>
      <c r="K125" s="2">
        <f t="shared" si="1"/>
        <v>8.4138173815152817E-2</v>
      </c>
      <c r="M125" s="2">
        <v>0.90039154674706401</v>
      </c>
      <c r="N125" s="2">
        <v>0.62833515228762804</v>
      </c>
      <c r="O125" s="2">
        <v>26.5854086298468</v>
      </c>
      <c r="P125" s="2">
        <v>42.310872681649698</v>
      </c>
      <c r="Q125" s="2">
        <v>50.537115073973098</v>
      </c>
      <c r="R125" s="2">
        <v>38.096352098048698</v>
      </c>
      <c r="S125" s="2">
        <v>0.48052800955748798</v>
      </c>
      <c r="T125" s="2">
        <v>9124.7201673099698</v>
      </c>
      <c r="U125" s="2">
        <v>705</v>
      </c>
      <c r="V125" s="2">
        <v>1436</v>
      </c>
      <c r="W125" s="2">
        <v>1247.3425431568501</v>
      </c>
      <c r="X125" s="2">
        <v>439147.007644539</v>
      </c>
      <c r="Y125" s="2">
        <v>-57.702970196009503</v>
      </c>
      <c r="Z125" s="2">
        <v>456.18606382143099</v>
      </c>
      <c r="AA125" s="2">
        <v>17.248618213826301</v>
      </c>
      <c r="AB125" s="2">
        <v>0.92711986862495399</v>
      </c>
      <c r="AC125" s="2">
        <v>3.0049521224764102</v>
      </c>
      <c r="AD125" s="2">
        <v>3.1227271423507199</v>
      </c>
      <c r="AE125" s="2">
        <v>0.38953571925499902</v>
      </c>
      <c r="AF125" s="2">
        <v>0.307403319322123</v>
      </c>
      <c r="AG125" s="2">
        <v>0.99575254448152895</v>
      </c>
      <c r="AH125" s="2">
        <v>0.95615071527901396</v>
      </c>
      <c r="AI125" s="2">
        <v>-0.28084106226560301</v>
      </c>
      <c r="AJ125" s="2">
        <v>0.97203423512518905</v>
      </c>
      <c r="AK125" s="2">
        <v>2.1669172499705902E-3</v>
      </c>
      <c r="AL125" s="2">
        <v>9.3048676614168002</v>
      </c>
      <c r="AM125" s="2">
        <v>8.4176432703835609</v>
      </c>
      <c r="AN125" s="2">
        <v>3818.6916225588602</v>
      </c>
      <c r="AO125" s="2">
        <v>0.139393744207296</v>
      </c>
      <c r="AP125" s="2">
        <v>692.68636612520504</v>
      </c>
      <c r="AQ125" s="2">
        <v>119.443561372112</v>
      </c>
      <c r="AR125" s="2">
        <v>1205.8720569447</v>
      </c>
      <c r="AS125" s="2">
        <v>21.762693922248602</v>
      </c>
      <c r="AT125" s="2">
        <v>26662.873553568199</v>
      </c>
      <c r="AU125" s="2">
        <v>3.1662988800862601E-2</v>
      </c>
      <c r="AV125" s="2">
        <v>1.5582958291906601E-3</v>
      </c>
      <c r="AW125" s="2">
        <v>0.57702912895671499</v>
      </c>
      <c r="AX125" s="2">
        <v>9.3237139788451297E-4</v>
      </c>
      <c r="AY125" s="2">
        <v>2502.0625245849301</v>
      </c>
      <c r="AZ125" s="2">
        <v>0.100302769295685</v>
      </c>
      <c r="BA125" s="2">
        <v>1.26211126965791</v>
      </c>
      <c r="BB125" s="2">
        <v>765</v>
      </c>
    </row>
    <row r="126" spans="1:54" ht="15.75" customHeight="1" x14ac:dyDescent="0.15">
      <c r="A126" s="1" t="s">
        <v>386</v>
      </c>
      <c r="B126" s="1" t="s">
        <v>387</v>
      </c>
      <c r="C126" s="5" t="s">
        <v>388</v>
      </c>
      <c r="D126" s="1" t="s">
        <v>304</v>
      </c>
      <c r="E126" s="2">
        <v>476</v>
      </c>
      <c r="F126" s="2">
        <v>71603</v>
      </c>
      <c r="G126" s="2">
        <v>2112</v>
      </c>
      <c r="H126" s="2">
        <f t="shared" si="0"/>
        <v>74191</v>
      </c>
      <c r="I126" s="2">
        <v>183951</v>
      </c>
      <c r="J126" s="2">
        <v>1492744</v>
      </c>
      <c r="K126" s="2">
        <f t="shared" si="1"/>
        <v>4.9701087393417762E-2</v>
      </c>
      <c r="M126" s="2">
        <v>0.45133085055560701</v>
      </c>
      <c r="N126" s="2">
        <v>0.34891357171957799</v>
      </c>
      <c r="O126" s="2">
        <v>6.7737925231739204</v>
      </c>
      <c r="P126" s="2">
        <v>19.413955409616499</v>
      </c>
      <c r="Q126" s="2">
        <v>19.416487838947599</v>
      </c>
      <c r="R126" s="2">
        <v>8.7621170076708506</v>
      </c>
      <c r="S126" s="2">
        <v>0.50888369613642004</v>
      </c>
      <c r="T126" s="2">
        <v>558.154388554261</v>
      </c>
      <c r="U126" s="2">
        <v>692.5</v>
      </c>
      <c r="V126" s="2">
        <v>985</v>
      </c>
      <c r="W126" s="2">
        <v>136.541988971564</v>
      </c>
      <c r="X126" s="2">
        <v>9147.7881680097107</v>
      </c>
      <c r="Y126" s="2">
        <v>134.772439937699</v>
      </c>
      <c r="Z126" s="2">
        <v>54.593947787061197</v>
      </c>
      <c r="AA126" s="2">
        <v>14.135772945708201</v>
      </c>
      <c r="AB126" s="2">
        <v>0.58242985217610999</v>
      </c>
      <c r="AC126" s="2">
        <v>2.93435889357663</v>
      </c>
      <c r="AD126" s="2">
        <v>3.00323532628523</v>
      </c>
      <c r="AE126" s="2">
        <v>0.37287247185473599</v>
      </c>
      <c r="AF126" s="2">
        <v>0.28414919798696803</v>
      </c>
      <c r="AG126" s="2">
        <v>0.98037912122165005</v>
      </c>
      <c r="AH126" s="2">
        <v>0.90412619651550696</v>
      </c>
      <c r="AI126" s="2">
        <v>-0.19512737554232901</v>
      </c>
      <c r="AJ126" s="2">
        <v>0.88541418951843598</v>
      </c>
      <c r="AK126" s="2">
        <v>8.1012878405663496E-3</v>
      </c>
      <c r="AL126" s="2">
        <v>7.3000644029521498</v>
      </c>
      <c r="AM126" s="2">
        <v>6.3134527786787604</v>
      </c>
      <c r="AN126" s="2">
        <v>94.722689075630299</v>
      </c>
      <c r="AO126" s="2">
        <v>0.198997245957206</v>
      </c>
      <c r="AP126" s="2">
        <v>31.373949579831901</v>
      </c>
      <c r="AQ126" s="2">
        <v>19.460573935456502</v>
      </c>
      <c r="AR126" s="2">
        <v>136.01890756302501</v>
      </c>
      <c r="AS126" s="2">
        <v>10.474789915966401</v>
      </c>
      <c r="AT126" s="2">
        <v>1290.8466386554601</v>
      </c>
      <c r="AU126" s="2">
        <v>0.15634594374661101</v>
      </c>
      <c r="AV126" s="2">
        <v>2.2102184676885E-2</v>
      </c>
      <c r="AW126" s="2">
        <v>0.17916149985060101</v>
      </c>
      <c r="AX126" s="2">
        <v>2.0902402746994699E-2</v>
      </c>
      <c r="AY126" s="2">
        <v>498.00222857339901</v>
      </c>
      <c r="AZ126" s="2">
        <v>0.107585877353302</v>
      </c>
      <c r="BA126" s="2">
        <v>5.0477915546391996</v>
      </c>
      <c r="BB126" s="2">
        <v>188</v>
      </c>
    </row>
    <row r="127" spans="1:54" ht="13" x14ac:dyDescent="0.15">
      <c r="A127" s="1" t="s">
        <v>389</v>
      </c>
      <c r="B127" s="1" t="s">
        <v>390</v>
      </c>
      <c r="C127" s="5" t="s">
        <v>391</v>
      </c>
      <c r="D127" s="1" t="s">
        <v>304</v>
      </c>
      <c r="E127" s="2">
        <v>5692</v>
      </c>
      <c r="F127" s="2">
        <v>24960</v>
      </c>
      <c r="G127" s="2">
        <v>39613</v>
      </c>
      <c r="H127" s="2">
        <f t="shared" si="0"/>
        <v>70265</v>
      </c>
      <c r="I127" s="2">
        <v>93549</v>
      </c>
      <c r="J127" s="2">
        <v>1712968</v>
      </c>
      <c r="K127" s="2">
        <f t="shared" si="1"/>
        <v>4.1019446948220864E-2</v>
      </c>
      <c r="M127" s="2">
        <v>0.833652670606435</v>
      </c>
      <c r="N127" s="2">
        <v>0.76034282612739001</v>
      </c>
      <c r="O127" s="2">
        <v>21.4676450019738</v>
      </c>
      <c r="P127" s="2">
        <v>28.234165253210399</v>
      </c>
      <c r="Q127" s="2">
        <v>35.2278299076171</v>
      </c>
      <c r="R127" s="2">
        <v>23.537487265682302</v>
      </c>
      <c r="S127" s="2">
        <v>0.50712046626370799</v>
      </c>
      <c r="T127" s="2">
        <v>3014.2254353241501</v>
      </c>
      <c r="U127" s="2">
        <v>834</v>
      </c>
      <c r="V127" s="2">
        <v>1554</v>
      </c>
      <c r="W127" s="2">
        <v>2225.60214457849</v>
      </c>
      <c r="X127" s="2">
        <v>517956.41993844602</v>
      </c>
      <c r="Y127" s="2">
        <v>1086.04951381252</v>
      </c>
      <c r="Z127" s="2">
        <v>486.30867539562399</v>
      </c>
      <c r="AA127" s="2">
        <v>27.824053492131501</v>
      </c>
      <c r="AB127" s="2">
        <v>0.89140642999772501</v>
      </c>
      <c r="AC127" s="2">
        <v>3.8374355981452499</v>
      </c>
      <c r="AD127" s="2">
        <v>3.4418590875689099</v>
      </c>
      <c r="AE127" s="2">
        <v>0.34406486388164897</v>
      </c>
      <c r="AF127" s="2">
        <v>0.25745575070223298</v>
      </c>
      <c r="AG127" s="2">
        <v>0.99541572005032797</v>
      </c>
      <c r="AH127" s="2">
        <v>0.95430951100551897</v>
      </c>
      <c r="AI127" s="2">
        <v>-0.245163815454567</v>
      </c>
      <c r="AJ127" s="2">
        <v>0.95696334377053904</v>
      </c>
      <c r="AK127" s="2">
        <v>2.6081418858311801E-3</v>
      </c>
      <c r="AL127" s="2">
        <v>9.2900037883251301</v>
      </c>
      <c r="AM127" s="2">
        <v>7.8632121644547599</v>
      </c>
      <c r="AN127" s="2">
        <v>982.23998594518605</v>
      </c>
      <c r="AO127" s="2">
        <v>0.172565001044481</v>
      </c>
      <c r="AP127" s="2">
        <v>167.848208011244</v>
      </c>
      <c r="AQ127" s="2">
        <v>132.57980205725701</v>
      </c>
      <c r="AR127" s="2">
        <v>2188.2431482782899</v>
      </c>
      <c r="AS127" s="2">
        <v>14.626141953619101</v>
      </c>
      <c r="AT127" s="2">
        <v>28042.0597329585</v>
      </c>
      <c r="AU127" s="2">
        <v>9.9828505482810401E-3</v>
      </c>
      <c r="AV127" s="2">
        <v>8.6177707191665903E-4</v>
      </c>
      <c r="AW127" s="2">
        <v>9.6050131638856895E-2</v>
      </c>
      <c r="AX127" s="2">
        <v>2.9022927759521401E-3</v>
      </c>
      <c r="AY127" s="2">
        <v>5629.5013993324801</v>
      </c>
      <c r="AZ127" s="2">
        <v>0.122609494347887</v>
      </c>
      <c r="BA127" s="2">
        <v>6.6073415668512601</v>
      </c>
      <c r="BB127" s="2">
        <v>259</v>
      </c>
    </row>
    <row r="128" spans="1:54" ht="13" x14ac:dyDescent="0.15">
      <c r="A128" s="1" t="s">
        <v>392</v>
      </c>
      <c r="B128" s="1" t="s">
        <v>393</v>
      </c>
      <c r="C128" s="5" t="s">
        <v>394</v>
      </c>
      <c r="D128" s="1" t="s">
        <v>304</v>
      </c>
      <c r="E128" s="2">
        <v>20320</v>
      </c>
      <c r="F128" s="2">
        <v>110377</v>
      </c>
      <c r="G128" s="2">
        <v>32981</v>
      </c>
      <c r="H128" s="2">
        <f t="shared" si="0"/>
        <v>163678</v>
      </c>
      <c r="I128" s="2">
        <v>200467</v>
      </c>
      <c r="J128" s="2">
        <v>1347449</v>
      </c>
      <c r="K128" s="2">
        <f t="shared" si="1"/>
        <v>0.12147250100003786</v>
      </c>
      <c r="M128" s="2">
        <v>0.88557567106695401</v>
      </c>
      <c r="N128" s="2">
        <v>0.64939142264458805</v>
      </c>
      <c r="O128" s="2">
        <v>25.734349043024402</v>
      </c>
      <c r="P128" s="2">
        <v>39.628409223859997</v>
      </c>
      <c r="Q128" s="2">
        <v>50.009999000199997</v>
      </c>
      <c r="R128" s="2">
        <v>35.093955091735701</v>
      </c>
      <c r="S128" s="2">
        <v>0.37941816303001602</v>
      </c>
      <c r="T128" s="2">
        <v>9466.0250306693706</v>
      </c>
      <c r="U128" s="2">
        <v>661</v>
      </c>
      <c r="V128" s="2">
        <v>837</v>
      </c>
      <c r="W128" s="2">
        <v>165.12366682592801</v>
      </c>
      <c r="X128" s="2">
        <v>2829.2426384566602</v>
      </c>
      <c r="Y128" s="2">
        <v>49.237329187388902</v>
      </c>
      <c r="Z128" s="2">
        <v>28.8198081711074</v>
      </c>
      <c r="AA128" s="2">
        <v>3.0751225482542601</v>
      </c>
      <c r="AB128" s="2">
        <v>0.80689824102918195</v>
      </c>
      <c r="AC128" s="2">
        <v>1.2887368380034601</v>
      </c>
      <c r="AD128" s="2">
        <v>2.0594115507302901</v>
      </c>
      <c r="AE128" s="2">
        <v>0.56115900874508795</v>
      </c>
      <c r="AF128" s="2">
        <v>0.51467262018142002</v>
      </c>
      <c r="AG128" s="2">
        <v>0.994777337484122</v>
      </c>
      <c r="AH128" s="2">
        <v>0.95102919375640005</v>
      </c>
      <c r="AI128" s="2">
        <v>-0.233754787591442</v>
      </c>
      <c r="AJ128" s="2">
        <v>0.88561841090526905</v>
      </c>
      <c r="AK128" s="2">
        <v>1.9842762635037699E-2</v>
      </c>
      <c r="AL128" s="2">
        <v>6.2337802347146098</v>
      </c>
      <c r="AM128" s="2">
        <v>7.2453720468158904</v>
      </c>
      <c r="AN128" s="2">
        <v>1696.7954724409401</v>
      </c>
      <c r="AO128" s="2">
        <v>8.35037141949284E-2</v>
      </c>
      <c r="AP128" s="2">
        <v>2062.4562007874001</v>
      </c>
      <c r="AQ128" s="2">
        <v>8.1659300575632408</v>
      </c>
      <c r="AR128" s="2">
        <v>163.17455708661399</v>
      </c>
      <c r="AS128" s="2">
        <v>59.9775590551181</v>
      </c>
      <c r="AT128" s="2">
        <v>9887.6115649606309</v>
      </c>
      <c r="AU128" s="2">
        <v>0.42654079283882701</v>
      </c>
      <c r="AV128" s="2">
        <v>7.9217085642498304E-3</v>
      </c>
      <c r="AW128" s="2">
        <v>4.0798525138783104</v>
      </c>
      <c r="AX128" s="2">
        <v>6.5455694048603902E-4</v>
      </c>
      <c r="AY128" s="2">
        <v>207.04297977544101</v>
      </c>
      <c r="AZ128" s="2">
        <v>2.4177304401345599E-2</v>
      </c>
      <c r="BA128" s="2">
        <v>0.162126315193554</v>
      </c>
      <c r="BB128" s="2">
        <v>596</v>
      </c>
    </row>
    <row r="129" spans="1:54" ht="13" x14ac:dyDescent="0.15">
      <c r="A129" s="1" t="s">
        <v>395</v>
      </c>
      <c r="B129" s="1" t="s">
        <v>396</v>
      </c>
      <c r="C129" s="5" t="s">
        <v>397</v>
      </c>
      <c r="D129" s="1" t="s">
        <v>304</v>
      </c>
      <c r="E129" s="2">
        <v>125</v>
      </c>
      <c r="F129" s="2">
        <v>145974</v>
      </c>
      <c r="G129" s="2">
        <v>14694</v>
      </c>
      <c r="H129" s="2">
        <f t="shared" si="0"/>
        <v>160793</v>
      </c>
      <c r="I129" s="2">
        <v>233490</v>
      </c>
      <c r="J129" s="2">
        <v>1565079</v>
      </c>
      <c r="K129" s="2">
        <f t="shared" si="1"/>
        <v>0.10273794485773562</v>
      </c>
      <c r="M129" s="2">
        <v>0.53456753766164999</v>
      </c>
      <c r="N129" s="2">
        <v>0.40574850372827198</v>
      </c>
      <c r="O129" s="2">
        <v>8.1851066430877601</v>
      </c>
      <c r="P129" s="2">
        <v>20.172857245012199</v>
      </c>
      <c r="Q129" s="2">
        <v>17.2626765016321</v>
      </c>
      <c r="R129" s="2">
        <v>10.7837546250661</v>
      </c>
      <c r="S129" s="2">
        <v>0.56427948741955303</v>
      </c>
      <c r="T129" s="2">
        <v>186.68478233035901</v>
      </c>
      <c r="U129" s="2">
        <v>856.8</v>
      </c>
      <c r="V129" s="2">
        <v>1344.4</v>
      </c>
      <c r="W129" s="2">
        <v>603.67242872524298</v>
      </c>
      <c r="X129" s="2">
        <v>48285.3095458385</v>
      </c>
      <c r="Y129" s="2">
        <v>-286.91292096179598</v>
      </c>
      <c r="Z129" s="2">
        <v>116.034317527016</v>
      </c>
      <c r="AA129" s="2">
        <v>55.101084401604702</v>
      </c>
      <c r="AB129" s="2">
        <v>0.34575437720457503</v>
      </c>
      <c r="AC129" s="2">
        <v>5.9538661948426403</v>
      </c>
      <c r="AD129" s="2">
        <v>3.6221074695819602</v>
      </c>
      <c r="AE129" s="2">
        <v>0.23940722862647101</v>
      </c>
      <c r="AF129" s="2">
        <v>0.14644625805601</v>
      </c>
      <c r="AG129" s="2">
        <v>0.96842069793722696</v>
      </c>
      <c r="AH129" s="2">
        <v>0.87809478801871799</v>
      </c>
      <c r="AI129" s="2">
        <v>-0.52698946365275401</v>
      </c>
      <c r="AJ129" s="2">
        <v>0.99526485597237702</v>
      </c>
      <c r="AK129" s="2">
        <v>1.1434251352904301E-2</v>
      </c>
      <c r="AL129" s="2">
        <v>6.5724131420188003</v>
      </c>
      <c r="AM129" s="2">
        <v>5.5057563369499301</v>
      </c>
      <c r="AN129" s="2">
        <v>53.095999999999997</v>
      </c>
      <c r="AO129" s="2">
        <v>0.42476799999999998</v>
      </c>
      <c r="AP129" s="2">
        <v>5.7359999999999998</v>
      </c>
      <c r="AQ129" s="2">
        <v>58.4544</v>
      </c>
      <c r="AR129" s="2">
        <v>576.47199999999998</v>
      </c>
      <c r="AS129" s="2">
        <v>3.1440000000000001</v>
      </c>
      <c r="AT129" s="2">
        <v>1750.616</v>
      </c>
      <c r="AU129" s="2">
        <v>7.2320795331079601E-2</v>
      </c>
      <c r="AV129" s="2">
        <v>1.96945467122564E-2</v>
      </c>
      <c r="AW129" s="2">
        <v>2.77227243895894E-2</v>
      </c>
      <c r="AX129" s="2">
        <v>5.0793470317166703E-2</v>
      </c>
      <c r="AY129" s="2">
        <v>1784.32717710765</v>
      </c>
      <c r="AZ129" s="2">
        <v>0.40243159840382597</v>
      </c>
      <c r="BA129" s="2">
        <v>24.493926112646001</v>
      </c>
      <c r="BB129" s="2">
        <v>256</v>
      </c>
    </row>
    <row r="130" spans="1:54" ht="13" x14ac:dyDescent="0.15">
      <c r="A130" s="1" t="s">
        <v>398</v>
      </c>
      <c r="B130" s="1" t="s">
        <v>399</v>
      </c>
      <c r="C130" s="5" t="s">
        <v>400</v>
      </c>
      <c r="D130" s="1" t="s">
        <v>304</v>
      </c>
      <c r="E130" s="2">
        <v>0</v>
      </c>
      <c r="F130" s="2">
        <v>10246</v>
      </c>
      <c r="G130" s="2">
        <v>1550</v>
      </c>
      <c r="H130" s="2">
        <f t="shared" si="0"/>
        <v>11796</v>
      </c>
      <c r="I130" s="2">
        <v>16221</v>
      </c>
      <c r="J130" s="2">
        <v>1825354</v>
      </c>
      <c r="K130" s="2">
        <f t="shared" si="1"/>
        <v>6.4623081331073315E-3</v>
      </c>
      <c r="M130" s="2">
        <v>0.92472473766635699</v>
      </c>
      <c r="N130" s="2">
        <v>0.52028417177571495</v>
      </c>
      <c r="O130" s="2">
        <v>18.553854730595699</v>
      </c>
      <c r="P130" s="2">
        <v>35.661001693116901</v>
      </c>
      <c r="Q130" s="2">
        <v>42.426406871192903</v>
      </c>
      <c r="R130" s="2">
        <v>32.976610435587098</v>
      </c>
      <c r="S130" s="2">
        <v>0.460061998164073</v>
      </c>
      <c r="T130" s="2">
        <v>4946.5449666364602</v>
      </c>
      <c r="U130" s="2">
        <v>578</v>
      </c>
      <c r="V130" s="2">
        <v>1010</v>
      </c>
      <c r="W130" s="2">
        <v>359.39881635797298</v>
      </c>
      <c r="X130" s="2">
        <v>56288.162428362702</v>
      </c>
      <c r="Y130" s="2">
        <v>643.515209396964</v>
      </c>
      <c r="Z130" s="2">
        <v>141.46320940027201</v>
      </c>
      <c r="AA130" s="2">
        <v>16.4356804832052</v>
      </c>
      <c r="AB130" s="2">
        <v>0.79070959410987796</v>
      </c>
      <c r="AC130" s="2">
        <v>2.8892414720806201</v>
      </c>
      <c r="AD130" s="2">
        <v>3.0702876190091102</v>
      </c>
      <c r="AE130" s="2">
        <v>0.40371195726003301</v>
      </c>
      <c r="AF130" s="2">
        <v>0.32484615836129199</v>
      </c>
      <c r="AG130" s="2">
        <v>0.99312929540170602</v>
      </c>
      <c r="AH130" s="2">
        <v>0.94591963564238402</v>
      </c>
      <c r="AI130" s="2">
        <v>-0.195779282092713</v>
      </c>
      <c r="AJ130" s="2">
        <v>0.89955346354830301</v>
      </c>
      <c r="AK130" s="2">
        <v>4.3851521070385202E-3</v>
      </c>
      <c r="AL130" s="2">
        <v>8.42188868014407</v>
      </c>
      <c r="AM130" s="2">
        <v>7.7288606871198402</v>
      </c>
      <c r="AN130" s="2">
        <v>1388.21627952372</v>
      </c>
      <c r="AO130" s="2">
        <v>0.13548860819087599</v>
      </c>
      <c r="AP130" s="2">
        <v>437.24185047823499</v>
      </c>
      <c r="AQ130" s="2">
        <v>43.603272525351301</v>
      </c>
      <c r="AR130" s="2">
        <v>361.31319539332401</v>
      </c>
      <c r="AS130" s="2">
        <v>22.935975014639901</v>
      </c>
      <c r="AT130" s="2">
        <v>8542.3399375366007</v>
      </c>
      <c r="AU130" s="2">
        <v>9.7394882083742307E-2</v>
      </c>
      <c r="AV130" s="2">
        <v>5.9125203979823104E-3</v>
      </c>
      <c r="AW130" s="2">
        <v>0.73352988443811196</v>
      </c>
      <c r="AX130" s="2">
        <v>1.5403301678562501E-3</v>
      </c>
      <c r="AY130" s="2">
        <v>1647.3434289704801</v>
      </c>
      <c r="AZ130" s="2">
        <v>7.2493425832765704E-2</v>
      </c>
      <c r="BA130" s="2">
        <v>1.33482380867182</v>
      </c>
      <c r="BB130" s="2">
        <v>455</v>
      </c>
    </row>
    <row r="131" spans="1:54" ht="13" x14ac:dyDescent="0.15">
      <c r="A131" s="1" t="s">
        <v>401</v>
      </c>
      <c r="B131" s="1" t="s">
        <v>402</v>
      </c>
      <c r="C131" s="1" t="s">
        <v>403</v>
      </c>
      <c r="D131" s="1" t="s">
        <v>304</v>
      </c>
      <c r="E131" s="2">
        <v>3560</v>
      </c>
      <c r="F131" s="2">
        <v>18288</v>
      </c>
      <c r="G131" s="2">
        <v>16152</v>
      </c>
      <c r="H131" s="2">
        <f t="shared" si="0"/>
        <v>38000</v>
      </c>
      <c r="I131" s="2">
        <v>53569</v>
      </c>
      <c r="J131" s="2">
        <v>1363175</v>
      </c>
      <c r="K131" s="2">
        <f t="shared" si="1"/>
        <v>2.787609807985035E-2</v>
      </c>
      <c r="M131" s="2">
        <v>0.67448328509800204</v>
      </c>
      <c r="N131" s="2">
        <v>0.351211735757125</v>
      </c>
      <c r="O131" s="2">
        <v>12.7972461500358</v>
      </c>
      <c r="P131" s="2">
        <v>36.437410391336002</v>
      </c>
      <c r="Q131" s="2">
        <v>36.124783736376898</v>
      </c>
      <c r="R131" s="2">
        <v>24.576424261212399</v>
      </c>
      <c r="S131" s="2">
        <v>0.37771523674167501</v>
      </c>
      <c r="T131" s="2">
        <v>2911.1849475885501</v>
      </c>
      <c r="U131" s="2">
        <v>478</v>
      </c>
      <c r="V131" s="2">
        <v>1148</v>
      </c>
      <c r="W131" s="2">
        <v>862.82365010507306</v>
      </c>
      <c r="X131" s="2">
        <v>300838.764587974</v>
      </c>
      <c r="Y131" s="2">
        <v>-2482.7234468240999</v>
      </c>
      <c r="Z131" s="2">
        <v>425.986534338686</v>
      </c>
      <c r="AA131" s="2">
        <v>18.4564641637511</v>
      </c>
      <c r="AB131" s="2">
        <v>0.91695838347698</v>
      </c>
      <c r="AC131" s="2">
        <v>3.1420226614927098</v>
      </c>
      <c r="AD131" s="2">
        <v>3.1766833641068501</v>
      </c>
      <c r="AE131" s="2">
        <v>0.38028177488945802</v>
      </c>
      <c r="AF131" s="2">
        <v>0.296854541128793</v>
      </c>
      <c r="AG131" s="2">
        <v>0.99162154860992302</v>
      </c>
      <c r="AH131" s="2">
        <v>0.93911903517883799</v>
      </c>
      <c r="AI131" s="2">
        <v>-0.27071536056426798</v>
      </c>
      <c r="AJ131" s="2">
        <v>0.96472717406926101</v>
      </c>
      <c r="AK131" s="2">
        <v>3.0687058126062199E-3</v>
      </c>
      <c r="AL131" s="2">
        <v>8.8586757771259705</v>
      </c>
      <c r="AM131" s="2">
        <v>7.7814062870809098</v>
      </c>
      <c r="AN131" s="2">
        <v>579.48314606741599</v>
      </c>
      <c r="AO131" s="2">
        <v>0.16277616462567901</v>
      </c>
      <c r="AP131" s="2">
        <v>110.42977528089899</v>
      </c>
      <c r="AQ131" s="2">
        <v>107.500884910365</v>
      </c>
      <c r="AR131" s="2">
        <v>808.93230337078705</v>
      </c>
      <c r="AS131" s="2">
        <v>16.090449438202199</v>
      </c>
      <c r="AT131" s="2">
        <v>13903.8345505618</v>
      </c>
      <c r="AU131" s="2">
        <v>4.6481668331622199E-2</v>
      </c>
      <c r="AV131" s="2">
        <v>3.4915373682396799E-3</v>
      </c>
      <c r="AW131" s="2">
        <v>0.161986493871457</v>
      </c>
      <c r="AX131" s="2">
        <v>5.5318715265345996E-3</v>
      </c>
      <c r="AY131" s="2">
        <v>1503.6921789344999</v>
      </c>
      <c r="AZ131" s="2">
        <v>0.18879721689891199</v>
      </c>
      <c r="BA131" s="2">
        <v>4.1607820268923801</v>
      </c>
      <c r="BB131" s="2">
        <v>1410</v>
      </c>
    </row>
    <row r="132" spans="1:54" ht="13" x14ac:dyDescent="0.15">
      <c r="A132" s="1" t="s">
        <v>404</v>
      </c>
      <c r="B132" s="1" t="s">
        <v>405</v>
      </c>
      <c r="C132" s="5" t="s">
        <v>406</v>
      </c>
      <c r="D132" s="1" t="s">
        <v>304</v>
      </c>
      <c r="E132" s="2">
        <v>8988</v>
      </c>
      <c r="F132" s="2">
        <v>8370</v>
      </c>
      <c r="G132" s="2">
        <v>10361</v>
      </c>
      <c r="H132" s="2">
        <f t="shared" si="0"/>
        <v>27719</v>
      </c>
      <c r="I132" s="2">
        <v>31638</v>
      </c>
      <c r="J132" s="2">
        <v>1353521</v>
      </c>
      <c r="K132" s="2">
        <f t="shared" si="1"/>
        <v>2.0479179857571476E-2</v>
      </c>
      <c r="M132" s="2">
        <v>0.91097732336870296</v>
      </c>
      <c r="N132" s="2">
        <v>0.68394949693097096</v>
      </c>
      <c r="O132" s="2">
        <v>20.467544375866002</v>
      </c>
      <c r="P132" s="2">
        <v>29.925520038699201</v>
      </c>
      <c r="Q132" s="2">
        <v>33.615472627943198</v>
      </c>
      <c r="R132" s="2">
        <v>27.2614701452707</v>
      </c>
      <c r="S132" s="2">
        <v>0.46106060189966402</v>
      </c>
      <c r="T132" s="2">
        <v>4519.8476594067097</v>
      </c>
      <c r="U132" s="2">
        <v>618</v>
      </c>
      <c r="V132" s="2">
        <v>1027</v>
      </c>
      <c r="W132" s="2">
        <v>952.58249567826704</v>
      </c>
      <c r="X132" s="2">
        <v>156367.46031194599</v>
      </c>
      <c r="Y132" s="2">
        <v>-1058.3501572185</v>
      </c>
      <c r="Z132" s="2">
        <v>203.98743340468599</v>
      </c>
      <c r="AA132" s="2">
        <v>12.7257302443101</v>
      </c>
      <c r="AB132" s="2">
        <v>0.88276274917618103</v>
      </c>
      <c r="AC132" s="2">
        <v>2.5358256808480499</v>
      </c>
      <c r="AD132" s="2">
        <v>2.9266228120770701</v>
      </c>
      <c r="AE132" s="2">
        <v>0.43390485906936099</v>
      </c>
      <c r="AF132" s="2">
        <v>0.36053677548000901</v>
      </c>
      <c r="AG132" s="2">
        <v>0.99522658828612098</v>
      </c>
      <c r="AH132" s="2">
        <v>0.95458122394909295</v>
      </c>
      <c r="AI132" s="2">
        <v>-0.26231406306225202</v>
      </c>
      <c r="AJ132" s="2">
        <v>0.95415400881957102</v>
      </c>
      <c r="AK132" s="2">
        <v>5.0016351241634702E-3</v>
      </c>
      <c r="AL132" s="2">
        <v>8.4096509776695694</v>
      </c>
      <c r="AM132" s="2">
        <v>7.9575647800502098</v>
      </c>
      <c r="AN132" s="2">
        <v>1067.9526034713001</v>
      </c>
      <c r="AO132" s="2">
        <v>0.118819826821461</v>
      </c>
      <c r="AP132" s="2">
        <v>388.61259457053899</v>
      </c>
      <c r="AQ132" s="2">
        <v>52.187617745878498</v>
      </c>
      <c r="AR132" s="2">
        <v>932.19971072541205</v>
      </c>
      <c r="AS132" s="2">
        <v>29.778371161548701</v>
      </c>
      <c r="AT132" s="2">
        <v>25891.347018246601</v>
      </c>
      <c r="AU132" s="2">
        <v>4.9859154215472302E-2</v>
      </c>
      <c r="AV132" s="2">
        <v>1.9943924812064499E-3</v>
      </c>
      <c r="AW132" s="2">
        <v>0.26504124956334901</v>
      </c>
      <c r="AX132" s="2">
        <v>2.1269800732198999E-3</v>
      </c>
      <c r="AY132" s="2">
        <v>1524.38785496123</v>
      </c>
      <c r="AZ132" s="2">
        <v>5.5406700396057003E-2</v>
      </c>
      <c r="BA132" s="2">
        <v>2.3665855406227099</v>
      </c>
      <c r="BB132" s="2">
        <v>582</v>
      </c>
    </row>
    <row r="133" spans="1:54" ht="13" x14ac:dyDescent="0.15">
      <c r="A133" s="1" t="s">
        <v>407</v>
      </c>
      <c r="B133" s="1" t="s">
        <v>408</v>
      </c>
      <c r="C133" s="5" t="s">
        <v>409</v>
      </c>
      <c r="D133" s="1" t="s">
        <v>304</v>
      </c>
      <c r="E133" s="2">
        <v>1420</v>
      </c>
      <c r="F133" s="2">
        <v>25778</v>
      </c>
      <c r="G133" s="2">
        <v>2041</v>
      </c>
      <c r="H133" s="2">
        <f t="shared" si="0"/>
        <v>29239</v>
      </c>
      <c r="I133" s="2">
        <v>70693</v>
      </c>
      <c r="J133" s="2">
        <v>1474509</v>
      </c>
      <c r="K133" s="2">
        <f t="shared" si="1"/>
        <v>1.9829651768826097E-2</v>
      </c>
      <c r="M133" s="2">
        <v>0.89599916037664595</v>
      </c>
      <c r="N133" s="2">
        <v>0.72578028069627998</v>
      </c>
      <c r="O133" s="2">
        <v>11.8802349300306</v>
      </c>
      <c r="P133" s="2">
        <v>16.368913906882799</v>
      </c>
      <c r="Q133" s="2">
        <v>23.0217288664427</v>
      </c>
      <c r="R133" s="2">
        <v>14.666533116844599</v>
      </c>
      <c r="S133" s="2">
        <v>0.43580647312446702</v>
      </c>
      <c r="T133" s="2">
        <v>1341.4008870395601</v>
      </c>
      <c r="U133" s="2">
        <v>712</v>
      </c>
      <c r="V133" s="2">
        <v>1605</v>
      </c>
      <c r="W133" s="2">
        <v>2192.3556008340302</v>
      </c>
      <c r="X133" s="2">
        <v>1110351.72293068</v>
      </c>
      <c r="Y133" s="2">
        <v>-17529.8636491707</v>
      </c>
      <c r="Z133" s="2">
        <v>427.61801462315702</v>
      </c>
      <c r="AA133" s="2">
        <v>20.217547173754301</v>
      </c>
      <c r="AB133" s="2">
        <v>0.904776930933471</v>
      </c>
      <c r="AC133" s="2">
        <v>2.9034512520677498</v>
      </c>
      <c r="AD133" s="2">
        <v>3.1177822909398101</v>
      </c>
      <c r="AE133" s="2">
        <v>0.44490145254313301</v>
      </c>
      <c r="AF133" s="2">
        <v>0.37806789493259801</v>
      </c>
      <c r="AG133" s="2">
        <v>0.99385852382040596</v>
      </c>
      <c r="AH133" s="2">
        <v>0.95358399121639004</v>
      </c>
      <c r="AI133" s="2">
        <v>-0.29957084525736699</v>
      </c>
      <c r="AJ133" s="2">
        <v>0.95964369698372298</v>
      </c>
      <c r="AK133" s="2">
        <v>1.50428156692924E-2</v>
      </c>
      <c r="AL133" s="2">
        <v>7.4872571247023796</v>
      </c>
      <c r="AM133" s="2">
        <v>7.5151001764368299</v>
      </c>
      <c r="AN133" s="2">
        <v>197.62816901408499</v>
      </c>
      <c r="AO133" s="2">
        <v>0.13917476691132699</v>
      </c>
      <c r="AP133" s="2">
        <v>70.874647887324002</v>
      </c>
      <c r="AQ133" s="2">
        <v>189.56604641936099</v>
      </c>
      <c r="AR133" s="2">
        <v>1876.8084507042299</v>
      </c>
      <c r="AS133" s="2">
        <v>40.559154929577502</v>
      </c>
      <c r="AT133" s="2">
        <v>106292.87605633801</v>
      </c>
      <c r="AU133" s="2">
        <v>2.07573297408199E-2</v>
      </c>
      <c r="AV133" s="2">
        <v>2.27933488569056E-3</v>
      </c>
      <c r="AW133" s="2">
        <v>2.71329407383103E-2</v>
      </c>
      <c r="AX133" s="2">
        <v>1.20014047121914E-2</v>
      </c>
      <c r="AY133" s="2">
        <v>2457.2730176832201</v>
      </c>
      <c r="AZ133" s="2">
        <v>0.240620910900915</v>
      </c>
      <c r="BA133" s="2">
        <v>24.1991246940899</v>
      </c>
      <c r="BB133" s="2">
        <v>664</v>
      </c>
    </row>
    <row r="134" spans="1:54" ht="13" x14ac:dyDescent="0.15">
      <c r="A134" s="1" t="s">
        <v>410</v>
      </c>
      <c r="B134" s="1" t="s">
        <v>411</v>
      </c>
      <c r="C134" s="5" t="s">
        <v>412</v>
      </c>
      <c r="D134" s="1" t="s">
        <v>304</v>
      </c>
      <c r="E134" s="2">
        <v>1188</v>
      </c>
      <c r="F134" s="2">
        <v>32283</v>
      </c>
      <c r="G134" s="2">
        <v>17849</v>
      </c>
      <c r="H134" s="2">
        <f t="shared" si="0"/>
        <v>51320</v>
      </c>
      <c r="I134" s="2">
        <v>59310</v>
      </c>
      <c r="J134" s="2">
        <v>1620274</v>
      </c>
      <c r="K134" s="2">
        <f t="shared" si="1"/>
        <v>3.1673655196590204E-2</v>
      </c>
      <c r="M134" s="2">
        <v>0.76023804194366296</v>
      </c>
      <c r="N134" s="2">
        <v>0.63403583316311796</v>
      </c>
      <c r="O134" s="2">
        <v>15.3039300229633</v>
      </c>
      <c r="P134" s="2">
        <v>24.1373266659301</v>
      </c>
      <c r="Q134" s="2">
        <v>26.0768096208106</v>
      </c>
      <c r="R134" s="2">
        <v>18.350113962261201</v>
      </c>
      <c r="S134" s="2">
        <v>0.35019322716021201</v>
      </c>
      <c r="T134" s="2">
        <v>1470.49741574772</v>
      </c>
      <c r="U134" s="2">
        <v>779</v>
      </c>
      <c r="V134" s="2">
        <v>1503.3</v>
      </c>
      <c r="W134" s="2">
        <v>1038.4594215853499</v>
      </c>
      <c r="X134" s="2">
        <v>451509.25907513697</v>
      </c>
      <c r="Y134" s="2">
        <v>-6345.1124275974098</v>
      </c>
      <c r="Z134" s="2">
        <v>452.28668986865398</v>
      </c>
      <c r="AA134" s="2">
        <v>18.216877629297599</v>
      </c>
      <c r="AB134" s="2">
        <v>0.92302238097692202</v>
      </c>
      <c r="AC134" s="2">
        <v>3.28828833465499</v>
      </c>
      <c r="AD134" s="2">
        <v>3.1403710688039901</v>
      </c>
      <c r="AE134" s="2">
        <v>0.35909783383622801</v>
      </c>
      <c r="AF134" s="2">
        <v>0.27140669467489098</v>
      </c>
      <c r="AG134" s="2">
        <v>0.99288117985227198</v>
      </c>
      <c r="AH134" s="2">
        <v>0.94062782586280302</v>
      </c>
      <c r="AI134" s="2">
        <v>-0.349239437086174</v>
      </c>
      <c r="AJ134" s="2">
        <v>0.98539579722737602</v>
      </c>
      <c r="AK134" s="2">
        <v>3.8041548782980199E-3</v>
      </c>
      <c r="AL134" s="2">
        <v>8.5359259488254402</v>
      </c>
      <c r="AM134" s="2">
        <v>7.3419331773992402</v>
      </c>
      <c r="AN134" s="2">
        <v>246.86531986532</v>
      </c>
      <c r="AO134" s="2">
        <v>0.20779909079572401</v>
      </c>
      <c r="AP134" s="2">
        <v>35.141414141414103</v>
      </c>
      <c r="AQ134" s="2">
        <v>117.60271627611699</v>
      </c>
      <c r="AR134" s="2">
        <v>980.81481481481501</v>
      </c>
      <c r="AS134" s="2">
        <v>10.2659932659933</v>
      </c>
      <c r="AT134" s="2">
        <v>12993.9494949495</v>
      </c>
      <c r="AU134" s="2">
        <v>1.7230286286573401E-2</v>
      </c>
      <c r="AV134" s="2">
        <v>3.6779846987322899E-3</v>
      </c>
      <c r="AW134" s="2">
        <v>3.9297430241666001E-2</v>
      </c>
      <c r="AX134" s="2">
        <v>1.80780076117932E-2</v>
      </c>
      <c r="AY134" s="2">
        <v>1503.7338274311901</v>
      </c>
      <c r="AZ134" s="2">
        <v>0.18243902702324799</v>
      </c>
      <c r="BA134" s="2">
        <v>14.7818413195546</v>
      </c>
      <c r="BB134" s="2">
        <v>33</v>
      </c>
    </row>
    <row r="135" spans="1:54" ht="13" x14ac:dyDescent="0.15">
      <c r="A135" s="1" t="s">
        <v>413</v>
      </c>
      <c r="B135" s="1" t="s">
        <v>414</v>
      </c>
      <c r="C135" s="5" t="s">
        <v>415</v>
      </c>
      <c r="D135" s="1" t="s">
        <v>304</v>
      </c>
      <c r="E135" s="2">
        <v>19887</v>
      </c>
      <c r="F135" s="2">
        <v>35154</v>
      </c>
      <c r="G135" s="2">
        <v>20908</v>
      </c>
      <c r="H135" s="2">
        <f t="shared" si="0"/>
        <v>75949</v>
      </c>
      <c r="I135" s="2">
        <v>117325</v>
      </c>
      <c r="J135" s="2">
        <v>1379666</v>
      </c>
      <c r="K135" s="2">
        <f t="shared" si="1"/>
        <v>5.5048830659014572E-2</v>
      </c>
      <c r="M135" s="2">
        <v>0.87047891719676496</v>
      </c>
      <c r="N135" s="2">
        <v>0.67626804599215296</v>
      </c>
      <c r="O135" s="2">
        <v>25.3337973474029</v>
      </c>
      <c r="P135" s="2">
        <v>37.461177557540303</v>
      </c>
      <c r="Q135" s="2">
        <v>41.617304093369597</v>
      </c>
      <c r="R135" s="2">
        <v>32.609165277203502</v>
      </c>
      <c r="S135" s="2">
        <v>0.47637715685777199</v>
      </c>
      <c r="T135" s="2">
        <v>7401.0373140088896</v>
      </c>
      <c r="U135" s="2">
        <v>935.6</v>
      </c>
      <c r="V135" s="2">
        <v>2163</v>
      </c>
      <c r="W135" s="2">
        <v>2747.22720204201</v>
      </c>
      <c r="X135" s="2">
        <v>3165317.9268293199</v>
      </c>
      <c r="Y135" s="2">
        <v>-19491.818031794999</v>
      </c>
      <c r="Z135" s="2">
        <v>1184.9653604661301</v>
      </c>
      <c r="AA135" s="2">
        <v>49.766570737766699</v>
      </c>
      <c r="AB135" s="2">
        <v>0.91911365835326297</v>
      </c>
      <c r="AC135" s="2">
        <v>4.7729889516891202</v>
      </c>
      <c r="AD135" s="2">
        <v>3.7595609371348302</v>
      </c>
      <c r="AE135" s="2">
        <v>0.32655459782471402</v>
      </c>
      <c r="AF135" s="2">
        <v>0.24294960336171301</v>
      </c>
      <c r="AG135" s="2">
        <v>0.99278186784440303</v>
      </c>
      <c r="AH135" s="2">
        <v>0.94744228318012402</v>
      </c>
      <c r="AI135" s="2">
        <v>-0.26062576722041397</v>
      </c>
      <c r="AJ135" s="2">
        <v>0.97423205870387297</v>
      </c>
      <c r="AK135" s="2">
        <v>1.1803507572342401E-3</v>
      </c>
      <c r="AL135" s="2">
        <v>10.447074712751499</v>
      </c>
      <c r="AM135" s="2">
        <v>8.7215152084660392</v>
      </c>
      <c r="AN135" s="2">
        <v>3386.6022527279101</v>
      </c>
      <c r="AO135" s="2">
        <v>0.17029226392758701</v>
      </c>
      <c r="AP135" s="2">
        <v>324.37557198169702</v>
      </c>
      <c r="AQ135" s="2">
        <v>327.17457541176901</v>
      </c>
      <c r="AR135" s="2">
        <v>2616.6096444913801</v>
      </c>
      <c r="AS135" s="2">
        <v>16.237290692412099</v>
      </c>
      <c r="AT135" s="2">
        <v>56113.936843163901</v>
      </c>
      <c r="AU135" s="2">
        <v>1.14115867815317E-2</v>
      </c>
      <c r="AV135" s="2">
        <v>1.22166824937176E-3</v>
      </c>
      <c r="AW135" s="2">
        <v>0.20211955197039899</v>
      </c>
      <c r="AX135" s="2">
        <v>1.3665341473108701E-3</v>
      </c>
      <c r="AY135" s="2">
        <v>5962.8898826015102</v>
      </c>
      <c r="AZ135" s="2">
        <v>0.245363716272956</v>
      </c>
      <c r="BA135" s="2">
        <v>3.0867786815279099</v>
      </c>
      <c r="BB135" s="2">
        <v>735</v>
      </c>
    </row>
    <row r="136" spans="1:54" ht="13" x14ac:dyDescent="0.15">
      <c r="A136" s="1" t="s">
        <v>416</v>
      </c>
      <c r="B136" s="1" t="s">
        <v>417</v>
      </c>
      <c r="C136" s="5" t="s">
        <v>418</v>
      </c>
      <c r="D136" s="1" t="s">
        <v>304</v>
      </c>
      <c r="E136" s="2">
        <v>9818</v>
      </c>
      <c r="F136" s="2">
        <v>60098</v>
      </c>
      <c r="G136" s="2">
        <v>9305</v>
      </c>
      <c r="H136" s="2">
        <f t="shared" si="0"/>
        <v>79221</v>
      </c>
      <c r="I136" s="2">
        <v>115134</v>
      </c>
      <c r="J136" s="2">
        <v>1515331</v>
      </c>
      <c r="K136" s="2">
        <f t="shared" si="1"/>
        <v>5.2279666950653024E-2</v>
      </c>
      <c r="M136" s="2">
        <v>0.80028553414232195</v>
      </c>
      <c r="N136" s="2">
        <v>0.63537157891967799</v>
      </c>
      <c r="O136" s="2">
        <v>22.800782816718101</v>
      </c>
      <c r="P136" s="2">
        <v>35.885745559293497</v>
      </c>
      <c r="Q136" s="2">
        <v>37.6961536499415</v>
      </c>
      <c r="R136" s="2">
        <v>28.718843053014599</v>
      </c>
      <c r="S136" s="2">
        <v>0.43295633081431201</v>
      </c>
      <c r="T136" s="2">
        <v>5097.8851916660897</v>
      </c>
      <c r="U136" s="2">
        <v>922</v>
      </c>
      <c r="V136" s="2">
        <v>1524</v>
      </c>
      <c r="W136" s="2">
        <v>1126.2548715104699</v>
      </c>
      <c r="X136" s="2">
        <v>255515.241105945</v>
      </c>
      <c r="Y136" s="2">
        <v>-5134.5164738662997</v>
      </c>
      <c r="Z136" s="2">
        <v>274.06081557895698</v>
      </c>
      <c r="AA136" s="2">
        <v>13.179176811883501</v>
      </c>
      <c r="AB136" s="2">
        <v>0.90723301604526596</v>
      </c>
      <c r="AC136" s="2">
        <v>2.32640075118392</v>
      </c>
      <c r="AD136" s="2">
        <v>2.8758730957630498</v>
      </c>
      <c r="AE136" s="2">
        <v>0.48919038805284198</v>
      </c>
      <c r="AF136" s="2">
        <v>0.42858720860410299</v>
      </c>
      <c r="AG136" s="2">
        <v>0.99406389880409296</v>
      </c>
      <c r="AH136" s="2">
        <v>0.95468025251565503</v>
      </c>
      <c r="AI136" s="2">
        <v>-0.28947829446609802</v>
      </c>
      <c r="AJ136" s="2">
        <v>0.96340174587022198</v>
      </c>
      <c r="AK136" s="2">
        <v>9.4968421350384198E-3</v>
      </c>
      <c r="AL136" s="2">
        <v>8.0519540289930003</v>
      </c>
      <c r="AM136" s="2">
        <v>8.2814689465544795</v>
      </c>
      <c r="AN136" s="2">
        <v>864.25728254226897</v>
      </c>
      <c r="AO136" s="2">
        <v>8.80278348484691E-2</v>
      </c>
      <c r="AP136" s="2">
        <v>446.95335098798103</v>
      </c>
      <c r="AQ136" s="2">
        <v>85.152250486248406</v>
      </c>
      <c r="AR136" s="2">
        <v>1070.5161947443501</v>
      </c>
      <c r="AS136" s="2">
        <v>61.501120391118398</v>
      </c>
      <c r="AT136" s="2">
        <v>83785.922794866594</v>
      </c>
      <c r="AU136" s="2">
        <v>6.0438271533665502E-2</v>
      </c>
      <c r="AV136" s="2">
        <v>2.2584315734977302E-3</v>
      </c>
      <c r="AW136" s="2">
        <v>0.26633141784938602</v>
      </c>
      <c r="AX136" s="2">
        <v>2.1128565317790702E-3</v>
      </c>
      <c r="AY136" s="2">
        <v>1227.7453293481601</v>
      </c>
      <c r="AZ136" s="2">
        <v>0.114900974660281</v>
      </c>
      <c r="BA136" s="2">
        <v>2.1716461239041198</v>
      </c>
      <c r="BB136" s="2">
        <v>51</v>
      </c>
    </row>
    <row r="137" spans="1:54" ht="13" x14ac:dyDescent="0.15">
      <c r="A137" s="1" t="s">
        <v>419</v>
      </c>
      <c r="B137" s="1" t="s">
        <v>420</v>
      </c>
      <c r="C137" s="5" t="s">
        <v>421</v>
      </c>
      <c r="D137" s="1" t="s">
        <v>304</v>
      </c>
      <c r="E137" s="2">
        <v>3474</v>
      </c>
      <c r="F137" s="2">
        <v>63525</v>
      </c>
      <c r="G137" s="2">
        <v>19813</v>
      </c>
      <c r="H137" s="2">
        <f t="shared" si="0"/>
        <v>86812</v>
      </c>
      <c r="I137" s="2">
        <v>124831</v>
      </c>
      <c r="J137" s="2">
        <v>1438522</v>
      </c>
      <c r="K137" s="2">
        <f t="shared" si="1"/>
        <v>6.0348051680822398E-2</v>
      </c>
      <c r="M137" s="2">
        <v>0.79301422902515695</v>
      </c>
      <c r="N137" s="2">
        <v>0.42209521624761098</v>
      </c>
      <c r="O137" s="2">
        <v>19.115228000744601</v>
      </c>
      <c r="P137" s="2">
        <v>45.286530775395498</v>
      </c>
      <c r="Q137" s="2">
        <v>40.447496832313398</v>
      </c>
      <c r="R137" s="2">
        <v>35.912863288074298</v>
      </c>
      <c r="S137" s="2">
        <v>0.31878709290549401</v>
      </c>
      <c r="T137" s="2">
        <v>3366.4386022558401</v>
      </c>
      <c r="U137" s="2">
        <v>990</v>
      </c>
      <c r="V137" s="2">
        <v>1668.7</v>
      </c>
      <c r="W137" s="2">
        <v>1514.00974585938</v>
      </c>
      <c r="X137" s="2">
        <v>337848.74140157999</v>
      </c>
      <c r="Y137" s="2">
        <v>-2807.2264278796602</v>
      </c>
      <c r="Z137" s="2">
        <v>378.78679891618799</v>
      </c>
      <c r="AA137" s="2">
        <v>34.535682126193201</v>
      </c>
      <c r="AB137" s="2">
        <v>0.83282498720960096</v>
      </c>
      <c r="AC137" s="2">
        <v>4.4562840869643701</v>
      </c>
      <c r="AD137" s="2">
        <v>3.6307664244184799</v>
      </c>
      <c r="AE137" s="2">
        <v>0.30997662944911603</v>
      </c>
      <c r="AF137" s="2">
        <v>0.22061736658377301</v>
      </c>
      <c r="AG137" s="2">
        <v>0.99073260478522995</v>
      </c>
      <c r="AH137" s="2">
        <v>0.93394800668904998</v>
      </c>
      <c r="AI137" s="2">
        <v>-0.21169645035457799</v>
      </c>
      <c r="AJ137" s="2">
        <v>0.94197563464901601</v>
      </c>
      <c r="AK137" s="2">
        <v>1.8499296448275201E-3</v>
      </c>
      <c r="AL137" s="2">
        <v>9.4673114219598808</v>
      </c>
      <c r="AM137" s="2">
        <v>7.5389682552316</v>
      </c>
      <c r="AN137" s="2">
        <v>818.05872193437006</v>
      </c>
      <c r="AO137" s="2">
        <v>0.23548034597995701</v>
      </c>
      <c r="AP137" s="2">
        <v>94.029936672423702</v>
      </c>
      <c r="AQ137" s="2">
        <v>106.15210516878599</v>
      </c>
      <c r="AR137" s="2">
        <v>1432.5877950489401</v>
      </c>
      <c r="AS137" s="2">
        <v>9.5653425446171596</v>
      </c>
      <c r="AT137" s="2">
        <v>17044.096142774899</v>
      </c>
      <c r="AU137" s="2">
        <v>9.7868514972519801E-3</v>
      </c>
      <c r="AV137" s="2">
        <v>1.6211511252765399E-3</v>
      </c>
      <c r="AW137" s="2">
        <v>0.122102395586644</v>
      </c>
      <c r="AX137" s="2">
        <v>4.0328453314272704E-3</v>
      </c>
      <c r="AY137" s="2">
        <v>3735.4087860582799</v>
      </c>
      <c r="AZ137" s="2">
        <v>0.18502809524185801</v>
      </c>
      <c r="BA137" s="2">
        <v>4.8955966305496901</v>
      </c>
      <c r="BB137" s="2">
        <v>510</v>
      </c>
    </row>
    <row r="138" spans="1:54" ht="13" x14ac:dyDescent="0.15">
      <c r="A138" s="1" t="s">
        <v>422</v>
      </c>
      <c r="B138" s="1" t="s">
        <v>423</v>
      </c>
      <c r="C138" s="1" t="s">
        <v>424</v>
      </c>
      <c r="D138" s="1" t="s">
        <v>304</v>
      </c>
      <c r="E138" s="2">
        <v>25812</v>
      </c>
      <c r="F138" s="2">
        <v>42681</v>
      </c>
      <c r="G138" s="2">
        <v>35581</v>
      </c>
      <c r="H138" s="2">
        <f t="shared" si="0"/>
        <v>104074</v>
      </c>
      <c r="I138" s="2">
        <v>157716</v>
      </c>
      <c r="J138" s="2">
        <v>1711480</v>
      </c>
      <c r="K138" s="2">
        <f t="shared" si="1"/>
        <v>6.0809357982564795E-2</v>
      </c>
      <c r="M138" s="2">
        <v>0.49724846877856899</v>
      </c>
      <c r="N138" s="2">
        <v>0.30073254186835602</v>
      </c>
      <c r="O138" s="2">
        <v>24.563099631830902</v>
      </c>
      <c r="P138" s="2">
        <v>81.677558002962002</v>
      </c>
      <c r="Q138" s="2">
        <v>79.711981533518497</v>
      </c>
      <c r="R138" s="2">
        <v>40.614040650545597</v>
      </c>
      <c r="S138" s="2">
        <v>0.314410601443392</v>
      </c>
      <c r="T138" s="2">
        <v>13355.0869454854</v>
      </c>
      <c r="U138" s="2">
        <v>208</v>
      </c>
      <c r="V138" s="2">
        <v>1795</v>
      </c>
      <c r="W138" s="2">
        <v>2936.8704630596699</v>
      </c>
      <c r="X138" s="2">
        <v>11032591.393422</v>
      </c>
      <c r="Y138" s="2">
        <v>-77876.556439586595</v>
      </c>
      <c r="Z138" s="2">
        <v>2372.7959516609699</v>
      </c>
      <c r="AA138" s="2">
        <v>41.743470559126401</v>
      </c>
      <c r="AB138" s="2">
        <v>0.96545133616391499</v>
      </c>
      <c r="AC138" s="2">
        <v>3.7419121898530201</v>
      </c>
      <c r="AD138" s="2">
        <v>3.42615873755277</v>
      </c>
      <c r="AE138" s="2">
        <v>0.43526678701963201</v>
      </c>
      <c r="AF138" s="2">
        <v>0.37322927848875898</v>
      </c>
      <c r="AG138" s="2">
        <v>0.99480638688622403</v>
      </c>
      <c r="AH138" s="2">
        <v>0.96155940079122204</v>
      </c>
      <c r="AI138" s="2">
        <v>-0.35528558024711299</v>
      </c>
      <c r="AJ138" s="2">
        <v>0.99226912258446198</v>
      </c>
      <c r="AK138" s="2">
        <v>3.1202528387818001E-3</v>
      </c>
      <c r="AL138" s="2">
        <v>9.8813367248354496</v>
      </c>
      <c r="AM138" s="2">
        <v>9.2979203632636001</v>
      </c>
      <c r="AN138" s="2">
        <v>2893.5619866728698</v>
      </c>
      <c r="AO138" s="2">
        <v>0.11210142517716</v>
      </c>
      <c r="AP138" s="2">
        <v>454.80272741360602</v>
      </c>
      <c r="AQ138" s="2">
        <v>585.64605474711402</v>
      </c>
      <c r="AR138" s="2">
        <v>2804.9933364326698</v>
      </c>
      <c r="AS138" s="2">
        <v>50.319231365256499</v>
      </c>
      <c r="AT138" s="2">
        <v>190955.86285448601</v>
      </c>
      <c r="AU138" s="2">
        <v>1.5782232026437699</v>
      </c>
      <c r="AV138" s="2">
        <v>1.84407434846676E-2</v>
      </c>
      <c r="AW138" s="2">
        <v>0.16769418853726101</v>
      </c>
      <c r="AX138" s="2">
        <v>1.2920684467946E-3</v>
      </c>
      <c r="AY138" s="2">
        <v>6102.0043717298204</v>
      </c>
      <c r="AZ138" s="2">
        <v>0.35670260923285002</v>
      </c>
      <c r="BA138" s="2">
        <v>3.6270521514878999</v>
      </c>
      <c r="BB138" s="2">
        <v>191</v>
      </c>
    </row>
    <row r="139" spans="1:54" ht="13" x14ac:dyDescent="0.15">
      <c r="A139" s="1" t="s">
        <v>425</v>
      </c>
      <c r="B139" s="1" t="s">
        <v>426</v>
      </c>
      <c r="C139" s="5" t="s">
        <v>427</v>
      </c>
      <c r="D139" s="1" t="s">
        <v>304</v>
      </c>
      <c r="E139" s="2">
        <v>22901</v>
      </c>
      <c r="F139" s="2">
        <v>64622</v>
      </c>
      <c r="G139" s="2">
        <v>17472</v>
      </c>
      <c r="H139" s="2">
        <f t="shared" si="0"/>
        <v>104995</v>
      </c>
      <c r="I139" s="2">
        <v>153547</v>
      </c>
      <c r="J139" s="2">
        <v>1317661</v>
      </c>
      <c r="K139" s="2">
        <f t="shared" si="1"/>
        <v>7.9682862284001732E-2</v>
      </c>
      <c r="M139" s="2">
        <v>0.885214807571158</v>
      </c>
      <c r="N139" s="2">
        <v>0.59792636349945605</v>
      </c>
      <c r="O139" s="2">
        <v>23.753927389640602</v>
      </c>
      <c r="P139" s="2">
        <v>39.727178528501497</v>
      </c>
      <c r="Q139" s="2">
        <v>43.011626335213101</v>
      </c>
      <c r="R139" s="2">
        <v>35.1670866964525</v>
      </c>
      <c r="S139" s="2">
        <v>0.72192364936195796</v>
      </c>
      <c r="T139" s="2">
        <v>5394.6324979600704</v>
      </c>
      <c r="U139" s="2">
        <v>767</v>
      </c>
      <c r="V139" s="2">
        <v>1385</v>
      </c>
      <c r="W139" s="2">
        <v>1471.1840665320001</v>
      </c>
      <c r="X139" s="2">
        <v>349977.66750686598</v>
      </c>
      <c r="Y139" s="2">
        <v>-6602.6316911130598</v>
      </c>
      <c r="Z139" s="2">
        <v>319.25612906490198</v>
      </c>
      <c r="AA139" s="2">
        <v>18.748086391453999</v>
      </c>
      <c r="AB139" s="2">
        <v>0.88855891316476598</v>
      </c>
      <c r="AC139" s="2">
        <v>2.7893746352393101</v>
      </c>
      <c r="AD139" s="2">
        <v>3.07974508144145</v>
      </c>
      <c r="AE139" s="2">
        <v>0.44793490220782001</v>
      </c>
      <c r="AF139" s="2">
        <v>0.38134018847788098</v>
      </c>
      <c r="AG139" s="2">
        <v>0.99290340267667598</v>
      </c>
      <c r="AH139" s="2">
        <v>0.95045211724210399</v>
      </c>
      <c r="AI139" s="2">
        <v>-0.25013946271079102</v>
      </c>
      <c r="AJ139" s="2">
        <v>0.94553813246359197</v>
      </c>
      <c r="AK139" s="2">
        <v>7.5433510297442004E-3</v>
      </c>
      <c r="AL139" s="2">
        <v>8.3616671637899405</v>
      </c>
      <c r="AM139" s="2">
        <v>8.1240737003105998</v>
      </c>
      <c r="AN139" s="2">
        <v>2183.6494039561599</v>
      </c>
      <c r="AO139" s="2">
        <v>9.5351705338463794E-2</v>
      </c>
      <c r="AP139" s="2">
        <v>1018.70018776473</v>
      </c>
      <c r="AQ139" s="2">
        <v>88.653776412323495</v>
      </c>
      <c r="AR139" s="2">
        <v>1436.4839963320401</v>
      </c>
      <c r="AS139" s="2">
        <v>49.450635343434797</v>
      </c>
      <c r="AT139" s="2">
        <v>92513.190865027704</v>
      </c>
      <c r="AU139" s="2">
        <v>3.21008372169964E-2</v>
      </c>
      <c r="AV139" s="2">
        <v>1.2295855462037099E-3</v>
      </c>
      <c r="AW139" s="2">
        <v>0.51231008043599802</v>
      </c>
      <c r="AX139" s="2">
        <v>8.4253850644855604E-4</v>
      </c>
      <c r="AY139" s="2">
        <v>1650.2647255921299</v>
      </c>
      <c r="AZ139" s="2">
        <v>0.111632520996452</v>
      </c>
      <c r="BA139" s="2">
        <v>1.1699589284901799</v>
      </c>
      <c r="BB139" s="2">
        <v>578</v>
      </c>
    </row>
    <row r="140" spans="1:54" ht="13" x14ac:dyDescent="0.15">
      <c r="A140" s="1" t="s">
        <v>428</v>
      </c>
      <c r="B140" s="1" t="s">
        <v>429</v>
      </c>
      <c r="C140" s="5" t="s">
        <v>430</v>
      </c>
      <c r="D140" s="1" t="s">
        <v>304</v>
      </c>
      <c r="E140" s="2">
        <v>4275</v>
      </c>
      <c r="F140" s="2">
        <v>17889</v>
      </c>
      <c r="G140" s="2">
        <v>22912</v>
      </c>
      <c r="H140" s="2">
        <f t="shared" si="0"/>
        <v>45076</v>
      </c>
      <c r="I140" s="2">
        <v>132054</v>
      </c>
      <c r="J140" s="2">
        <v>1507910</v>
      </c>
      <c r="K140" s="2">
        <f t="shared" si="1"/>
        <v>2.9893030751172153E-2</v>
      </c>
      <c r="M140" s="2">
        <v>0.64399645221372104</v>
      </c>
      <c r="N140" s="2">
        <v>0.37232300235074201</v>
      </c>
      <c r="O140" s="2">
        <v>12.7489535373381</v>
      </c>
      <c r="P140" s="2">
        <v>34.241648936125003</v>
      </c>
      <c r="Q140" s="2">
        <v>38.275318418009299</v>
      </c>
      <c r="R140" s="2">
        <v>22.051500432812201</v>
      </c>
      <c r="S140" s="2">
        <v>0.37573475904306203</v>
      </c>
      <c r="T140" s="2">
        <v>3337.1125035610198</v>
      </c>
      <c r="U140" s="2">
        <v>563.4</v>
      </c>
      <c r="V140" s="2">
        <v>831</v>
      </c>
      <c r="W140" s="2">
        <v>539.51368455330703</v>
      </c>
      <c r="X140" s="2">
        <v>24211.7609143318</v>
      </c>
      <c r="Y140" s="2">
        <v>-477.43514678007301</v>
      </c>
      <c r="Z140" s="2">
        <v>71.701056232562394</v>
      </c>
      <c r="AA140" s="2">
        <v>8.4168959767434099</v>
      </c>
      <c r="AB140" s="2">
        <v>0.78937139174385595</v>
      </c>
      <c r="AC140" s="2">
        <v>2.1790783066590498</v>
      </c>
      <c r="AD140" s="2">
        <v>2.6823578105424</v>
      </c>
      <c r="AE140" s="2">
        <v>0.44377822639561898</v>
      </c>
      <c r="AF140" s="2">
        <v>0.36915176576305703</v>
      </c>
      <c r="AG140" s="2">
        <v>0.99367284986455795</v>
      </c>
      <c r="AH140" s="2">
        <v>0.94515691391614898</v>
      </c>
      <c r="AI140" s="2">
        <v>-0.19491197691887499</v>
      </c>
      <c r="AJ140" s="2">
        <v>0.88286355003200101</v>
      </c>
      <c r="AK140" s="2">
        <v>8.6419321381028206E-3</v>
      </c>
      <c r="AL140" s="2">
        <v>7.4523709058818204</v>
      </c>
      <c r="AM140" s="2">
        <v>7.1027778857328903</v>
      </c>
      <c r="AN140" s="2">
        <v>580.81801169590597</v>
      </c>
      <c r="AO140" s="2">
        <v>0.135863862385007</v>
      </c>
      <c r="AP140" s="2">
        <v>291.36865497076002</v>
      </c>
      <c r="AQ140" s="2">
        <v>20.7459151738997</v>
      </c>
      <c r="AR140" s="2">
        <v>520.27625730994203</v>
      </c>
      <c r="AS140" s="2">
        <v>22.782923976608199</v>
      </c>
      <c r="AT140" s="2">
        <v>12515.414035087701</v>
      </c>
      <c r="AU140" s="2">
        <v>5.00551739023345E-2</v>
      </c>
      <c r="AV140" s="2">
        <v>3.0097823627852302E-3</v>
      </c>
      <c r="AW140" s="2">
        <v>0.332898048728482</v>
      </c>
      <c r="AX140" s="2">
        <v>3.0284363709551601E-3</v>
      </c>
      <c r="AY140" s="2">
        <v>700.37462658012498</v>
      </c>
      <c r="AZ140" s="2">
        <v>4.4769697580314002E-2</v>
      </c>
      <c r="BA140" s="2">
        <v>1.73809836808137</v>
      </c>
      <c r="BB140" s="2">
        <v>114</v>
      </c>
    </row>
    <row r="141" spans="1:54" ht="13" x14ac:dyDescent="0.15">
      <c r="A141" s="1" t="s">
        <v>431</v>
      </c>
      <c r="B141" s="1" t="s">
        <v>432</v>
      </c>
      <c r="C141" s="5" t="s">
        <v>433</v>
      </c>
      <c r="D141" s="1" t="s">
        <v>304</v>
      </c>
      <c r="E141" s="2">
        <v>3195</v>
      </c>
      <c r="F141" s="2">
        <v>30632</v>
      </c>
      <c r="G141" s="2">
        <v>18812</v>
      </c>
      <c r="H141" s="2">
        <f t="shared" si="0"/>
        <v>52639</v>
      </c>
      <c r="I141" s="2">
        <v>64200</v>
      </c>
      <c r="J141" s="2">
        <v>1533150</v>
      </c>
      <c r="K141" s="2">
        <f t="shared" si="1"/>
        <v>3.4333887747448062E-2</v>
      </c>
      <c r="M141" s="2">
        <v>0.55664248771910696</v>
      </c>
      <c r="N141" s="2">
        <v>0.53005497470505303</v>
      </c>
      <c r="O141" s="2">
        <v>14.5996475061116</v>
      </c>
      <c r="P141" s="2">
        <v>27.543647740001798</v>
      </c>
      <c r="Q141" s="2">
        <v>25.317977802344299</v>
      </c>
      <c r="R141" s="2">
        <v>15.3319645988534</v>
      </c>
      <c r="S141" s="2">
        <v>0.60323008399512101</v>
      </c>
      <c r="T141" s="2">
        <v>1723.5295273208401</v>
      </c>
      <c r="U141" s="2">
        <v>967</v>
      </c>
      <c r="V141" s="2">
        <v>1920</v>
      </c>
      <c r="W141" s="2">
        <v>1588.5903450334999</v>
      </c>
      <c r="X141" s="2">
        <v>1427387.38086863</v>
      </c>
      <c r="Y141" s="2">
        <v>14983.015742276501</v>
      </c>
      <c r="Z141" s="2">
        <v>723.75701802296203</v>
      </c>
      <c r="AA141" s="2">
        <v>24.181663992324001</v>
      </c>
      <c r="AB141" s="2">
        <v>0.935246877608648</v>
      </c>
      <c r="AC141" s="2">
        <v>3.6481929500848298</v>
      </c>
      <c r="AD141" s="2">
        <v>3.3441512844718302</v>
      </c>
      <c r="AE141" s="2">
        <v>0.34254622196553502</v>
      </c>
      <c r="AF141" s="2">
        <v>0.25295159296872699</v>
      </c>
      <c r="AG141" s="2">
        <v>0.99580118575062804</v>
      </c>
      <c r="AH141" s="2">
        <v>0.95517338579801503</v>
      </c>
      <c r="AI141" s="2">
        <v>-0.305878271831513</v>
      </c>
      <c r="AJ141" s="2">
        <v>0.98155767451962395</v>
      </c>
      <c r="AK141" s="2">
        <v>2.04355037915662E-3</v>
      </c>
      <c r="AL141" s="2">
        <v>9.4312721778425299</v>
      </c>
      <c r="AM141" s="2">
        <v>7.9965216916949702</v>
      </c>
      <c r="AN141" s="2">
        <v>584.75524256650999</v>
      </c>
      <c r="AO141" s="2">
        <v>0.183021985153837</v>
      </c>
      <c r="AP141" s="2">
        <v>76.738341158059498</v>
      </c>
      <c r="AQ141" s="2">
        <v>184.98872798606999</v>
      </c>
      <c r="AR141" s="2">
        <v>1620.0823161189401</v>
      </c>
      <c r="AS141" s="2">
        <v>13.005633802816901</v>
      </c>
      <c r="AT141" s="2">
        <v>16906.512989045401</v>
      </c>
      <c r="AU141" s="2">
        <v>1.63133890521476E-2</v>
      </c>
      <c r="AV141" s="2">
        <v>1.3162755649683E-3</v>
      </c>
      <c r="AW141" s="2">
        <v>9.0820100623650493E-2</v>
      </c>
      <c r="AX141" s="2">
        <v>6.7245179906585901E-3</v>
      </c>
      <c r="AY141" s="2">
        <v>3454.1236878269301</v>
      </c>
      <c r="AZ141" s="2">
        <v>0.19856851238701501</v>
      </c>
      <c r="BA141" s="2">
        <v>10.540993106923301</v>
      </c>
      <c r="BB141" s="2">
        <v>820</v>
      </c>
    </row>
    <row r="142" spans="1:54" ht="13" x14ac:dyDescent="0.15">
      <c r="A142" s="1" t="s">
        <v>434</v>
      </c>
      <c r="B142" s="1" t="s">
        <v>435</v>
      </c>
      <c r="C142" s="5" t="s">
        <v>436</v>
      </c>
      <c r="D142" s="1" t="s">
        <v>304</v>
      </c>
      <c r="E142" s="2">
        <v>809</v>
      </c>
      <c r="F142" s="2">
        <v>31862</v>
      </c>
      <c r="G142" s="2">
        <v>25683</v>
      </c>
      <c r="H142" s="2">
        <f t="shared" si="0"/>
        <v>58354</v>
      </c>
      <c r="I142" s="2">
        <v>90912</v>
      </c>
      <c r="J142" s="2">
        <v>1418603</v>
      </c>
      <c r="K142" s="2">
        <f t="shared" si="1"/>
        <v>4.1134834763496199E-2</v>
      </c>
      <c r="M142" s="2">
        <v>0.76642846520343999</v>
      </c>
      <c r="N142" s="2">
        <v>0.44923776064729198</v>
      </c>
      <c r="O142" s="2">
        <v>22.3581851460637</v>
      </c>
      <c r="P142" s="2">
        <v>49.769158126530897</v>
      </c>
      <c r="Q142" s="2">
        <v>33.301651610693398</v>
      </c>
      <c r="R142" s="2">
        <v>38.1444994773844</v>
      </c>
      <c r="S142" s="2">
        <v>0.29894836316893802</v>
      </c>
      <c r="T142" s="2">
        <v>1279.4183149876701</v>
      </c>
      <c r="U142" s="2">
        <v>544.79999999999995</v>
      </c>
      <c r="V142" s="2">
        <v>997.4</v>
      </c>
      <c r="W142" s="2">
        <v>570.330501110093</v>
      </c>
      <c r="X142" s="2">
        <v>72942.258764447004</v>
      </c>
      <c r="Y142" s="2">
        <v>842.570166604787</v>
      </c>
      <c r="Z142" s="2">
        <v>183.514323304942</v>
      </c>
      <c r="AA142" s="2">
        <v>16.3745738838902</v>
      </c>
      <c r="AB142" s="2">
        <v>0.83406105348683701</v>
      </c>
      <c r="AC142" s="2">
        <v>2.96897584392784</v>
      </c>
      <c r="AD142" s="2">
        <v>3.0502272622598201</v>
      </c>
      <c r="AE142" s="2">
        <v>0.39655857904700498</v>
      </c>
      <c r="AF142" s="2">
        <v>0.31724472402050802</v>
      </c>
      <c r="AG142" s="2">
        <v>0.99063678363746299</v>
      </c>
      <c r="AH142" s="2">
        <v>0.935859714222123</v>
      </c>
      <c r="AI142" s="2">
        <v>-0.337836633410596</v>
      </c>
      <c r="AJ142" s="2">
        <v>0.97674514182708305</v>
      </c>
      <c r="AK142" s="2">
        <v>6.4877322524735E-3</v>
      </c>
      <c r="AL142" s="2">
        <v>7.8132498161915001</v>
      </c>
      <c r="AM142" s="2">
        <v>6.8966000252292003</v>
      </c>
      <c r="AN142" s="2">
        <v>160.166872682324</v>
      </c>
      <c r="AO142" s="2">
        <v>0.19798130121424501</v>
      </c>
      <c r="AP142" s="2">
        <v>36.765142150803499</v>
      </c>
      <c r="AQ142" s="2">
        <v>49.830940852370098</v>
      </c>
      <c r="AR142" s="2">
        <v>537.86402966625496</v>
      </c>
      <c r="AS142" s="2">
        <v>10.473423980222501</v>
      </c>
      <c r="AT142" s="2">
        <v>4557.4487021013601</v>
      </c>
      <c r="AU142" s="2">
        <v>3.30350311319728E-2</v>
      </c>
      <c r="AV142" s="2">
        <v>4.0820765830756802E-3</v>
      </c>
      <c r="AW142" s="2">
        <v>7.4285638291123599E-2</v>
      </c>
      <c r="AX142" s="2">
        <v>1.8703921594608802E-2</v>
      </c>
      <c r="AY142" s="2">
        <v>987.19038138727103</v>
      </c>
      <c r="AZ142" s="2">
        <v>0.12348629124700999</v>
      </c>
      <c r="BA142" s="2">
        <v>9.3474241939904701</v>
      </c>
      <c r="BB142" s="2">
        <v>99</v>
      </c>
    </row>
    <row r="143" spans="1:54" ht="13" x14ac:dyDescent="0.15">
      <c r="A143" s="1" t="s">
        <v>437</v>
      </c>
      <c r="B143" s="1" t="s">
        <v>438</v>
      </c>
      <c r="C143" s="5" t="s">
        <v>439</v>
      </c>
      <c r="D143" s="1" t="s">
        <v>304</v>
      </c>
      <c r="E143" s="2">
        <v>34164</v>
      </c>
      <c r="F143" s="2">
        <v>29453</v>
      </c>
      <c r="G143" s="2">
        <v>5046</v>
      </c>
      <c r="H143" s="2">
        <f t="shared" si="0"/>
        <v>68663</v>
      </c>
      <c r="I143" s="2">
        <v>119531</v>
      </c>
      <c r="J143" s="2">
        <v>1536013</v>
      </c>
      <c r="K143" s="2">
        <f t="shared" si="1"/>
        <v>4.4702095620284467E-2</v>
      </c>
      <c r="M143" s="2">
        <v>0.66814304972146099</v>
      </c>
      <c r="N143" s="2">
        <v>0.394950047364031</v>
      </c>
      <c r="O143" s="2">
        <v>22.922114804175301</v>
      </c>
      <c r="P143" s="2">
        <v>58.038010014587101</v>
      </c>
      <c r="Q143" s="2">
        <v>55.785302723925398</v>
      </c>
      <c r="R143" s="2">
        <v>38.777693010911001</v>
      </c>
      <c r="S143" s="2">
        <v>0.64654970895424602</v>
      </c>
      <c r="T143" s="2">
        <v>7859.5514034880498</v>
      </c>
      <c r="U143" s="2">
        <v>2042</v>
      </c>
      <c r="V143" s="2">
        <v>2570</v>
      </c>
      <c r="W143" s="2">
        <v>3788.4068403464298</v>
      </c>
      <c r="X143" s="2">
        <v>336835.890889926</v>
      </c>
      <c r="Y143" s="2">
        <v>-5660.2446505648204</v>
      </c>
      <c r="Z143" s="2">
        <v>224.088591187802</v>
      </c>
      <c r="AA143" s="2">
        <v>30.9860000784711</v>
      </c>
      <c r="AB143" s="2">
        <v>0.75241131643635295</v>
      </c>
      <c r="AC143" s="2">
        <v>3.0053346605063198</v>
      </c>
      <c r="AD143" s="2">
        <v>3.05569843253781</v>
      </c>
      <c r="AE143" s="2">
        <v>0.50056743136015203</v>
      </c>
      <c r="AF143" s="2">
        <v>0.45214526139025302</v>
      </c>
      <c r="AG143" s="2">
        <v>0.99480848190045701</v>
      </c>
      <c r="AH143" s="2">
        <v>0.96447286057938597</v>
      </c>
      <c r="AI143" s="2">
        <v>-0.26354398801068901</v>
      </c>
      <c r="AJ143" s="2">
        <v>0.95050876945319895</v>
      </c>
      <c r="AK143" s="2">
        <v>9.5330002093819092E-3</v>
      </c>
      <c r="AL143" s="2">
        <v>8.0795257693281908</v>
      </c>
      <c r="AM143" s="2">
        <v>8.4226275737666008</v>
      </c>
      <c r="AN143" s="2">
        <v>2478.7415408031802</v>
      </c>
      <c r="AO143" s="2">
        <v>7.25541956680478E-2</v>
      </c>
      <c r="AP143" s="2">
        <v>1612.77807048355</v>
      </c>
      <c r="AQ143" s="2">
        <v>83.966889170861094</v>
      </c>
      <c r="AR143" s="2">
        <v>3693.3407387893699</v>
      </c>
      <c r="AS143" s="2">
        <v>76.468036529680404</v>
      </c>
      <c r="AT143" s="2">
        <v>314834.151065449</v>
      </c>
      <c r="AU143" s="2">
        <v>1.89620299966725E-2</v>
      </c>
      <c r="AV143" s="2">
        <v>3.5908130475022497E-4</v>
      </c>
      <c r="AW143" s="2">
        <v>0.29951899998182402</v>
      </c>
      <c r="AX143" s="2">
        <v>5.2778634131699195E-4</v>
      </c>
      <c r="AY143" s="2">
        <v>4911.9533481568997</v>
      </c>
      <c r="AZ143" s="2">
        <v>6.7702492512418305E-2</v>
      </c>
      <c r="BA143" s="2">
        <v>1.93892789918338</v>
      </c>
      <c r="BB143" s="2">
        <v>384</v>
      </c>
    </row>
    <row r="144" spans="1:54" ht="13" x14ac:dyDescent="0.15">
      <c r="A144" s="1" t="s">
        <v>440</v>
      </c>
      <c r="B144" s="1" t="s">
        <v>441</v>
      </c>
      <c r="C144" s="1" t="s">
        <v>442</v>
      </c>
      <c r="D144" s="1" t="s">
        <v>304</v>
      </c>
      <c r="E144" s="2">
        <v>15191</v>
      </c>
      <c r="F144" s="2">
        <v>106783</v>
      </c>
      <c r="G144" s="2">
        <v>22052</v>
      </c>
      <c r="H144" s="2">
        <f t="shared" si="0"/>
        <v>144026</v>
      </c>
      <c r="I144" s="2">
        <v>175530</v>
      </c>
      <c r="J144" s="2">
        <v>1416538</v>
      </c>
      <c r="K144" s="2">
        <f t="shared" si="1"/>
        <v>0.10167464621492682</v>
      </c>
      <c r="M144" s="2">
        <v>0.70476582904532403</v>
      </c>
      <c r="N144" s="2">
        <v>0.581264639484672</v>
      </c>
      <c r="O144" s="2">
        <v>28.097400461935599</v>
      </c>
      <c r="P144" s="2">
        <v>48.338396236945897</v>
      </c>
      <c r="Q144" s="2">
        <v>48.836461788299097</v>
      </c>
      <c r="R144" s="2">
        <v>34.067249898652499</v>
      </c>
      <c r="S144" s="2">
        <v>0.176340871839786</v>
      </c>
      <c r="T144" s="2">
        <v>16185.340566454901</v>
      </c>
      <c r="U144" s="2">
        <v>630</v>
      </c>
      <c r="V144" s="2">
        <v>962</v>
      </c>
      <c r="W144" s="2">
        <v>354.923702932379</v>
      </c>
      <c r="X144" s="2">
        <v>21624.394457147599</v>
      </c>
      <c r="Y144" s="2">
        <v>125.47360012790899</v>
      </c>
      <c r="Z144" s="2">
        <v>84.695758758132897</v>
      </c>
      <c r="AA144" s="2">
        <v>5.0602570846859702</v>
      </c>
      <c r="AB144" s="2">
        <v>0.88666639319430895</v>
      </c>
      <c r="AC144" s="2">
        <v>1.6767577573699599</v>
      </c>
      <c r="AD144" s="2">
        <v>2.3669386787144</v>
      </c>
      <c r="AE144" s="2">
        <v>0.50081088857775102</v>
      </c>
      <c r="AF144" s="2">
        <v>0.439153722453409</v>
      </c>
      <c r="AG144" s="2">
        <v>0.99593958915643199</v>
      </c>
      <c r="AH144" s="2">
        <v>0.95579964089097902</v>
      </c>
      <c r="AI144" s="2">
        <v>-0.27887792976924097</v>
      </c>
      <c r="AJ144" s="2">
        <v>0.94746396765005703</v>
      </c>
      <c r="AK144" s="2">
        <v>8.6122673341777808E-3</v>
      </c>
      <c r="AL144" s="2">
        <v>7.36153729306388</v>
      </c>
      <c r="AM144" s="2">
        <v>7.6302928625908599</v>
      </c>
      <c r="AN144" s="2">
        <v>1766.8501744453999</v>
      </c>
      <c r="AO144" s="2">
        <v>0.11630901023273001</v>
      </c>
      <c r="AP144" s="2">
        <v>827.51161872161197</v>
      </c>
      <c r="AQ144" s="2">
        <v>26.649726551924999</v>
      </c>
      <c r="AR144" s="2">
        <v>359.08840760976898</v>
      </c>
      <c r="AS144" s="2">
        <v>28.502468566914601</v>
      </c>
      <c r="AT144" s="2">
        <v>10484.2485682312</v>
      </c>
      <c r="AU144" s="2">
        <v>0.105452248164787</v>
      </c>
      <c r="AV144" s="2">
        <v>4.5259293548590897E-3</v>
      </c>
      <c r="AW144" s="2">
        <v>1.11793130464074</v>
      </c>
      <c r="AX144" s="2">
        <v>1.28560756976198E-3</v>
      </c>
      <c r="AY144" s="2">
        <v>507.869572128154</v>
      </c>
      <c r="AZ144" s="2">
        <v>4.4212566464575297E-2</v>
      </c>
      <c r="BA144" s="2">
        <v>0.60080520093928302</v>
      </c>
      <c r="BB144" s="2">
        <v>1227</v>
      </c>
    </row>
    <row r="145" spans="1:54" ht="13" x14ac:dyDescent="0.15">
      <c r="A145" s="1" t="s">
        <v>443</v>
      </c>
      <c r="B145" s="1" t="s">
        <v>444</v>
      </c>
      <c r="C145" s="1" t="s">
        <v>445</v>
      </c>
      <c r="D145" s="1" t="s">
        <v>304</v>
      </c>
      <c r="E145" s="2">
        <v>156</v>
      </c>
      <c r="F145" s="2">
        <v>37208</v>
      </c>
      <c r="G145" s="2">
        <v>6204</v>
      </c>
      <c r="H145" s="2">
        <f t="shared" si="0"/>
        <v>43568</v>
      </c>
      <c r="I145" s="2">
        <v>52569</v>
      </c>
      <c r="J145" s="2">
        <v>1508887</v>
      </c>
      <c r="K145" s="2">
        <f t="shared" si="1"/>
        <v>2.8874262950108257E-2</v>
      </c>
      <c r="M145" s="2">
        <v>0.48832174769396602</v>
      </c>
      <c r="N145" s="2">
        <v>0.29278313823395402</v>
      </c>
      <c r="O145" s="2">
        <v>6.6426374603916702</v>
      </c>
      <c r="P145" s="2">
        <v>22.687909899659999</v>
      </c>
      <c r="Q145" s="2">
        <v>20.223748416156699</v>
      </c>
      <c r="R145" s="2">
        <v>11.078999813725201</v>
      </c>
      <c r="S145" s="2">
        <v>0.46786971713243303</v>
      </c>
      <c r="T145" s="2">
        <v>270.10173401154299</v>
      </c>
      <c r="U145" s="2">
        <v>864</v>
      </c>
      <c r="V145" s="2">
        <v>1376.5</v>
      </c>
      <c r="W145" s="2">
        <v>633.87892137041104</v>
      </c>
      <c r="X145" s="2">
        <v>96985.613741667607</v>
      </c>
      <c r="Y145" s="2">
        <v>-1506.4872260244599</v>
      </c>
      <c r="Z145" s="2">
        <v>173.04857500939301</v>
      </c>
      <c r="AA145" s="2">
        <v>28.3674629434827</v>
      </c>
      <c r="AB145" s="2">
        <v>0.71241724169838205</v>
      </c>
      <c r="AC145" s="2">
        <v>4.1389594551612303</v>
      </c>
      <c r="AD145" s="2">
        <v>3.2652720778062401</v>
      </c>
      <c r="AE145" s="2">
        <v>0.30494160949049798</v>
      </c>
      <c r="AF145" s="2">
        <v>0.21089908028848001</v>
      </c>
      <c r="AG145" s="2">
        <v>0.98241662714706202</v>
      </c>
      <c r="AH145" s="2">
        <v>0.90912940631902905</v>
      </c>
      <c r="AI145" s="2">
        <v>-0.53365321276242905</v>
      </c>
      <c r="AJ145" s="2">
        <v>0.995556931164569</v>
      </c>
      <c r="AK145" s="2">
        <v>1.1231752315704399E-2</v>
      </c>
      <c r="AL145" s="2">
        <v>6.61930116043502</v>
      </c>
      <c r="AM145" s="2">
        <v>5.8876130365012598</v>
      </c>
      <c r="AN145" s="2">
        <v>55.512820512820497</v>
      </c>
      <c r="AO145" s="2">
        <v>0.35585141354372102</v>
      </c>
      <c r="AP145" s="2">
        <v>7.0769230769230802</v>
      </c>
      <c r="AQ145" s="2">
        <v>62.495562130177497</v>
      </c>
      <c r="AR145" s="2">
        <v>575.69230769230796</v>
      </c>
      <c r="AS145" s="2">
        <v>4.1538461538461497</v>
      </c>
      <c r="AT145" s="2">
        <v>2631.2435897435898</v>
      </c>
      <c r="AU145" s="2">
        <v>2.0746806468080799E-2</v>
      </c>
      <c r="AV145" s="2">
        <v>1.27452743151637E-2</v>
      </c>
      <c r="AW145" s="2">
        <v>1.7743778353030801E-2</v>
      </c>
      <c r="AX145" s="2">
        <v>6.8329453010105304E-2</v>
      </c>
      <c r="AY145" s="2">
        <v>1109.8738609484301</v>
      </c>
      <c r="AZ145" s="2">
        <v>0.229538548567636</v>
      </c>
      <c r="BA145" s="2">
        <v>38.583777245068198</v>
      </c>
      <c r="BB145" s="2">
        <v>374</v>
      </c>
    </row>
    <row r="146" spans="1:54" ht="13" x14ac:dyDescent="0.15">
      <c r="A146" s="1" t="s">
        <v>446</v>
      </c>
      <c r="B146" s="1" t="s">
        <v>447</v>
      </c>
      <c r="C146" s="5" t="s">
        <v>448</v>
      </c>
      <c r="D146" s="1" t="s">
        <v>304</v>
      </c>
      <c r="E146" s="2">
        <v>27675</v>
      </c>
      <c r="F146" s="2">
        <v>112999</v>
      </c>
      <c r="G146" s="2">
        <v>26322</v>
      </c>
      <c r="H146" s="2">
        <f t="shared" si="0"/>
        <v>166996</v>
      </c>
      <c r="I146" s="2">
        <v>460995</v>
      </c>
      <c r="J146" s="2">
        <v>1445517</v>
      </c>
      <c r="K146" s="2">
        <f t="shared" si="1"/>
        <v>0.11552683226831646</v>
      </c>
      <c r="M146" s="2">
        <v>0.84484080763568303</v>
      </c>
      <c r="N146" s="2">
        <v>0.721403755514194</v>
      </c>
      <c r="O146" s="2">
        <v>29.355534362078799</v>
      </c>
      <c r="P146" s="2">
        <v>40.692239453556901</v>
      </c>
      <c r="Q146" s="2">
        <v>50</v>
      </c>
      <c r="R146" s="2">
        <v>34.378464444447602</v>
      </c>
      <c r="S146" s="2">
        <v>0.69019359583072104</v>
      </c>
      <c r="T146" s="2">
        <v>6398.7832389236801</v>
      </c>
      <c r="U146" s="2">
        <v>1509</v>
      </c>
      <c r="V146" s="2">
        <v>1832</v>
      </c>
      <c r="W146" s="2">
        <v>1325.73756614013</v>
      </c>
      <c r="X146" s="2">
        <v>31894.884231411001</v>
      </c>
      <c r="Y146" s="2">
        <v>-441.579660192331</v>
      </c>
      <c r="Z146" s="2">
        <v>83.578213678924499</v>
      </c>
      <c r="AA146" s="2">
        <v>6.7328193029934003</v>
      </c>
      <c r="AB146" s="2">
        <v>0.84982941188097205</v>
      </c>
      <c r="AC146" s="2">
        <v>1.478320048986</v>
      </c>
      <c r="AD146" s="2">
        <v>2.33162550548071</v>
      </c>
      <c r="AE146" s="2">
        <v>0.613810900876812</v>
      </c>
      <c r="AF146" s="2">
        <v>0.57772501117157105</v>
      </c>
      <c r="AG146" s="2">
        <v>0.99737652531122201</v>
      </c>
      <c r="AH146" s="2">
        <v>0.97279696596454002</v>
      </c>
      <c r="AI146" s="2">
        <v>-0.341097745708829</v>
      </c>
      <c r="AJ146" s="2">
        <v>0.967806258290552</v>
      </c>
      <c r="AK146" s="2">
        <v>2.06315248435756E-2</v>
      </c>
      <c r="AL146" s="2">
        <v>6.9054666413960204</v>
      </c>
      <c r="AM146" s="2">
        <v>8.3733931618734996</v>
      </c>
      <c r="AN146" s="2">
        <v>1367.8139476061399</v>
      </c>
      <c r="AO146" s="2">
        <v>4.9424171548550798E-2</v>
      </c>
      <c r="AP146" s="2">
        <v>1896.54543812105</v>
      </c>
      <c r="AQ146" s="2">
        <v>26.882288467329101</v>
      </c>
      <c r="AR146" s="2">
        <v>1295.8250045167099</v>
      </c>
      <c r="AS146" s="2">
        <v>145.59656729900601</v>
      </c>
      <c r="AT146" s="2">
        <v>200770.73210478801</v>
      </c>
      <c r="AU146" s="2">
        <v>0.108604753724499</v>
      </c>
      <c r="AV146" s="2">
        <v>9.0669746757723305E-4</v>
      </c>
      <c r="AW146" s="2">
        <v>0.58056208547835697</v>
      </c>
      <c r="AX146" s="2">
        <v>7.2630871648179799E-4</v>
      </c>
      <c r="AY146" s="2">
        <v>1068.87990981691</v>
      </c>
      <c r="AZ146" s="2">
        <v>2.5350931542679402E-2</v>
      </c>
      <c r="BA146" s="2">
        <v>0.97765598670639797</v>
      </c>
      <c r="BB146" s="2">
        <v>234</v>
      </c>
    </row>
    <row r="147" spans="1:54" ht="13" x14ac:dyDescent="0.15">
      <c r="A147" s="1" t="s">
        <v>449</v>
      </c>
      <c r="B147" s="1" t="s">
        <v>450</v>
      </c>
      <c r="C147" s="5" t="s">
        <v>451</v>
      </c>
      <c r="D147" s="1" t="s">
        <v>304</v>
      </c>
      <c r="E147" s="2">
        <v>0</v>
      </c>
      <c r="F147" s="2">
        <v>82870</v>
      </c>
      <c r="G147" s="2">
        <v>2957</v>
      </c>
      <c r="H147" s="2">
        <f t="shared" si="0"/>
        <v>85827</v>
      </c>
      <c r="I147" s="2">
        <v>116110</v>
      </c>
      <c r="J147" s="2">
        <v>1404953</v>
      </c>
      <c r="K147" s="2">
        <f t="shared" si="1"/>
        <v>6.1088876282694153E-2</v>
      </c>
      <c r="M147" s="2">
        <v>0.78976887295987397</v>
      </c>
      <c r="N147" s="2">
        <v>0.54569995137429095</v>
      </c>
      <c r="O147" s="2">
        <v>38.1653533721245</v>
      </c>
      <c r="P147" s="2">
        <v>69.938348493542605</v>
      </c>
      <c r="Q147" s="2">
        <v>75.927597090912897</v>
      </c>
      <c r="R147" s="2">
        <v>55.235130666420098</v>
      </c>
      <c r="S147" s="2">
        <v>0.54027827191003897</v>
      </c>
      <c r="T147" s="2">
        <v>16998.155699296</v>
      </c>
      <c r="U147" s="2">
        <v>423</v>
      </c>
      <c r="V147" s="2">
        <v>563</v>
      </c>
      <c r="W147" s="2">
        <v>84.296094684210601</v>
      </c>
      <c r="X147" s="2">
        <v>991.52370350202102</v>
      </c>
      <c r="Y147" s="2">
        <v>56.796129910670601</v>
      </c>
      <c r="Z147" s="2">
        <v>17.779790251772098</v>
      </c>
      <c r="AA147" s="2">
        <v>1.2313382238984301</v>
      </c>
      <c r="AB147" s="2">
        <v>0.87037050275494798</v>
      </c>
      <c r="AC147" s="2">
        <v>0.75549216053372803</v>
      </c>
      <c r="AD147" s="2">
        <v>1.55338782677203</v>
      </c>
      <c r="AE147" s="2">
        <v>0.68599511757367404</v>
      </c>
      <c r="AF147" s="2">
        <v>0.66729997654376705</v>
      </c>
      <c r="AG147" s="2">
        <v>0.99748813035359596</v>
      </c>
      <c r="AH147" s="2">
        <v>0.96798098601413396</v>
      </c>
      <c r="AI147" s="2">
        <v>-0.33276963276626897</v>
      </c>
      <c r="AJ147" s="2">
        <v>0.92665860365485497</v>
      </c>
      <c r="AK147" s="2">
        <v>4.3429293850641197E-2</v>
      </c>
      <c r="AL147" s="2">
        <v>5.1103967935426198</v>
      </c>
      <c r="AM147" s="2">
        <v>7.3943468512866497</v>
      </c>
      <c r="AN147" s="2">
        <v>4383.4307952214303</v>
      </c>
      <c r="AO147" s="2">
        <v>5.2895267228447299E-2</v>
      </c>
      <c r="AP147" s="2">
        <v>11478.7364788223</v>
      </c>
      <c r="AQ147" s="2">
        <v>4.8763100865186004</v>
      </c>
      <c r="AR147" s="2">
        <v>84.104139012911801</v>
      </c>
      <c r="AS147" s="2">
        <v>155.266924097985</v>
      </c>
      <c r="AT147" s="2">
        <v>12270.151321346701</v>
      </c>
      <c r="AU147" s="2">
        <v>2.3819911352877301</v>
      </c>
      <c r="AV147" s="2">
        <v>1.4984381119504E-2</v>
      </c>
      <c r="AW147" s="2">
        <v>21.238865873338199</v>
      </c>
      <c r="AX147" s="2">
        <v>1.78477484823171E-4</v>
      </c>
      <c r="AY147" s="2">
        <v>126.687205294723</v>
      </c>
      <c r="AZ147" s="2">
        <v>1.1229876066333799E-2</v>
      </c>
      <c r="BA147" s="2">
        <v>5.1780818286421899E-2</v>
      </c>
      <c r="BB147" s="2">
        <v>138</v>
      </c>
    </row>
    <row r="148" spans="1:54" ht="13" x14ac:dyDescent="0.15">
      <c r="A148" s="1" t="s">
        <v>452</v>
      </c>
      <c r="B148" s="1" t="s">
        <v>453</v>
      </c>
      <c r="C148" s="5" t="s">
        <v>454</v>
      </c>
      <c r="D148" s="1" t="s">
        <v>304</v>
      </c>
      <c r="E148" s="2">
        <v>3707</v>
      </c>
      <c r="F148" s="2">
        <v>7802</v>
      </c>
      <c r="G148" s="2">
        <v>10603</v>
      </c>
      <c r="H148" s="2">
        <f t="shared" si="0"/>
        <v>22112</v>
      </c>
      <c r="I148" s="2">
        <v>30296</v>
      </c>
      <c r="J148" s="2">
        <v>1530199</v>
      </c>
      <c r="K148" s="2">
        <f t="shared" si="1"/>
        <v>1.4450408084177286E-2</v>
      </c>
      <c r="M148" s="2">
        <v>0.66774498720084496</v>
      </c>
      <c r="N148" s="2">
        <v>0.467392831997132</v>
      </c>
      <c r="O148" s="2">
        <v>13.7182036666866</v>
      </c>
      <c r="P148" s="2">
        <v>29.350479356026501</v>
      </c>
      <c r="Q148" s="2">
        <v>42.059481689626203</v>
      </c>
      <c r="R148" s="2">
        <v>19.598635461928598</v>
      </c>
      <c r="S148" s="2">
        <v>0.59833766245659503</v>
      </c>
      <c r="T148" s="2">
        <v>1920.3613290145699</v>
      </c>
      <c r="U148" s="2">
        <v>835</v>
      </c>
      <c r="V148" s="2">
        <v>1593.4</v>
      </c>
      <c r="W148" s="2">
        <v>1208.7723906475501</v>
      </c>
      <c r="X148" s="2">
        <v>527521.23566480202</v>
      </c>
      <c r="Y148" s="2">
        <v>-2659.4420833316399</v>
      </c>
      <c r="Z148" s="2">
        <v>485.19057023776799</v>
      </c>
      <c r="AA148" s="2">
        <v>43.002915913378601</v>
      </c>
      <c r="AB148" s="2">
        <v>0.83692959917362497</v>
      </c>
      <c r="AC148" s="2">
        <v>4.93588853494966</v>
      </c>
      <c r="AD148" s="2">
        <v>3.7610331578588601</v>
      </c>
      <c r="AE148" s="2">
        <v>0.28964171658183502</v>
      </c>
      <c r="AF148" s="2">
        <v>0.19817047584092101</v>
      </c>
      <c r="AG148" s="2">
        <v>0.98786352681461598</v>
      </c>
      <c r="AH148" s="2">
        <v>0.92554762499909704</v>
      </c>
      <c r="AI148" s="2">
        <v>-0.208837717476899</v>
      </c>
      <c r="AJ148" s="2">
        <v>0.94340988908620105</v>
      </c>
      <c r="AK148" s="2">
        <v>1.40939266271825E-3</v>
      </c>
      <c r="AL148" s="2">
        <v>9.8217138577600007</v>
      </c>
      <c r="AM148" s="2">
        <v>7.7620090877013199</v>
      </c>
      <c r="AN148" s="2">
        <v>811.20231993525795</v>
      </c>
      <c r="AO148" s="2">
        <v>0.21882986780017699</v>
      </c>
      <c r="AP148" s="2">
        <v>89.104127326679304</v>
      </c>
      <c r="AQ148" s="2">
        <v>133.45520708312199</v>
      </c>
      <c r="AR148" s="2">
        <v>1182.93903425951</v>
      </c>
      <c r="AS148" s="2">
        <v>9.3339627731319101</v>
      </c>
      <c r="AT148" s="2">
        <v>12264.831669813901</v>
      </c>
      <c r="AU148" s="2">
        <v>1.61939356770507E-2</v>
      </c>
      <c r="AV148" s="2">
        <v>2.7468241585136199E-3</v>
      </c>
      <c r="AW148" s="2">
        <v>0.13898786980532399</v>
      </c>
      <c r="AX148" s="2">
        <v>4.2993175123266503E-3</v>
      </c>
      <c r="AY148" s="2">
        <v>3519.6363482997599</v>
      </c>
      <c r="AZ148" s="2">
        <v>0.220610669390191</v>
      </c>
      <c r="BA148" s="2">
        <v>4.8336716206121197</v>
      </c>
      <c r="BB148" s="2">
        <v>61</v>
      </c>
    </row>
    <row r="149" spans="1:54" ht="13" x14ac:dyDescent="0.15">
      <c r="A149" s="1" t="s">
        <v>455</v>
      </c>
      <c r="B149" s="1" t="s">
        <v>456</v>
      </c>
      <c r="C149" s="5" t="s">
        <v>457</v>
      </c>
      <c r="D149" s="1" t="s">
        <v>304</v>
      </c>
      <c r="E149" s="2">
        <v>4899</v>
      </c>
      <c r="F149" s="2">
        <v>100344</v>
      </c>
      <c r="G149" s="2">
        <v>33957</v>
      </c>
      <c r="H149" s="2">
        <f t="shared" si="0"/>
        <v>139200</v>
      </c>
      <c r="I149" s="2">
        <v>217792</v>
      </c>
      <c r="J149" s="2">
        <v>1210446</v>
      </c>
      <c r="K149" s="2">
        <f t="shared" si="1"/>
        <v>0.11499893427711769</v>
      </c>
      <c r="M149" s="2">
        <v>0.749949395101284</v>
      </c>
      <c r="N149" s="2">
        <v>0.481512154752334</v>
      </c>
      <c r="O149" s="2">
        <v>22.356801311266501</v>
      </c>
      <c r="P149" s="2">
        <v>46.430398673457702</v>
      </c>
      <c r="Q149" s="2">
        <v>45.1774279923061</v>
      </c>
      <c r="R149" s="2">
        <v>34.820449399471002</v>
      </c>
      <c r="S149" s="2">
        <v>0.25396619099694501</v>
      </c>
      <c r="T149" s="2">
        <v>5230.2243939337704</v>
      </c>
      <c r="U149" s="2">
        <v>714</v>
      </c>
      <c r="V149" s="2">
        <v>1366.2</v>
      </c>
      <c r="W149" s="2">
        <v>655.05771071671097</v>
      </c>
      <c r="X149" s="2">
        <v>828230.79566051799</v>
      </c>
      <c r="Y149" s="2">
        <v>11522.3779313546</v>
      </c>
      <c r="Z149" s="2">
        <v>466.07097831631802</v>
      </c>
      <c r="AA149" s="2">
        <v>19.009196719234399</v>
      </c>
      <c r="AB149" s="2">
        <v>0.92169155506018197</v>
      </c>
      <c r="AC149" s="2">
        <v>3.09105302510019</v>
      </c>
      <c r="AD149" s="2">
        <v>3.1620599692560898</v>
      </c>
      <c r="AE149" s="2">
        <v>0.386779459076668</v>
      </c>
      <c r="AF149" s="2">
        <v>0.30513865908863702</v>
      </c>
      <c r="AG149" s="2">
        <v>0.99599576778356702</v>
      </c>
      <c r="AH149" s="2">
        <v>0.95816664532501905</v>
      </c>
      <c r="AI149" s="2">
        <v>-0.28753460892306298</v>
      </c>
      <c r="AJ149" s="2">
        <v>0.97262641805656302</v>
      </c>
      <c r="AK149" s="2">
        <v>3.2515451228862899E-3</v>
      </c>
      <c r="AL149" s="2">
        <v>8.9710530570852605</v>
      </c>
      <c r="AM149" s="2">
        <v>7.8270905702794096</v>
      </c>
      <c r="AN149" s="2">
        <v>837.945090834864</v>
      </c>
      <c r="AO149" s="2">
        <v>0.17104410917225199</v>
      </c>
      <c r="AP149" s="2">
        <v>165.49683608899801</v>
      </c>
      <c r="AQ149" s="2">
        <v>110.834798841893</v>
      </c>
      <c r="AR149" s="2">
        <v>636.282098387426</v>
      </c>
      <c r="AS149" s="2">
        <v>13.898550724637699</v>
      </c>
      <c r="AT149" s="2">
        <v>8082.5637885282704</v>
      </c>
      <c r="AU149" s="2">
        <v>5.14054733136768E-2</v>
      </c>
      <c r="AV149" s="2">
        <v>3.9683565295030396E-3</v>
      </c>
      <c r="AW149" s="2">
        <v>0.20034636009791501</v>
      </c>
      <c r="AX149" s="2">
        <v>3.6095673245991602E-3</v>
      </c>
      <c r="AY149" s="2">
        <v>3530.2034137946498</v>
      </c>
      <c r="AZ149" s="2">
        <v>0.101980546942957</v>
      </c>
      <c r="BA149" s="2">
        <v>8.0655852376407609</v>
      </c>
      <c r="BB149" s="2">
        <v>70</v>
      </c>
    </row>
    <row r="150" spans="1:54" ht="13" x14ac:dyDescent="0.15">
      <c r="A150" s="1" t="s">
        <v>458</v>
      </c>
      <c r="B150" s="1" t="s">
        <v>459</v>
      </c>
      <c r="C150" s="5" t="s">
        <v>460</v>
      </c>
      <c r="D150" s="1" t="s">
        <v>304</v>
      </c>
      <c r="E150" s="2">
        <v>28606</v>
      </c>
      <c r="F150" s="2">
        <v>69794</v>
      </c>
      <c r="G150" s="2">
        <v>33201</v>
      </c>
      <c r="H150" s="2">
        <f t="shared" si="0"/>
        <v>131601</v>
      </c>
      <c r="I150" s="2">
        <v>168270</v>
      </c>
      <c r="J150" s="2">
        <v>1577730</v>
      </c>
      <c r="K150" s="2">
        <f t="shared" si="1"/>
        <v>8.3411610351581067E-2</v>
      </c>
      <c r="M150" s="2">
        <v>0.69750114009894604</v>
      </c>
      <c r="N150" s="2">
        <v>0.62205874232366398</v>
      </c>
      <c r="O150" s="2">
        <v>31.3853490596378</v>
      </c>
      <c r="P150" s="2">
        <v>50.453995618483901</v>
      </c>
      <c r="Q150" s="2">
        <v>58.549124673217797</v>
      </c>
      <c r="R150" s="2">
        <v>35.1917194664397</v>
      </c>
      <c r="S150" s="2">
        <v>0.55526470104506198</v>
      </c>
      <c r="T150" s="2">
        <v>8127.8770602948098</v>
      </c>
      <c r="U150" s="2">
        <v>1199</v>
      </c>
      <c r="V150" s="2">
        <v>1763</v>
      </c>
      <c r="W150" s="2">
        <v>3140.7764065012102</v>
      </c>
      <c r="X150" s="2">
        <v>845003.16816495894</v>
      </c>
      <c r="Y150" s="2">
        <v>-12998.381242507599</v>
      </c>
      <c r="Z150" s="2">
        <v>301.775594521654</v>
      </c>
      <c r="AA150" s="2">
        <v>12.5188108448774</v>
      </c>
      <c r="AB150" s="2">
        <v>0.91975728769084397</v>
      </c>
      <c r="AC150" s="2">
        <v>1.9529019198616899</v>
      </c>
      <c r="AD150" s="2">
        <v>2.6190027039143402</v>
      </c>
      <c r="AE150" s="2">
        <v>0.57121385985949202</v>
      </c>
      <c r="AF150" s="2">
        <v>0.52992835314313202</v>
      </c>
      <c r="AG150" s="2">
        <v>0.99764888982548705</v>
      </c>
      <c r="AH150" s="2">
        <v>0.97499311078945905</v>
      </c>
      <c r="AI150" s="2">
        <v>-0.29389748885763201</v>
      </c>
      <c r="AJ150" s="2">
        <v>0.95047725300751496</v>
      </c>
      <c r="AK150" s="2">
        <v>2.71314518052377E-2</v>
      </c>
      <c r="AL150" s="2">
        <v>7.0374284684897699</v>
      </c>
      <c r="AM150" s="2">
        <v>8.1286066690692493</v>
      </c>
      <c r="AN150" s="2">
        <v>1648.7402642802199</v>
      </c>
      <c r="AO150" s="2">
        <v>5.7636169484731201E-2</v>
      </c>
      <c r="AP150" s="2">
        <v>2468.6502831573798</v>
      </c>
      <c r="AQ150" s="2">
        <v>91.979276635782497</v>
      </c>
      <c r="AR150" s="2">
        <v>3068.62273648885</v>
      </c>
      <c r="AS150" s="2">
        <v>117.541844368314</v>
      </c>
      <c r="AT150" s="2">
        <v>407951.20939663</v>
      </c>
      <c r="AU150" s="2">
        <v>3.5286634747445103E-2</v>
      </c>
      <c r="AV150" s="2">
        <v>5.5424838783094902E-4</v>
      </c>
      <c r="AW150" s="2">
        <v>0.283969119684923</v>
      </c>
      <c r="AX150" s="2">
        <v>5.6513526293394201E-4</v>
      </c>
      <c r="AY150" s="2">
        <v>3275.9047688711498</v>
      </c>
      <c r="AZ150" s="2">
        <v>4.7603460871342998E-2</v>
      </c>
      <c r="BA150" s="2">
        <v>3.3846982251105802</v>
      </c>
      <c r="BB150" s="2">
        <v>98</v>
      </c>
    </row>
    <row r="151" spans="1:54" ht="13" x14ac:dyDescent="0.15">
      <c r="A151" s="1" t="s">
        <v>461</v>
      </c>
      <c r="B151" s="1" t="s">
        <v>462</v>
      </c>
      <c r="C151" s="5" t="s">
        <v>463</v>
      </c>
      <c r="D151" s="1" t="s">
        <v>304</v>
      </c>
      <c r="E151" s="2">
        <v>521</v>
      </c>
      <c r="F151" s="2">
        <v>89499</v>
      </c>
      <c r="G151" s="2">
        <v>13994</v>
      </c>
      <c r="H151" s="2">
        <f t="shared" si="0"/>
        <v>104014</v>
      </c>
      <c r="I151" s="2">
        <v>229107</v>
      </c>
      <c r="J151" s="2">
        <v>1304406</v>
      </c>
      <c r="K151" s="2">
        <f t="shared" si="1"/>
        <v>7.9740510239909967E-2</v>
      </c>
      <c r="M151" s="2">
        <v>0.49518724058161601</v>
      </c>
      <c r="N151" s="2">
        <v>0.173033023407616</v>
      </c>
      <c r="O151" s="2">
        <v>9.0146045946601507</v>
      </c>
      <c r="P151" s="2">
        <v>52.097596268801702</v>
      </c>
      <c r="Q151" s="2">
        <v>35.902646142032502</v>
      </c>
      <c r="R151" s="2">
        <v>25.798064937283002</v>
      </c>
      <c r="S151" s="2">
        <v>0.41094237661182098</v>
      </c>
      <c r="T151" s="2">
        <v>713.43884668656904</v>
      </c>
      <c r="U151" s="2">
        <v>333</v>
      </c>
      <c r="V151" s="2">
        <v>1070</v>
      </c>
      <c r="W151" s="2">
        <v>893.88249261921499</v>
      </c>
      <c r="X151" s="2">
        <v>530946.70902540104</v>
      </c>
      <c r="Y151" s="2">
        <v>-6157.9350709481096</v>
      </c>
      <c r="Z151" s="2">
        <v>556.84358062084004</v>
      </c>
      <c r="AA151" s="2">
        <v>21.377822302802901</v>
      </c>
      <c r="AB151" s="2">
        <v>0.92601275204700495</v>
      </c>
      <c r="AC151" s="2">
        <v>3.2666198101904902</v>
      </c>
      <c r="AD151" s="2">
        <v>3.18680072588409</v>
      </c>
      <c r="AE151" s="2">
        <v>0.38082226432298599</v>
      </c>
      <c r="AF151" s="2">
        <v>0.29944242405742999</v>
      </c>
      <c r="AG151" s="2">
        <v>0.990036151931036</v>
      </c>
      <c r="AH151" s="2">
        <v>0.93615220191982096</v>
      </c>
      <c r="AI151" s="2">
        <v>-0.43893885019081402</v>
      </c>
      <c r="AJ151" s="2">
        <v>0.99393251818373096</v>
      </c>
      <c r="AK151" s="2">
        <v>5.6569658151067797E-3</v>
      </c>
      <c r="AL151" s="2">
        <v>7.8738393453394302</v>
      </c>
      <c r="AM151" s="2">
        <v>7.0146853790867301</v>
      </c>
      <c r="AN151" s="2">
        <v>101.548944337812</v>
      </c>
      <c r="AO151" s="2">
        <v>0.194911601416146</v>
      </c>
      <c r="AP151" s="2">
        <v>17</v>
      </c>
      <c r="AQ151" s="2">
        <v>133.65797355594799</v>
      </c>
      <c r="AR151" s="2">
        <v>750.43186180422299</v>
      </c>
      <c r="AS151" s="2">
        <v>11.030710172744699</v>
      </c>
      <c r="AT151" s="2">
        <v>9988.1285988483705</v>
      </c>
      <c r="AU151" s="2">
        <v>5.0229204085850597E-2</v>
      </c>
      <c r="AV151" s="2">
        <v>8.0680853350878108E-3</v>
      </c>
      <c r="AW151" s="2">
        <v>2.6731950152092301E-2</v>
      </c>
      <c r="AX151" s="2">
        <v>3.5234434408591399E-2</v>
      </c>
      <c r="AY151" s="2">
        <v>1404.71085165199</v>
      </c>
      <c r="AZ151" s="2">
        <v>0.281201119173423</v>
      </c>
      <c r="BA151" s="2">
        <v>25.566077661971899</v>
      </c>
      <c r="BB151" s="2">
        <v>75</v>
      </c>
    </row>
    <row r="152" spans="1:54" ht="13" x14ac:dyDescent="0.15">
      <c r="A152" s="1" t="s">
        <v>464</v>
      </c>
      <c r="B152" s="1" t="s">
        <v>465</v>
      </c>
      <c r="C152" s="5" t="s">
        <v>466</v>
      </c>
      <c r="D152" s="1" t="s">
        <v>304</v>
      </c>
      <c r="E152" s="2">
        <v>2654</v>
      </c>
      <c r="F152" s="2">
        <v>4175</v>
      </c>
      <c r="G152" s="2">
        <v>3179</v>
      </c>
      <c r="H152" s="2">
        <f t="shared" si="0"/>
        <v>10008</v>
      </c>
      <c r="I152" s="2">
        <v>10616</v>
      </c>
      <c r="J152" s="2">
        <v>1675742</v>
      </c>
      <c r="K152" s="2">
        <f t="shared" si="1"/>
        <v>5.9722797423469726E-3</v>
      </c>
      <c r="M152" s="2">
        <v>0.93369480348469702</v>
      </c>
      <c r="N152" s="2">
        <v>0.738971260403675</v>
      </c>
      <c r="O152" s="2">
        <v>13.465854329158301</v>
      </c>
      <c r="P152" s="2">
        <v>18.222433064314899</v>
      </c>
      <c r="Q152" s="2">
        <v>23.5372045918796</v>
      </c>
      <c r="R152" s="2">
        <v>17.014191058998499</v>
      </c>
      <c r="S152" s="2">
        <v>0.72183216578818499</v>
      </c>
      <c r="T152" s="2">
        <v>1276.12882295806</v>
      </c>
      <c r="U152" s="2">
        <v>877</v>
      </c>
      <c r="V152" s="2">
        <v>1388</v>
      </c>
      <c r="W152" s="2">
        <v>1370.62074782696</v>
      </c>
      <c r="X152" s="2">
        <v>145326.07902231201</v>
      </c>
      <c r="Y152" s="2">
        <v>-1977.0692538406099</v>
      </c>
      <c r="Z152" s="2">
        <v>201.83827960621699</v>
      </c>
      <c r="AA152" s="2">
        <v>35.858901711137896</v>
      </c>
      <c r="AB152" s="2">
        <v>0.69778799475910602</v>
      </c>
      <c r="AC152" s="2">
        <v>4.5056976312995101</v>
      </c>
      <c r="AD152" s="2">
        <v>3.6298951099008501</v>
      </c>
      <c r="AE152" s="2">
        <v>0.30327141330285301</v>
      </c>
      <c r="AF152" s="2">
        <v>0.211624971189043</v>
      </c>
      <c r="AG152" s="2">
        <v>0.98908587368285905</v>
      </c>
      <c r="AH152" s="2">
        <v>0.92914913626822204</v>
      </c>
      <c r="AI152" s="2">
        <v>-0.153153833477397</v>
      </c>
      <c r="AJ152" s="2">
        <v>0.87216396242456695</v>
      </c>
      <c r="AK152" s="2">
        <v>2.55126327033204E-3</v>
      </c>
      <c r="AL152" s="2">
        <v>9.0716756042458204</v>
      </c>
      <c r="AM152" s="2">
        <v>7.2124153142324898</v>
      </c>
      <c r="AN152" s="2">
        <v>566.75659382064805</v>
      </c>
      <c r="AO152" s="2">
        <v>0.21354807604395201</v>
      </c>
      <c r="AP152" s="2">
        <v>98.127354935945803</v>
      </c>
      <c r="AQ152" s="2">
        <v>63.520559886287302</v>
      </c>
      <c r="AR152" s="2">
        <v>1337.58553127355</v>
      </c>
      <c r="AS152" s="2">
        <v>9.7475508666164306</v>
      </c>
      <c r="AT152" s="2">
        <v>14393.5516201959</v>
      </c>
      <c r="AU152" s="2">
        <v>9.6116734884720799E-3</v>
      </c>
      <c r="AV152" s="2">
        <v>2.1000993125052702E-3</v>
      </c>
      <c r="AW152" s="2">
        <v>0.11095372015711601</v>
      </c>
      <c r="AX152" s="2">
        <v>4.66860235546684E-3</v>
      </c>
      <c r="AY152" s="2">
        <v>2619.4335197590999</v>
      </c>
      <c r="AZ152" s="2">
        <v>0.139046560149793</v>
      </c>
      <c r="BA152" s="2">
        <v>4.3267655783452996</v>
      </c>
      <c r="BB152" s="2">
        <v>531</v>
      </c>
    </row>
    <row r="153" spans="1:54" ht="13" x14ac:dyDescent="0.15">
      <c r="A153" s="1" t="s">
        <v>467</v>
      </c>
      <c r="B153" s="1" t="s">
        <v>468</v>
      </c>
      <c r="C153" s="1" t="s">
        <v>469</v>
      </c>
      <c r="D153" s="1" t="s">
        <v>304</v>
      </c>
      <c r="E153" s="2">
        <v>7262</v>
      </c>
      <c r="F153" s="2">
        <v>67091</v>
      </c>
      <c r="G153" s="2">
        <v>24337</v>
      </c>
      <c r="H153" s="2">
        <f t="shared" si="0"/>
        <v>98690</v>
      </c>
      <c r="I153" s="2">
        <v>162656</v>
      </c>
      <c r="J153" s="2">
        <v>1477202</v>
      </c>
      <c r="K153" s="2">
        <f t="shared" si="1"/>
        <v>6.6808737058303466E-2</v>
      </c>
      <c r="M153" s="2">
        <v>0.66064127092767999</v>
      </c>
      <c r="N153" s="2">
        <v>0.59076149980538495</v>
      </c>
      <c r="O153" s="2">
        <v>21.6724662348586</v>
      </c>
      <c r="P153" s="2">
        <v>36.6856442777637</v>
      </c>
      <c r="Q153" s="2">
        <v>41.303752856126799</v>
      </c>
      <c r="R153" s="2">
        <v>24.236050660462599</v>
      </c>
      <c r="S153" s="2">
        <v>0.30746957943586001</v>
      </c>
      <c r="T153" s="2">
        <v>5830.4567329260899</v>
      </c>
      <c r="U153" s="2">
        <v>592</v>
      </c>
      <c r="V153" s="2">
        <v>1055</v>
      </c>
      <c r="W153" s="2">
        <v>564.49840966320903</v>
      </c>
      <c r="X153" s="2">
        <v>64323.509097387403</v>
      </c>
      <c r="Y153" s="2">
        <v>-1369.6191363512801</v>
      </c>
      <c r="Z153" s="2">
        <v>149.80548280106601</v>
      </c>
      <c r="AA153" s="2">
        <v>11.863459970763399</v>
      </c>
      <c r="AB153" s="2">
        <v>0.84957829493542203</v>
      </c>
      <c r="AC153" s="2">
        <v>2.6089142950726298</v>
      </c>
      <c r="AD153" s="2">
        <v>2.9081671159905498</v>
      </c>
      <c r="AE153" s="2">
        <v>0.40622658422479002</v>
      </c>
      <c r="AF153" s="2">
        <v>0.324496558067351</v>
      </c>
      <c r="AG153" s="2">
        <v>0.99160855574996398</v>
      </c>
      <c r="AH153" s="2">
        <v>0.93695948409489205</v>
      </c>
      <c r="AI153" s="2">
        <v>-0.21540943385341901</v>
      </c>
      <c r="AJ153" s="2">
        <v>0.91575903979609596</v>
      </c>
      <c r="AK153" s="2">
        <v>4.8126256441982504E-3</v>
      </c>
      <c r="AL153" s="2">
        <v>8.1428475990452203</v>
      </c>
      <c r="AM153" s="2">
        <v>7.4555543968898901</v>
      </c>
      <c r="AN153" s="2">
        <v>1118.1525750482001</v>
      </c>
      <c r="AO153" s="2">
        <v>0.153973089375957</v>
      </c>
      <c r="AP153" s="2">
        <v>301.53511429358298</v>
      </c>
      <c r="AQ153" s="2">
        <v>48.726460276842801</v>
      </c>
      <c r="AR153" s="2">
        <v>502.33668410906103</v>
      </c>
      <c r="AS153" s="2">
        <v>18.2930322225282</v>
      </c>
      <c r="AT153" s="2">
        <v>11431.4809969705</v>
      </c>
      <c r="AU153" s="2">
        <v>5.5646166264385698E-2</v>
      </c>
      <c r="AV153" s="2">
        <v>4.1109861863959703E-3</v>
      </c>
      <c r="AW153" s="2">
        <v>0.53349581761853404</v>
      </c>
      <c r="AX153" s="2">
        <v>2.2840877147922798E-3</v>
      </c>
      <c r="AY153" s="2">
        <v>849.31919270265701</v>
      </c>
      <c r="AZ153" s="2">
        <v>0.11205436134744901</v>
      </c>
      <c r="BA153" s="2">
        <v>1.11780723534608</v>
      </c>
      <c r="BB153" s="2">
        <v>1527</v>
      </c>
    </row>
    <row r="154" spans="1:54" ht="13" x14ac:dyDescent="0.15">
      <c r="A154" s="1" t="s">
        <v>470</v>
      </c>
      <c r="B154" s="1" t="s">
        <v>471</v>
      </c>
      <c r="C154" s="5" t="s">
        <v>472</v>
      </c>
      <c r="D154" s="1" t="s">
        <v>304</v>
      </c>
      <c r="E154" s="2">
        <v>19360</v>
      </c>
      <c r="F154" s="2">
        <v>81166</v>
      </c>
      <c r="G154" s="2">
        <v>33639</v>
      </c>
      <c r="H154" s="2">
        <f t="shared" si="0"/>
        <v>134165</v>
      </c>
      <c r="I154" s="2">
        <v>213680</v>
      </c>
      <c r="J154" s="2">
        <v>1563931</v>
      </c>
      <c r="K154" s="2">
        <f t="shared" si="1"/>
        <v>8.5787032803876895E-2</v>
      </c>
      <c r="M154" s="2">
        <v>0.75406585246068103</v>
      </c>
      <c r="N154" s="2">
        <v>0.63506385321516301</v>
      </c>
      <c r="O154" s="2">
        <v>26.4177802286321</v>
      </c>
      <c r="P154" s="2">
        <v>41.598620508608199</v>
      </c>
      <c r="Q154" s="2">
        <v>44.654227123532202</v>
      </c>
      <c r="R154" s="2">
        <v>31.3680992350121</v>
      </c>
      <c r="S154" s="2">
        <v>0.46569173654291901</v>
      </c>
      <c r="T154" s="2">
        <v>7465.0525625805203</v>
      </c>
      <c r="U154" s="2">
        <v>512</v>
      </c>
      <c r="V154" s="2">
        <v>1143</v>
      </c>
      <c r="W154" s="2">
        <v>1148.52382252293</v>
      </c>
      <c r="X154" s="2">
        <v>226485.37593802001</v>
      </c>
      <c r="Y154" s="2">
        <v>-401.69062593932802</v>
      </c>
      <c r="Z154" s="2">
        <v>336.67418860405598</v>
      </c>
      <c r="AA154" s="2">
        <v>16.649038497877999</v>
      </c>
      <c r="AB154" s="2">
        <v>0.90575817220690402</v>
      </c>
      <c r="AC154" s="2">
        <v>2.9362730599800901</v>
      </c>
      <c r="AD154" s="2">
        <v>3.12464561576975</v>
      </c>
      <c r="AE154" s="2">
        <v>0.403664236630353</v>
      </c>
      <c r="AF154" s="2">
        <v>0.32498422421276801</v>
      </c>
      <c r="AG154" s="2">
        <v>0.99402425999942201</v>
      </c>
      <c r="AH154" s="2">
        <v>0.94888644390448695</v>
      </c>
      <c r="AI154" s="2">
        <v>-0.25683884429682702</v>
      </c>
      <c r="AJ154" s="2">
        <v>0.95926327064587102</v>
      </c>
      <c r="AK154" s="2">
        <v>2.9968682581629998E-3</v>
      </c>
      <c r="AL154" s="2">
        <v>8.9452900852375201</v>
      </c>
      <c r="AM154" s="2">
        <v>8.1936541897237696</v>
      </c>
      <c r="AN154" s="2">
        <v>2561.1681818181801</v>
      </c>
      <c r="AO154" s="2">
        <v>0.132291744928625</v>
      </c>
      <c r="AP154" s="2">
        <v>585.65826446281005</v>
      </c>
      <c r="AQ154" s="2">
        <v>87.884765118076004</v>
      </c>
      <c r="AR154" s="2">
        <v>1108.4166322314099</v>
      </c>
      <c r="AS154" s="2">
        <v>30.0255165289256</v>
      </c>
      <c r="AT154" s="2">
        <v>46316.834504132203</v>
      </c>
      <c r="AU154" s="2">
        <v>2.8347882678970801E-2</v>
      </c>
      <c r="AV154" s="2">
        <v>1.43148359631316E-3</v>
      </c>
      <c r="AW154" s="2">
        <v>0.60436328787868898</v>
      </c>
      <c r="AX154" s="2">
        <v>1.15547945487865E-3</v>
      </c>
      <c r="AY154" s="2">
        <v>1585.8446378358601</v>
      </c>
      <c r="AZ154" s="2">
        <v>0.110332471233181</v>
      </c>
      <c r="BA154" s="2">
        <v>1.06905232856226</v>
      </c>
      <c r="BB154" s="2">
        <v>248</v>
      </c>
    </row>
    <row r="155" spans="1:54" ht="13" x14ac:dyDescent="0.15">
      <c r="A155" s="1" t="s">
        <v>473</v>
      </c>
      <c r="B155" s="1" t="s">
        <v>474</v>
      </c>
      <c r="C155" s="5" t="s">
        <v>475</v>
      </c>
      <c r="D155" s="1" t="s">
        <v>304</v>
      </c>
      <c r="E155" s="2">
        <v>208</v>
      </c>
      <c r="F155" s="2">
        <v>13252</v>
      </c>
      <c r="G155" s="2">
        <v>2121</v>
      </c>
      <c r="H155" s="2">
        <f t="shared" si="0"/>
        <v>15581</v>
      </c>
      <c r="I155" s="2">
        <v>18461</v>
      </c>
      <c r="J155" s="2">
        <v>1478482</v>
      </c>
      <c r="K155" s="2">
        <f t="shared" si="1"/>
        <v>1.0538511797911642E-2</v>
      </c>
      <c r="M155" s="2">
        <v>0.68075048257966597</v>
      </c>
      <c r="N155" s="2">
        <v>0.57650446336525996</v>
      </c>
      <c r="O155" s="2">
        <v>5.3278757428635899</v>
      </c>
      <c r="P155" s="2">
        <v>9.2416903622270308</v>
      </c>
      <c r="Q155" s="2">
        <v>10.295630140987001</v>
      </c>
      <c r="R155" s="2">
        <v>6.2912851739378999</v>
      </c>
      <c r="S155" s="2">
        <v>0.79293987361867402</v>
      </c>
      <c r="T155" s="2">
        <v>208.112014624317</v>
      </c>
      <c r="U155" s="2">
        <v>558</v>
      </c>
      <c r="V155" s="2">
        <v>757.7</v>
      </c>
      <c r="W155" s="2">
        <v>48.286137322510903</v>
      </c>
      <c r="X155" s="2">
        <v>1676.68278226542</v>
      </c>
      <c r="Y155" s="2">
        <v>8.0291537771085802E-2</v>
      </c>
      <c r="Z155" s="2">
        <v>26.4304163867174</v>
      </c>
      <c r="AA155" s="2">
        <v>7.0949834178438902</v>
      </c>
      <c r="AB155" s="2">
        <v>0.57786388801607402</v>
      </c>
      <c r="AC155" s="2">
        <v>2.0768384370920998</v>
      </c>
      <c r="AD155" s="2">
        <v>2.5073217679903101</v>
      </c>
      <c r="AE155" s="2">
        <v>0.445142529456581</v>
      </c>
      <c r="AF155" s="2">
        <v>0.36835631211220698</v>
      </c>
      <c r="AG155" s="2">
        <v>0.96256370347730202</v>
      </c>
      <c r="AH155" s="2">
        <v>0.87209254772544997</v>
      </c>
      <c r="AI155" s="2">
        <v>-0.20614294082523499</v>
      </c>
      <c r="AJ155" s="2">
        <v>0.86094600010718603</v>
      </c>
      <c r="AK155" s="2">
        <v>1.55874102973023E-2</v>
      </c>
      <c r="AL155" s="2">
        <v>6.2704152301057299</v>
      </c>
      <c r="AM155" s="2">
        <v>5.8600814112755701</v>
      </c>
      <c r="AN155" s="2">
        <v>32.884615384615401</v>
      </c>
      <c r="AO155" s="2">
        <v>0.158099112426036</v>
      </c>
      <c r="AP155" s="2">
        <v>19.605769230769202</v>
      </c>
      <c r="AQ155" s="2">
        <v>8.5938424556212993</v>
      </c>
      <c r="AR155" s="2">
        <v>53.509615384615401</v>
      </c>
      <c r="AS155" s="2">
        <v>18.480769230769202</v>
      </c>
      <c r="AT155" s="2">
        <v>905.788461538462</v>
      </c>
      <c r="AU155" s="2">
        <v>1.686413773263</v>
      </c>
      <c r="AV155" s="2">
        <v>7.4437065893286997E-2</v>
      </c>
      <c r="AW155" s="2">
        <v>0.35711578360828899</v>
      </c>
      <c r="AX155" s="2">
        <v>4.7616428441900498E-2</v>
      </c>
      <c r="AY155" s="2">
        <v>70.413270424592298</v>
      </c>
      <c r="AZ155" s="2">
        <v>0.134734772459078</v>
      </c>
      <c r="BA155" s="2">
        <v>2.3185566225813599</v>
      </c>
      <c r="BB155" s="2">
        <v>610</v>
      </c>
    </row>
    <row r="156" spans="1:54" ht="13" x14ac:dyDescent="0.15">
      <c r="A156" s="1" t="s">
        <v>476</v>
      </c>
      <c r="B156" s="1" t="s">
        <v>477</v>
      </c>
      <c r="C156" s="1" t="s">
        <v>478</v>
      </c>
      <c r="D156" s="1" t="s">
        <v>304</v>
      </c>
      <c r="E156" s="2">
        <v>37835</v>
      </c>
      <c r="F156" s="2">
        <v>94789</v>
      </c>
      <c r="G156" s="2">
        <v>42739</v>
      </c>
      <c r="H156" s="2">
        <f t="shared" si="0"/>
        <v>175363</v>
      </c>
      <c r="I156" s="2">
        <v>229571</v>
      </c>
      <c r="J156" s="2">
        <v>1357260</v>
      </c>
      <c r="K156" s="2">
        <f t="shared" si="1"/>
        <v>0.12920368978677629</v>
      </c>
      <c r="M156" s="2">
        <v>0.933437519305786</v>
      </c>
      <c r="N156" s="2">
        <v>0.61297948099777599</v>
      </c>
      <c r="O156" s="2">
        <v>31.566056134323599</v>
      </c>
      <c r="P156" s="2">
        <v>51.496105681942304</v>
      </c>
      <c r="Q156" s="2">
        <v>58.180752831155402</v>
      </c>
      <c r="R156" s="2">
        <v>48.068397141660903</v>
      </c>
      <c r="S156" s="2">
        <v>0.297853764166221</v>
      </c>
      <c r="T156" s="2">
        <v>18209.5566467809</v>
      </c>
      <c r="U156" s="2">
        <v>508</v>
      </c>
      <c r="V156" s="2">
        <v>950</v>
      </c>
      <c r="W156" s="2">
        <v>453.50655695921</v>
      </c>
      <c r="X156" s="2">
        <v>49981.1573694088</v>
      </c>
      <c r="Y156" s="2">
        <v>-274.56086637211098</v>
      </c>
      <c r="Z156" s="2">
        <v>160.71785125610199</v>
      </c>
      <c r="AA156" s="2">
        <v>3.59800502675958</v>
      </c>
      <c r="AB156" s="2">
        <v>0.95615730849235703</v>
      </c>
      <c r="AC156" s="2">
        <v>1.4015334936803701</v>
      </c>
      <c r="AD156" s="2">
        <v>2.1555860124643398</v>
      </c>
      <c r="AE156" s="2">
        <v>0.54258857203672906</v>
      </c>
      <c r="AF156" s="2">
        <v>0.49086354144322503</v>
      </c>
      <c r="AG156" s="2">
        <v>0.99709852766547602</v>
      </c>
      <c r="AH156" s="2">
        <v>0.96263500122750301</v>
      </c>
      <c r="AI156" s="2">
        <v>-0.38235606123717703</v>
      </c>
      <c r="AJ156" s="2">
        <v>0.98301522198347502</v>
      </c>
      <c r="AK156" s="2">
        <v>7.2854171227226001E-3</v>
      </c>
      <c r="AL156" s="2">
        <v>7.4448985784399699</v>
      </c>
      <c r="AM156" s="2">
        <v>8.1970678278385591</v>
      </c>
      <c r="AN156" s="2">
        <v>3560.3419849345801</v>
      </c>
      <c r="AO156" s="2">
        <v>9.4101810094742597E-2</v>
      </c>
      <c r="AP156" s="2">
        <v>1611.84435046914</v>
      </c>
      <c r="AQ156" s="2">
        <v>41.311597123055002</v>
      </c>
      <c r="AR156" s="2">
        <v>429.45627064886997</v>
      </c>
      <c r="AS156" s="2">
        <v>53.877494383507297</v>
      </c>
      <c r="AT156" s="2">
        <v>24494.429919386799</v>
      </c>
      <c r="AU156" s="2">
        <v>0.221520983144849</v>
      </c>
      <c r="AV156" s="2">
        <v>3.9576213953103796E-3</v>
      </c>
      <c r="AW156" s="2">
        <v>1.78654853167723</v>
      </c>
      <c r="AX156" s="2">
        <v>8.9310772767237795E-4</v>
      </c>
      <c r="AY156" s="2">
        <v>356.52694489214599</v>
      </c>
      <c r="AZ156" s="2">
        <v>4.9097918788477198E-2</v>
      </c>
      <c r="BA156" s="2">
        <v>0.38252724704970498</v>
      </c>
      <c r="BB156" s="2">
        <v>503</v>
      </c>
    </row>
    <row r="157" spans="1:54" ht="13" x14ac:dyDescent="0.15">
      <c r="A157" s="1" t="s">
        <v>479</v>
      </c>
      <c r="B157" s="1" t="s">
        <v>480</v>
      </c>
      <c r="C157" s="5" t="s">
        <v>481</v>
      </c>
      <c r="D157" s="1" t="s">
        <v>304</v>
      </c>
      <c r="E157" s="2">
        <v>8407</v>
      </c>
      <c r="F157" s="2">
        <v>74889</v>
      </c>
      <c r="G157" s="2">
        <v>19111</v>
      </c>
      <c r="H157" s="2">
        <f t="shared" si="0"/>
        <v>102407</v>
      </c>
      <c r="I157" s="2">
        <v>168048</v>
      </c>
      <c r="J157" s="2">
        <v>1527801</v>
      </c>
      <c r="K157" s="2">
        <f t="shared" si="1"/>
        <v>6.7029017522570025E-2</v>
      </c>
      <c r="M157" s="2">
        <v>0.68828189045324895</v>
      </c>
      <c r="N157" s="2">
        <v>0.43228130044525997</v>
      </c>
      <c r="O157" s="2">
        <v>16.6445083291018</v>
      </c>
      <c r="P157" s="2">
        <v>38.503882337629598</v>
      </c>
      <c r="Q157" s="2">
        <v>35.2278299076171</v>
      </c>
      <c r="R157" s="2">
        <v>26.501524925133101</v>
      </c>
      <c r="S157" s="2">
        <v>0.543116135428939</v>
      </c>
      <c r="T157" s="2">
        <v>3650.4506494664201</v>
      </c>
      <c r="U157" s="2">
        <v>961</v>
      </c>
      <c r="V157" s="2">
        <v>1289</v>
      </c>
      <c r="W157" s="2">
        <v>922.69620812894004</v>
      </c>
      <c r="X157" s="2">
        <v>25081.6888146536</v>
      </c>
      <c r="Y157" s="2">
        <v>-236.030995897758</v>
      </c>
      <c r="Z157" s="2">
        <v>83.512028113657706</v>
      </c>
      <c r="AA157" s="2">
        <v>9.0392778089078991</v>
      </c>
      <c r="AB157" s="2">
        <v>0.80383131498631399</v>
      </c>
      <c r="AC157" s="2">
        <v>2.2140839283528901</v>
      </c>
      <c r="AD157" s="2">
        <v>2.7234945016991099</v>
      </c>
      <c r="AE157" s="2">
        <v>0.44636663988888498</v>
      </c>
      <c r="AF157" s="2">
        <v>0.37349940682517302</v>
      </c>
      <c r="AG157" s="2">
        <v>0.99475149652274797</v>
      </c>
      <c r="AH157" s="2">
        <v>0.95073414016992797</v>
      </c>
      <c r="AI157" s="2">
        <v>-0.20131613783798799</v>
      </c>
      <c r="AJ157" s="2">
        <v>0.89482304818344305</v>
      </c>
      <c r="AK157" s="2">
        <v>6.7652649545039602E-3</v>
      </c>
      <c r="AL157" s="2">
        <v>7.67939315066885</v>
      </c>
      <c r="AM157" s="2">
        <v>7.5210643158470596</v>
      </c>
      <c r="AN157" s="2">
        <v>967.55786844296404</v>
      </c>
      <c r="AO157" s="2">
        <v>0.11508955256845101</v>
      </c>
      <c r="AP157" s="2">
        <v>463.14392767931503</v>
      </c>
      <c r="AQ157" s="2">
        <v>28.392419447907798</v>
      </c>
      <c r="AR157" s="2">
        <v>885.12608540502004</v>
      </c>
      <c r="AS157" s="2">
        <v>29.5740454383252</v>
      </c>
      <c r="AT157" s="2">
        <v>28577.988937789902</v>
      </c>
      <c r="AU157" s="2">
        <v>3.4045818458342203E-2</v>
      </c>
      <c r="AV157" s="2">
        <v>1.5816677085760599E-3</v>
      </c>
      <c r="AW157" s="2">
        <v>0.373859075378913</v>
      </c>
      <c r="AX157" s="2">
        <v>1.8885856046692E-3</v>
      </c>
      <c r="AY157" s="2">
        <v>1013.26188216619</v>
      </c>
      <c r="AZ157" s="2">
        <v>4.7150102346313699E-2</v>
      </c>
      <c r="BA157" s="2">
        <v>1.6510466850249099</v>
      </c>
      <c r="BB157" s="2">
        <v>104</v>
      </c>
    </row>
    <row r="158" spans="1:54" ht="13" x14ac:dyDescent="0.15">
      <c r="A158" s="1" t="s">
        <v>482</v>
      </c>
      <c r="B158" s="1" t="s">
        <v>483</v>
      </c>
      <c r="C158" s="5" t="s">
        <v>484</v>
      </c>
      <c r="D158" s="1" t="s">
        <v>304</v>
      </c>
      <c r="E158" s="2">
        <v>5612</v>
      </c>
      <c r="F158" s="2">
        <v>65547</v>
      </c>
      <c r="G158" s="2">
        <v>25471</v>
      </c>
      <c r="H158" s="2">
        <f t="shared" si="0"/>
        <v>96630</v>
      </c>
      <c r="I158" s="2">
        <v>138220</v>
      </c>
      <c r="J158" s="2">
        <v>1668592</v>
      </c>
      <c r="K158" s="2">
        <f t="shared" si="1"/>
        <v>5.7911101096013884E-2</v>
      </c>
      <c r="M158" s="2">
        <v>0.59730914972812599</v>
      </c>
      <c r="N158" s="2">
        <v>0.51357907139408199</v>
      </c>
      <c r="O158" s="2">
        <v>20.6845507397916</v>
      </c>
      <c r="P158" s="2">
        <v>40.275299154314403</v>
      </c>
      <c r="Q158" s="2">
        <v>43.289721643826702</v>
      </c>
      <c r="R158" s="2">
        <v>24.056804692909399</v>
      </c>
      <c r="S158" s="2">
        <v>0.28992385152484501</v>
      </c>
      <c r="T158" s="2">
        <v>5105.4122700289299</v>
      </c>
      <c r="U158" s="2">
        <v>800</v>
      </c>
      <c r="V158" s="2">
        <v>1267</v>
      </c>
      <c r="W158" s="2">
        <v>681.24558342889895</v>
      </c>
      <c r="X158" s="2">
        <v>104155.69210524</v>
      </c>
      <c r="Y158" s="2">
        <v>-975.338491445111</v>
      </c>
      <c r="Z158" s="2">
        <v>175.55697589880299</v>
      </c>
      <c r="AA158" s="2">
        <v>17.7846281145349</v>
      </c>
      <c r="AB158" s="2">
        <v>0.815308588944335</v>
      </c>
      <c r="AC158" s="2">
        <v>3.1932618365315899</v>
      </c>
      <c r="AD158" s="2">
        <v>3.1679078083433199</v>
      </c>
      <c r="AE158" s="2">
        <v>0.36596070038495299</v>
      </c>
      <c r="AF158" s="2">
        <v>0.27844132082242501</v>
      </c>
      <c r="AG158" s="2">
        <v>0.99151200981906396</v>
      </c>
      <c r="AH158" s="2">
        <v>0.93658864585020996</v>
      </c>
      <c r="AI158" s="2">
        <v>-0.199213286212162</v>
      </c>
      <c r="AJ158" s="2">
        <v>0.91378846543289904</v>
      </c>
      <c r="AK158" s="2">
        <v>3.4967622610919099E-3</v>
      </c>
      <c r="AL158" s="2">
        <v>8.6641440595961292</v>
      </c>
      <c r="AM158" s="2">
        <v>7.4623441912368502</v>
      </c>
      <c r="AN158" s="2">
        <v>1004.77156094084</v>
      </c>
      <c r="AO158" s="2">
        <v>0.17903983623322201</v>
      </c>
      <c r="AP158" s="2">
        <v>225.03706343549501</v>
      </c>
      <c r="AQ158" s="2">
        <v>53.721626704612703</v>
      </c>
      <c r="AR158" s="2">
        <v>646.850677120456</v>
      </c>
      <c r="AS158" s="2">
        <v>12.6240199572345</v>
      </c>
      <c r="AT158" s="2">
        <v>7989.1062009978596</v>
      </c>
      <c r="AU158" s="2">
        <v>3.7966779309405098E-2</v>
      </c>
      <c r="AV158" s="2">
        <v>3.33037165839221E-3</v>
      </c>
      <c r="AW158" s="2">
        <v>0.32555179599043799</v>
      </c>
      <c r="AX158" s="2">
        <v>2.5793035255780102E-3</v>
      </c>
      <c r="AY158" s="2">
        <v>1521.2381565825699</v>
      </c>
      <c r="AZ158" s="2">
        <v>0.10064052851169</v>
      </c>
      <c r="BA158" s="2">
        <v>1.9388518598590601</v>
      </c>
      <c r="BB158" s="2">
        <v>440</v>
      </c>
    </row>
    <row r="159" spans="1:54" ht="13" x14ac:dyDescent="0.15">
      <c r="A159" s="1" t="s">
        <v>485</v>
      </c>
      <c r="B159" s="1" t="s">
        <v>486</v>
      </c>
      <c r="C159" s="5" t="s">
        <v>487</v>
      </c>
      <c r="D159" s="1" t="s">
        <v>304</v>
      </c>
      <c r="E159" s="2">
        <v>0</v>
      </c>
      <c r="F159" s="2">
        <v>43843</v>
      </c>
      <c r="G159" s="2">
        <v>4855</v>
      </c>
      <c r="H159" s="2">
        <f t="shared" si="0"/>
        <v>48698</v>
      </c>
      <c r="I159" s="2">
        <v>115290</v>
      </c>
      <c r="J159" s="2">
        <v>1287481</v>
      </c>
      <c r="K159" s="2">
        <f t="shared" si="1"/>
        <v>3.7824247503458301E-2</v>
      </c>
      <c r="M159" s="2">
        <v>0.41554003926139998</v>
      </c>
      <c r="N159" s="2">
        <v>0.32014092266037097</v>
      </c>
      <c r="O159" s="2">
        <v>31.940832425451401</v>
      </c>
      <c r="P159" s="2">
        <v>99.771163773825407</v>
      </c>
      <c r="Q159" s="2">
        <v>93.637599285757005</v>
      </c>
      <c r="R159" s="2">
        <v>41.458913311730903</v>
      </c>
      <c r="S159" s="2">
        <v>0.33935975934738599</v>
      </c>
      <c r="T159" s="2">
        <v>17700.715026318201</v>
      </c>
      <c r="U159" s="2">
        <v>169</v>
      </c>
      <c r="V159" s="2">
        <v>215</v>
      </c>
      <c r="W159" s="2">
        <v>38.692368749847098</v>
      </c>
      <c r="X159" s="2">
        <v>18.207642561626201</v>
      </c>
      <c r="Y159" s="2">
        <v>1.2685853921455701</v>
      </c>
      <c r="Z159" s="2">
        <v>2.1575621544333701</v>
      </c>
      <c r="AA159" s="2">
        <v>0.421654835567218</v>
      </c>
      <c r="AB159" s="2">
        <v>0.67285310504373697</v>
      </c>
      <c r="AC159" s="2">
        <v>0.376843235412336</v>
      </c>
      <c r="AD159" s="2">
        <v>1.03896433051565</v>
      </c>
      <c r="AE159" s="2">
        <v>0.81851639400043696</v>
      </c>
      <c r="AF159" s="2">
        <v>0.81602796657633003</v>
      </c>
      <c r="AG159" s="2">
        <v>0.99656671120245</v>
      </c>
      <c r="AH159" s="2">
        <v>0.96887747559525506</v>
      </c>
      <c r="AI159" s="2">
        <v>-0.268078800923017</v>
      </c>
      <c r="AJ159" s="2">
        <v>0.76268797248612996</v>
      </c>
      <c r="AK159" s="2">
        <v>0.20182034719668801</v>
      </c>
      <c r="AL159" s="2">
        <v>2.9616975418260898</v>
      </c>
      <c r="AM159" s="2">
        <v>6.2200295589111896</v>
      </c>
      <c r="AN159" s="2">
        <v>1871.26987204343</v>
      </c>
      <c r="AO159" s="2">
        <v>4.2681154848970802E-2</v>
      </c>
      <c r="AP159" s="2">
        <v>16043.0288301439</v>
      </c>
      <c r="AQ159" s="2">
        <v>0.68384275904899405</v>
      </c>
      <c r="AR159" s="2">
        <v>38.407248591565398</v>
      </c>
      <c r="AS159" s="2">
        <v>283.34655475218398</v>
      </c>
      <c r="AT159" s="2">
        <v>10997.237255662199</v>
      </c>
      <c r="AU159" s="2">
        <v>7.6370008740968496</v>
      </c>
      <c r="AV159" s="2">
        <v>2.8057294202930801E-2</v>
      </c>
      <c r="AW159" s="2">
        <v>42.189443311654301</v>
      </c>
      <c r="AX159" s="2">
        <v>2.2992820062723101E-4</v>
      </c>
      <c r="AY159" s="2">
        <v>18.655285641769499</v>
      </c>
      <c r="AZ159" s="2">
        <v>4.06945121607443E-3</v>
      </c>
      <c r="BA159" s="2">
        <v>1.6410650545280701E-2</v>
      </c>
      <c r="BB159" s="2">
        <v>497</v>
      </c>
    </row>
    <row r="160" spans="1:54" ht="13" x14ac:dyDescent="0.15">
      <c r="A160" s="1" t="s">
        <v>488</v>
      </c>
      <c r="B160" s="1" t="s">
        <v>489</v>
      </c>
      <c r="C160" s="1" t="s">
        <v>490</v>
      </c>
      <c r="D160" s="1" t="s">
        <v>304</v>
      </c>
      <c r="E160" s="2">
        <v>4073</v>
      </c>
      <c r="F160" s="2">
        <v>115343</v>
      </c>
      <c r="G160" s="2">
        <v>31863</v>
      </c>
      <c r="H160" s="2">
        <f t="shared" si="0"/>
        <v>151279</v>
      </c>
      <c r="I160" s="2">
        <v>210494</v>
      </c>
      <c r="J160" s="2">
        <v>1476097</v>
      </c>
      <c r="K160" s="2">
        <f t="shared" si="1"/>
        <v>0.10248581224675614</v>
      </c>
      <c r="M160" s="2">
        <v>0.78040596026932696</v>
      </c>
      <c r="N160" s="2">
        <v>0.38359532396639801</v>
      </c>
      <c r="O160" s="2">
        <v>19.017486902804301</v>
      </c>
      <c r="P160" s="2">
        <v>49.576951841233203</v>
      </c>
      <c r="Q160" s="2">
        <v>52.630789467763101</v>
      </c>
      <c r="R160" s="2">
        <v>38.690148708883797</v>
      </c>
      <c r="S160" s="2">
        <v>0.22213924136413599</v>
      </c>
      <c r="T160" s="2">
        <v>5217.4819581339898</v>
      </c>
      <c r="U160" s="2">
        <v>795.2</v>
      </c>
      <c r="V160" s="2">
        <v>1493.8</v>
      </c>
      <c r="W160" s="2">
        <v>1075.6955607955399</v>
      </c>
      <c r="X160" s="2">
        <v>357026.07529298298</v>
      </c>
      <c r="Y160" s="2">
        <v>3230.3194506405198</v>
      </c>
      <c r="Z160" s="2">
        <v>331.06366500876197</v>
      </c>
      <c r="AA160" s="2">
        <v>9.5033130279080993</v>
      </c>
      <c r="AB160" s="2">
        <v>0.94370599716364401</v>
      </c>
      <c r="AC160" s="2">
        <v>2.0682733883151001</v>
      </c>
      <c r="AD160" s="2">
        <v>2.6637565113722999</v>
      </c>
      <c r="AE160" s="2">
        <v>0.47752376264414498</v>
      </c>
      <c r="AF160" s="2">
        <v>0.41373000675270899</v>
      </c>
      <c r="AG160" s="2">
        <v>0.99724861431024403</v>
      </c>
      <c r="AH160" s="2">
        <v>0.96684149360570304</v>
      </c>
      <c r="AI160" s="2">
        <v>-0.35399988940573501</v>
      </c>
      <c r="AJ160" s="2">
        <v>0.98238357628891904</v>
      </c>
      <c r="AK160" s="2">
        <v>8.5949948505889707E-3</v>
      </c>
      <c r="AL160" s="2">
        <v>7.9827605519723601</v>
      </c>
      <c r="AM160" s="2">
        <v>7.8487385218904899</v>
      </c>
      <c r="AN160" s="2">
        <v>546.47949914068295</v>
      </c>
      <c r="AO160" s="2">
        <v>0.134171249482122</v>
      </c>
      <c r="AP160" s="2">
        <v>179.75325313037101</v>
      </c>
      <c r="AQ160" s="2">
        <v>88.541303026783098</v>
      </c>
      <c r="AR160" s="2">
        <v>1050.63761355266</v>
      </c>
      <c r="AS160" s="2">
        <v>23.815615025779501</v>
      </c>
      <c r="AT160" s="2">
        <v>24555.9413208937</v>
      </c>
      <c r="AU160" s="2">
        <v>2.9738368267801199E-2</v>
      </c>
      <c r="AV160" s="2">
        <v>1.71355650889539E-3</v>
      </c>
      <c r="AW160" s="2">
        <v>9.4251094978091199E-2</v>
      </c>
      <c r="AX160" s="2">
        <v>5.6720680494965403E-3</v>
      </c>
      <c r="AY160" s="2">
        <v>1559.7932448281199</v>
      </c>
      <c r="AZ160" s="2">
        <v>7.6767921446544596E-2</v>
      </c>
      <c r="BA160" s="2">
        <v>7.2083792303138896</v>
      </c>
      <c r="BB160" s="2">
        <v>688</v>
      </c>
    </row>
    <row r="161" spans="1:54" ht="13" x14ac:dyDescent="0.15">
      <c r="A161" s="1" t="s">
        <v>491</v>
      </c>
      <c r="B161" s="1" t="s">
        <v>492</v>
      </c>
      <c r="C161" s="5" t="s">
        <v>493</v>
      </c>
      <c r="D161" s="1" t="s">
        <v>304</v>
      </c>
      <c r="E161" s="2">
        <v>5989</v>
      </c>
      <c r="F161" s="2">
        <v>29065</v>
      </c>
      <c r="G161" s="2">
        <v>10897</v>
      </c>
      <c r="H161" s="2">
        <f t="shared" si="0"/>
        <v>45951</v>
      </c>
      <c r="I161" s="2">
        <v>66478</v>
      </c>
      <c r="J161" s="2">
        <v>1394486</v>
      </c>
      <c r="K161" s="2">
        <f t="shared" si="1"/>
        <v>3.2951926372871435E-2</v>
      </c>
      <c r="M161" s="2">
        <v>0.663307378879052</v>
      </c>
      <c r="N161" s="2">
        <v>0.53946940425924805</v>
      </c>
      <c r="O161" s="2">
        <v>16.9089235606721</v>
      </c>
      <c r="P161" s="2">
        <v>31.343619169450299</v>
      </c>
      <c r="Q161" s="2">
        <v>35.1283361405006</v>
      </c>
      <c r="R161" s="2">
        <v>20.7904538758713</v>
      </c>
      <c r="S161" s="2">
        <v>0.34835630213707802</v>
      </c>
      <c r="T161" s="2">
        <v>4535.1827898069596</v>
      </c>
      <c r="U161" s="2">
        <v>746</v>
      </c>
      <c r="V161" s="2">
        <v>1258</v>
      </c>
      <c r="W161" s="2">
        <v>770.65586233511601</v>
      </c>
      <c r="X161" s="2">
        <v>102102.414084977</v>
      </c>
      <c r="Y161" s="2">
        <v>-2080.6289495219098</v>
      </c>
      <c r="Z161" s="2">
        <v>168.56918263969001</v>
      </c>
      <c r="AA161" s="2">
        <v>19.011013302846699</v>
      </c>
      <c r="AB161" s="2">
        <v>0.79480988159059496</v>
      </c>
      <c r="AC161" s="2">
        <v>3.2046042157344599</v>
      </c>
      <c r="AD161" s="2">
        <v>3.2146965000844299</v>
      </c>
      <c r="AE161" s="2">
        <v>0.37989291290243099</v>
      </c>
      <c r="AF161" s="2">
        <v>0.29754299138381402</v>
      </c>
      <c r="AG161" s="2">
        <v>0.98920148194972002</v>
      </c>
      <c r="AH161" s="2">
        <v>0.93132872877731299</v>
      </c>
      <c r="AI161" s="2">
        <v>-0.18167443712092499</v>
      </c>
      <c r="AJ161" s="2">
        <v>0.88846206365935998</v>
      </c>
      <c r="AK161" s="2">
        <v>5.1164591658135403E-3</v>
      </c>
      <c r="AL161" s="2">
        <v>8.3939242151195401</v>
      </c>
      <c r="AM161" s="2">
        <v>7.4216277934334398</v>
      </c>
      <c r="AN161" s="2">
        <v>959.72800133578198</v>
      </c>
      <c r="AO161" s="2">
        <v>0.16024845572479299</v>
      </c>
      <c r="AP161" s="2">
        <v>240.730171981967</v>
      </c>
      <c r="AQ161" s="2">
        <v>62.317705072981099</v>
      </c>
      <c r="AR161" s="2">
        <v>691.10535982634804</v>
      </c>
      <c r="AS161" s="2">
        <v>19.6164635164468</v>
      </c>
      <c r="AT161" s="2">
        <v>18716.173317749199</v>
      </c>
      <c r="AU161" s="2">
        <v>3.7517750951913398E-2</v>
      </c>
      <c r="AV161" s="2">
        <v>3.9167013186850704E-3</v>
      </c>
      <c r="AW161" s="2">
        <v>0.36008571966944802</v>
      </c>
      <c r="AX161" s="2">
        <v>2.4003570522504901E-3</v>
      </c>
      <c r="AY161" s="2">
        <v>1332.56307082226</v>
      </c>
      <c r="AZ161" s="2">
        <v>0.14947660244814001</v>
      </c>
      <c r="BA161" s="2">
        <v>1.5240046521085799</v>
      </c>
      <c r="BB161" s="2">
        <v>80</v>
      </c>
    </row>
    <row r="162" spans="1:54" ht="13" x14ac:dyDescent="0.15">
      <c r="A162" s="1" t="s">
        <v>494</v>
      </c>
      <c r="B162" s="1" t="s">
        <v>495</v>
      </c>
      <c r="C162" s="5" t="s">
        <v>496</v>
      </c>
      <c r="D162" s="1" t="s">
        <v>304</v>
      </c>
      <c r="E162" s="2">
        <v>2637</v>
      </c>
      <c r="F162" s="2">
        <v>48121</v>
      </c>
      <c r="G162" s="2">
        <v>18271</v>
      </c>
      <c r="H162" s="2">
        <f t="shared" si="0"/>
        <v>69029</v>
      </c>
      <c r="I162" s="2">
        <v>105583</v>
      </c>
      <c r="J162" s="2">
        <v>1526484</v>
      </c>
      <c r="K162" s="2">
        <f t="shared" si="1"/>
        <v>4.5220912895254713E-2</v>
      </c>
      <c r="M162" s="2">
        <v>0.59141583299080702</v>
      </c>
      <c r="N162" s="2">
        <v>0.54090229196617701</v>
      </c>
      <c r="O162" s="2">
        <v>16.800055964448699</v>
      </c>
      <c r="P162" s="2">
        <v>31.05931739239</v>
      </c>
      <c r="Q162" s="2">
        <v>27.313000567495301</v>
      </c>
      <c r="R162" s="2">
        <v>18.368972067746199</v>
      </c>
      <c r="S162" s="2">
        <v>0.36482334528628602</v>
      </c>
      <c r="T162" s="2">
        <v>2496.61667229979</v>
      </c>
      <c r="U162" s="2">
        <v>983</v>
      </c>
      <c r="V162" s="2">
        <v>1618</v>
      </c>
      <c r="W162" s="2">
        <v>1105.1599007575101</v>
      </c>
      <c r="X162" s="2">
        <v>253466.71710863701</v>
      </c>
      <c r="Y162" s="2">
        <v>665.75604607528896</v>
      </c>
      <c r="Z162" s="2">
        <v>313.88997691019898</v>
      </c>
      <c r="AA162" s="2">
        <v>35.463976605495397</v>
      </c>
      <c r="AB162" s="2">
        <v>0.79668962894573003</v>
      </c>
      <c r="AC162" s="2">
        <v>4.55459256186177</v>
      </c>
      <c r="AD162" s="2">
        <v>3.6246820580043599</v>
      </c>
      <c r="AE162" s="2">
        <v>0.29845199686720197</v>
      </c>
      <c r="AF162" s="2">
        <v>0.205757955542995</v>
      </c>
      <c r="AG162" s="2">
        <v>0.98915616000434703</v>
      </c>
      <c r="AH162" s="2">
        <v>0.928235584453586</v>
      </c>
      <c r="AI162" s="2">
        <v>-0.20512353848793499</v>
      </c>
      <c r="AJ162" s="2">
        <v>0.93424852433224403</v>
      </c>
      <c r="AK162" s="2">
        <v>1.94841174264298E-3</v>
      </c>
      <c r="AL162" s="2">
        <v>9.3952734578126105</v>
      </c>
      <c r="AM162" s="2">
        <v>7.3541136993567804</v>
      </c>
      <c r="AN162" s="2">
        <v>641.13500189609397</v>
      </c>
      <c r="AO162" s="2">
        <v>0.24313045198941799</v>
      </c>
      <c r="AP162" s="2">
        <v>78.754266211604104</v>
      </c>
      <c r="AQ162" s="2">
        <v>89.268141636571499</v>
      </c>
      <c r="AR162" s="2">
        <v>1003.77436480849</v>
      </c>
      <c r="AS162" s="2">
        <v>7.87068638604475</v>
      </c>
      <c r="AT162" s="2">
        <v>8475.7523701175596</v>
      </c>
      <c r="AU162" s="2">
        <v>1.15549475939571E-2</v>
      </c>
      <c r="AV162" s="2">
        <v>2.3323945704639098E-3</v>
      </c>
      <c r="AW162" s="2">
        <v>0.150402898213787</v>
      </c>
      <c r="AX162" s="2">
        <v>5.1456831621311304E-3</v>
      </c>
      <c r="AY162" s="2">
        <v>2683.4014076882199</v>
      </c>
      <c r="AZ162" s="2">
        <v>0.186134195060704</v>
      </c>
      <c r="BA162" s="2">
        <v>4.5358939405281404</v>
      </c>
      <c r="BB162" s="2">
        <v>199</v>
      </c>
    </row>
    <row r="163" spans="1:54" ht="13" x14ac:dyDescent="0.15">
      <c r="A163" s="1" t="s">
        <v>497</v>
      </c>
      <c r="B163" s="1" t="s">
        <v>498</v>
      </c>
      <c r="C163" s="5" t="s">
        <v>499</v>
      </c>
      <c r="D163" s="1" t="s">
        <v>304</v>
      </c>
      <c r="E163" s="2">
        <v>2310</v>
      </c>
      <c r="F163" s="2">
        <v>18725</v>
      </c>
      <c r="G163" s="2">
        <v>9619</v>
      </c>
      <c r="H163" s="2">
        <f t="shared" si="0"/>
        <v>30654</v>
      </c>
      <c r="I163" s="2">
        <v>66315</v>
      </c>
      <c r="J163" s="2">
        <v>1496653</v>
      </c>
      <c r="K163" s="2">
        <f t="shared" si="1"/>
        <v>2.048170150328767E-2</v>
      </c>
      <c r="M163" s="2">
        <v>0.85668755630419302</v>
      </c>
      <c r="N163" s="2">
        <v>0.60816777926794097</v>
      </c>
      <c r="O163" s="2">
        <v>14.1959480051563</v>
      </c>
      <c r="P163" s="2">
        <v>23.3421573603326</v>
      </c>
      <c r="Q163" s="2">
        <v>30.413812651491099</v>
      </c>
      <c r="R163" s="2">
        <v>19.9969357478912</v>
      </c>
      <c r="S163" s="2">
        <v>0.379018421885576</v>
      </c>
      <c r="T163" s="2">
        <v>2080.16569910206</v>
      </c>
      <c r="U163" s="2">
        <v>716</v>
      </c>
      <c r="V163" s="2">
        <v>1300.0999999999999</v>
      </c>
      <c r="W163" s="2">
        <v>1322.28629568884</v>
      </c>
      <c r="X163" s="2">
        <v>123256.18015614701</v>
      </c>
      <c r="Y163" s="2">
        <v>-1742.0957976525699</v>
      </c>
      <c r="Z163" s="2">
        <v>194.76791215453201</v>
      </c>
      <c r="AA163" s="2">
        <v>30.441574158501499</v>
      </c>
      <c r="AB163" s="2">
        <v>0.72785303471389995</v>
      </c>
      <c r="AC163" s="2">
        <v>3.9968933561171598</v>
      </c>
      <c r="AD163" s="2">
        <v>3.4972758767752699</v>
      </c>
      <c r="AE163" s="2">
        <v>0.33549801252661698</v>
      </c>
      <c r="AF163" s="2">
        <v>0.24781084156663699</v>
      </c>
      <c r="AG163" s="2">
        <v>0.990086516313744</v>
      </c>
      <c r="AH163" s="2">
        <v>0.93470394143453295</v>
      </c>
      <c r="AI163" s="2">
        <v>-0.1902609576548</v>
      </c>
      <c r="AJ163" s="2">
        <v>0.91157688343533205</v>
      </c>
      <c r="AK163" s="2">
        <v>3.3840300840063198E-3</v>
      </c>
      <c r="AL163" s="2">
        <v>8.77563150475995</v>
      </c>
      <c r="AM163" s="2">
        <v>7.33770851628441</v>
      </c>
      <c r="AN163" s="2">
        <v>468.33593073593102</v>
      </c>
      <c r="AO163" s="2">
        <v>0.20274282715841199</v>
      </c>
      <c r="AP163" s="2">
        <v>77.618181818181796</v>
      </c>
      <c r="AQ163" s="2">
        <v>80.714961301324905</v>
      </c>
      <c r="AR163" s="2">
        <v>1188.79783549784</v>
      </c>
      <c r="AS163" s="2">
        <v>11.1203463203463</v>
      </c>
      <c r="AT163" s="2">
        <v>16352.3372294372</v>
      </c>
      <c r="AU163" s="2">
        <v>1.01649523624551E-2</v>
      </c>
      <c r="AV163" s="2">
        <v>1.8838805683943E-3</v>
      </c>
      <c r="AW163" s="2">
        <v>7.8384788174138506E-2</v>
      </c>
      <c r="AX163" s="2">
        <v>6.4390650250866202E-3</v>
      </c>
      <c r="AY163" s="2">
        <v>2689.8495549674199</v>
      </c>
      <c r="AZ163" s="2">
        <v>0.134548435521052</v>
      </c>
      <c r="BA163" s="2">
        <v>6.9151165533832497</v>
      </c>
      <c r="BB163" s="2">
        <v>443</v>
      </c>
    </row>
    <row r="164" spans="1:54" ht="13" x14ac:dyDescent="0.15">
      <c r="A164" s="1" t="s">
        <v>500</v>
      </c>
      <c r="B164" s="1" t="s">
        <v>501</v>
      </c>
      <c r="C164" s="5" t="s">
        <v>502</v>
      </c>
      <c r="D164" s="1" t="s">
        <v>304</v>
      </c>
      <c r="E164" s="2">
        <v>6321</v>
      </c>
      <c r="F164" s="2">
        <v>99576</v>
      </c>
      <c r="G164" s="2">
        <v>15251</v>
      </c>
      <c r="H164" s="2">
        <f t="shared" si="0"/>
        <v>121148</v>
      </c>
      <c r="I164" s="2">
        <v>143263</v>
      </c>
      <c r="J164" s="2">
        <v>1412791</v>
      </c>
      <c r="K164" s="2">
        <f t="shared" si="1"/>
        <v>8.5750829386653793E-2</v>
      </c>
      <c r="M164" s="2">
        <v>0.93197428336911703</v>
      </c>
      <c r="N164" s="2">
        <v>0.78828892771414305</v>
      </c>
      <c r="O164" s="2">
        <v>18.898460285436801</v>
      </c>
      <c r="P164" s="2">
        <v>23.974027315388099</v>
      </c>
      <c r="Q164" s="2">
        <v>26.925824035672498</v>
      </c>
      <c r="R164" s="2">
        <v>22.343176926730401</v>
      </c>
      <c r="S164" s="2">
        <v>0.62695485520053595</v>
      </c>
      <c r="T164" s="2">
        <v>2631.3690596618499</v>
      </c>
      <c r="U164" s="2">
        <v>805</v>
      </c>
      <c r="V164" s="2">
        <v>1460</v>
      </c>
      <c r="W164" s="2">
        <v>487.46034523115901</v>
      </c>
      <c r="X164" s="2">
        <v>373446.79651929397</v>
      </c>
      <c r="Y164" s="2">
        <v>6305.43171839553</v>
      </c>
      <c r="Z164" s="2">
        <v>369.07635810750497</v>
      </c>
      <c r="AA164" s="2">
        <v>9.54506469087924</v>
      </c>
      <c r="AB164" s="2">
        <v>0.94936970012505795</v>
      </c>
      <c r="AC164" s="2">
        <v>2.2910895028608298</v>
      </c>
      <c r="AD164" s="2">
        <v>2.7414784704025901</v>
      </c>
      <c r="AE164" s="2">
        <v>0.43807318324278599</v>
      </c>
      <c r="AF164" s="2">
        <v>0.36330546022332899</v>
      </c>
      <c r="AG164" s="2">
        <v>0.99652395405232197</v>
      </c>
      <c r="AH164" s="2">
        <v>0.95912559219688098</v>
      </c>
      <c r="AI164" s="2">
        <v>-0.32318464739214198</v>
      </c>
      <c r="AJ164" s="2">
        <v>0.97669976456176699</v>
      </c>
      <c r="AK164" s="2">
        <v>5.2542900320088097E-3</v>
      </c>
      <c r="AL164" s="2">
        <v>8.3817501345183807</v>
      </c>
      <c r="AM164" s="2">
        <v>8.04310987610436</v>
      </c>
      <c r="AN164" s="2">
        <v>800.79686758424305</v>
      </c>
      <c r="AO164" s="2">
        <v>0.12668831950391399</v>
      </c>
      <c r="AP164" s="2">
        <v>245.23065970574299</v>
      </c>
      <c r="AQ164" s="2">
        <v>97.899772897242201</v>
      </c>
      <c r="AR164" s="2">
        <v>483.44644834678098</v>
      </c>
      <c r="AS164" s="2">
        <v>27.7318462268628</v>
      </c>
      <c r="AT164" s="2">
        <v>11202.4690713495</v>
      </c>
      <c r="AU164" s="2">
        <v>0.14978087946447899</v>
      </c>
      <c r="AV164" s="2">
        <v>5.7948543548646501E-3</v>
      </c>
      <c r="AW164" s="2">
        <v>0.308083424180079</v>
      </c>
      <c r="AX164" s="2">
        <v>4.0040534022902103E-3</v>
      </c>
      <c r="AY164" s="2">
        <v>1297.9716891789101</v>
      </c>
      <c r="AZ164" s="2">
        <v>8.8607530867406706E-2</v>
      </c>
      <c r="BA164" s="2">
        <v>4.9995871827381002</v>
      </c>
      <c r="BB164" s="2">
        <v>635</v>
      </c>
    </row>
    <row r="165" spans="1:54" ht="13" x14ac:dyDescent="0.15">
      <c r="A165" s="1" t="s">
        <v>503</v>
      </c>
      <c r="B165" s="1" t="s">
        <v>504</v>
      </c>
      <c r="C165" s="1" t="s">
        <v>505</v>
      </c>
      <c r="D165" s="1" t="s">
        <v>304</v>
      </c>
      <c r="E165" s="2">
        <v>2182</v>
      </c>
      <c r="F165" s="2">
        <v>42224</v>
      </c>
      <c r="G165" s="2">
        <v>8079</v>
      </c>
      <c r="H165" s="2">
        <f t="shared" si="0"/>
        <v>52485</v>
      </c>
      <c r="I165" s="2">
        <v>82438</v>
      </c>
      <c r="J165" s="2">
        <v>1605024</v>
      </c>
      <c r="K165" s="2">
        <f t="shared" si="1"/>
        <v>3.2700445600813449E-2</v>
      </c>
      <c r="M165" s="2">
        <v>0.87925585675371598</v>
      </c>
      <c r="N165" s="2">
        <v>0.814534037735404</v>
      </c>
      <c r="O165" s="2">
        <v>15.4500286053281</v>
      </c>
      <c r="P165" s="2">
        <v>18.967934904577898</v>
      </c>
      <c r="Q165" s="2">
        <v>26.6833281282527</v>
      </c>
      <c r="R165" s="2">
        <v>16.677667855373301</v>
      </c>
      <c r="S165" s="2">
        <v>0.44512734659319397</v>
      </c>
      <c r="T165" s="2">
        <v>1780.3374801488701</v>
      </c>
      <c r="U165" s="2">
        <v>783</v>
      </c>
      <c r="V165" s="2">
        <v>1037</v>
      </c>
      <c r="W165" s="2">
        <v>397.41384463105601</v>
      </c>
      <c r="X165" s="2">
        <v>9105.1798129439103</v>
      </c>
      <c r="Y165" s="2">
        <v>169.57433554118899</v>
      </c>
      <c r="Z165" s="2">
        <v>51.785912998201901</v>
      </c>
      <c r="AA165" s="2">
        <v>10.986483642222399</v>
      </c>
      <c r="AB165" s="2">
        <v>0.64801873612877503</v>
      </c>
      <c r="AC165" s="2">
        <v>2.4825985016208101</v>
      </c>
      <c r="AD165" s="2">
        <v>2.8171687743199798</v>
      </c>
      <c r="AE165" s="2">
        <v>0.41870040160328997</v>
      </c>
      <c r="AF165" s="2">
        <v>0.33915763601113802</v>
      </c>
      <c r="AG165" s="2">
        <v>0.99333480590394496</v>
      </c>
      <c r="AH165" s="2">
        <v>0.94391232447976903</v>
      </c>
      <c r="AI165" s="2">
        <v>-0.15346754692085801</v>
      </c>
      <c r="AJ165" s="2">
        <v>0.808695242724631</v>
      </c>
      <c r="AK165" s="2">
        <v>8.7462425742850895E-3</v>
      </c>
      <c r="AL165" s="2">
        <v>7.3784284154369999</v>
      </c>
      <c r="AM165" s="2">
        <v>6.8788040894542997</v>
      </c>
      <c r="AN165" s="2">
        <v>307.634280476627</v>
      </c>
      <c r="AO165" s="2">
        <v>0.140987296277098</v>
      </c>
      <c r="AP165" s="2">
        <v>158.02933088909299</v>
      </c>
      <c r="AQ165" s="2">
        <v>17.5401155273419</v>
      </c>
      <c r="AR165" s="2">
        <v>406.30934922089801</v>
      </c>
      <c r="AS165" s="2">
        <v>19.3446379468378</v>
      </c>
      <c r="AT165" s="2">
        <v>7450.7034830430803</v>
      </c>
      <c r="AU165" s="2">
        <v>5.7052040074091599E-2</v>
      </c>
      <c r="AV165" s="2">
        <v>3.4163548886906102E-3</v>
      </c>
      <c r="AW165" s="2">
        <v>0.24586782707829899</v>
      </c>
      <c r="AX165" s="2">
        <v>5.14617804644521E-3</v>
      </c>
      <c r="AY165" s="2">
        <v>720.33912760260102</v>
      </c>
      <c r="AZ165" s="2">
        <v>4.9758057389161503E-2</v>
      </c>
      <c r="BA165" s="2">
        <v>2.3691704469278698</v>
      </c>
      <c r="BB165" s="2">
        <v>240</v>
      </c>
    </row>
    <row r="166" spans="1:54" ht="13" x14ac:dyDescent="0.15">
      <c r="A166" s="1" t="s">
        <v>506</v>
      </c>
      <c r="B166" s="1" t="s">
        <v>507</v>
      </c>
      <c r="C166" s="5" t="s">
        <v>508</v>
      </c>
      <c r="D166" s="1" t="s">
        <v>304</v>
      </c>
      <c r="E166" s="2">
        <v>15801</v>
      </c>
      <c r="F166" s="2">
        <v>42511</v>
      </c>
      <c r="G166" s="2">
        <v>15491</v>
      </c>
      <c r="H166" s="2">
        <f t="shared" si="0"/>
        <v>73803</v>
      </c>
      <c r="I166" s="2">
        <v>207598</v>
      </c>
      <c r="J166" s="2">
        <v>1681519</v>
      </c>
      <c r="K166" s="2">
        <f t="shared" si="1"/>
        <v>4.38906726596607E-2</v>
      </c>
      <c r="M166" s="2">
        <v>0.26973365246051101</v>
      </c>
      <c r="N166" s="2">
        <v>0.22451517607711499</v>
      </c>
      <c r="O166" s="2">
        <v>21.996182356789799</v>
      </c>
      <c r="P166" s="2">
        <v>97.971917716754703</v>
      </c>
      <c r="Q166" s="2">
        <v>83.198557679806001</v>
      </c>
      <c r="R166" s="2">
        <v>26.4263232043009</v>
      </c>
      <c r="S166" s="2">
        <v>0.64214210646194103</v>
      </c>
      <c r="T166" s="2">
        <v>4726.0714408772401</v>
      </c>
      <c r="U166" s="2">
        <v>774</v>
      </c>
      <c r="V166" s="2">
        <v>1413</v>
      </c>
      <c r="W166" s="2">
        <v>2158.5333429452899</v>
      </c>
      <c r="X166" s="2">
        <v>672106.57478629099</v>
      </c>
      <c r="Y166" s="2">
        <v>-11974.929129362001</v>
      </c>
      <c r="Z166" s="2">
        <v>386.18506771735002</v>
      </c>
      <c r="AA166" s="2">
        <v>11.476592313855001</v>
      </c>
      <c r="AB166" s="2">
        <v>0.94204567246979898</v>
      </c>
      <c r="AC166" s="2">
        <v>1.89085937254303</v>
      </c>
      <c r="AD166" s="2">
        <v>2.5960693738088598</v>
      </c>
      <c r="AE166" s="2">
        <v>0.58963993514274704</v>
      </c>
      <c r="AF166" s="2">
        <v>0.549479431650992</v>
      </c>
      <c r="AG166" s="2">
        <v>0.99657969118838396</v>
      </c>
      <c r="AH166" s="2">
        <v>0.96987899200852601</v>
      </c>
      <c r="AI166" s="2">
        <v>-0.369338247871769</v>
      </c>
      <c r="AJ166" s="2">
        <v>0.97957825194263803</v>
      </c>
      <c r="AK166" s="2">
        <v>2.32141285526772E-2</v>
      </c>
      <c r="AL166" s="2">
        <v>7.2622723540585996</v>
      </c>
      <c r="AM166" s="2">
        <v>8.3824977441666206</v>
      </c>
      <c r="AN166" s="2">
        <v>891.12644769318399</v>
      </c>
      <c r="AO166" s="2">
        <v>5.6396838661678599E-2</v>
      </c>
      <c r="AP166" s="2">
        <v>1027.87589393076</v>
      </c>
      <c r="AQ166" s="2">
        <v>104.90176315247</v>
      </c>
      <c r="AR166" s="2">
        <v>2105.9875957217901</v>
      </c>
      <c r="AS166" s="2">
        <v>143.069109550029</v>
      </c>
      <c r="AT166" s="2">
        <v>365595.600531612</v>
      </c>
      <c r="AU166" s="2">
        <v>5.8792593764177899E-2</v>
      </c>
      <c r="AV166" s="2">
        <v>8.6068923900633001E-4</v>
      </c>
      <c r="AW166" s="2">
        <v>0.17766980768170801</v>
      </c>
      <c r="AX166" s="2">
        <v>1.4982637999666399E-3</v>
      </c>
      <c r="AY166" s="2">
        <v>1848.4883478787899</v>
      </c>
      <c r="AZ166" s="2">
        <v>7.9136457278228295E-2</v>
      </c>
      <c r="BA166" s="2">
        <v>3.7338705858541701</v>
      </c>
      <c r="BB166" s="2">
        <v>44</v>
      </c>
    </row>
    <row r="167" spans="1:54" ht="13" x14ac:dyDescent="0.15">
      <c r="A167" s="1" t="s">
        <v>509</v>
      </c>
      <c r="B167" s="1" t="s">
        <v>510</v>
      </c>
      <c r="C167" s="5" t="s">
        <v>511</v>
      </c>
      <c r="D167" s="1" t="s">
        <v>304</v>
      </c>
      <c r="E167" s="2">
        <v>402</v>
      </c>
      <c r="F167" s="2">
        <v>17336</v>
      </c>
      <c r="G167" s="2">
        <v>1412</v>
      </c>
      <c r="H167" s="2">
        <f t="shared" si="0"/>
        <v>19150</v>
      </c>
      <c r="I167" s="2">
        <v>85599</v>
      </c>
      <c r="J167" s="2">
        <v>1502788</v>
      </c>
      <c r="K167" s="2">
        <f t="shared" si="1"/>
        <v>1.2742981711325882E-2</v>
      </c>
      <c r="M167" s="2">
        <v>0.79905389976686603</v>
      </c>
      <c r="N167" s="2">
        <v>0.58373507744576203</v>
      </c>
      <c r="O167" s="2">
        <v>10.811536427609299</v>
      </c>
      <c r="P167" s="2">
        <v>18.5213067457195</v>
      </c>
      <c r="Q167" s="2">
        <v>17.029386365926399</v>
      </c>
      <c r="R167" s="2">
        <v>14.7995223839456</v>
      </c>
      <c r="S167" s="2">
        <v>0.32442430955597401</v>
      </c>
      <c r="T167" s="2">
        <v>764.61673924108402</v>
      </c>
      <c r="U167" s="2">
        <v>743</v>
      </c>
      <c r="V167" s="2">
        <v>921</v>
      </c>
      <c r="W167" s="2">
        <v>400.52235875886402</v>
      </c>
      <c r="X167" s="2">
        <v>9088.6418550341896</v>
      </c>
      <c r="Y167" s="2">
        <v>-253.236293241011</v>
      </c>
      <c r="Z167" s="2">
        <v>32.698103499063102</v>
      </c>
      <c r="AA167" s="2">
        <v>4.1791899414701996</v>
      </c>
      <c r="AB167" s="2">
        <v>0.76889227293348295</v>
      </c>
      <c r="AC167" s="2">
        <v>1.4361407528046</v>
      </c>
      <c r="AD167" s="2">
        <v>2.1294624960815098</v>
      </c>
      <c r="AE167" s="2">
        <v>0.54381789397849301</v>
      </c>
      <c r="AF167" s="2">
        <v>0.49420350435153898</v>
      </c>
      <c r="AG167" s="2">
        <v>0.99601895885588698</v>
      </c>
      <c r="AH167" s="2">
        <v>0.95872402336291296</v>
      </c>
      <c r="AI167" s="2">
        <v>-0.32701154380035602</v>
      </c>
      <c r="AJ167" s="2">
        <v>0.94048740238013395</v>
      </c>
      <c r="AK167" s="2">
        <v>2.62918451397318E-2</v>
      </c>
      <c r="AL167" s="2">
        <v>5.6886327106339003</v>
      </c>
      <c r="AM167" s="2">
        <v>6.0633225591699498</v>
      </c>
      <c r="AN167" s="2">
        <v>59.049751243781103</v>
      </c>
      <c r="AO167" s="2">
        <v>0.14688992846711699</v>
      </c>
      <c r="AP167" s="2">
        <v>42.0298507462687</v>
      </c>
      <c r="AQ167" s="2">
        <v>11.604415732283901</v>
      </c>
      <c r="AR167" s="2">
        <v>399.55721393034798</v>
      </c>
      <c r="AS167" s="2">
        <v>17.189054726368202</v>
      </c>
      <c r="AT167" s="2">
        <v>7236.6467661691504</v>
      </c>
      <c r="AU167" s="2">
        <v>4.5401090699649503E-2</v>
      </c>
      <c r="AV167" s="2">
        <v>5.5623266859264001E-3</v>
      </c>
      <c r="AW167" s="2">
        <v>4.9126688650519397E-2</v>
      </c>
      <c r="AX167" s="2">
        <v>2.824269273541E-2</v>
      </c>
      <c r="AY167" s="2">
        <v>343.54826628566002</v>
      </c>
      <c r="AZ167" s="2">
        <v>3.3244886557823601E-2</v>
      </c>
      <c r="BA167" s="2">
        <v>11.965432117911099</v>
      </c>
      <c r="BB167" s="2">
        <v>879</v>
      </c>
    </row>
    <row r="168" spans="1:54" ht="13" x14ac:dyDescent="0.15">
      <c r="A168" s="1" t="s">
        <v>512</v>
      </c>
      <c r="B168" s="1" t="s">
        <v>513</v>
      </c>
      <c r="C168" s="5" t="s">
        <v>514</v>
      </c>
      <c r="D168" s="1" t="s">
        <v>304</v>
      </c>
      <c r="E168" s="2">
        <v>638</v>
      </c>
      <c r="F168" s="2">
        <v>61676</v>
      </c>
      <c r="G168" s="2">
        <v>15501</v>
      </c>
      <c r="H168" s="2">
        <f t="shared" si="0"/>
        <v>77815</v>
      </c>
      <c r="I168" s="2">
        <v>397747</v>
      </c>
      <c r="J168" s="2">
        <v>1760042</v>
      </c>
      <c r="K168" s="2">
        <f t="shared" si="1"/>
        <v>4.4212013122414122E-2</v>
      </c>
      <c r="M168" s="2">
        <v>0.48182120928922301</v>
      </c>
      <c r="N168" s="2">
        <v>0.42265093687744598</v>
      </c>
      <c r="O168" s="2">
        <v>7.1676718827860801</v>
      </c>
      <c r="P168" s="2">
        <v>16.9588453671509</v>
      </c>
      <c r="Q168" s="2">
        <v>10.770329614269</v>
      </c>
      <c r="R168" s="2">
        <v>8.1711313829496106</v>
      </c>
      <c r="S168" s="2">
        <v>0.75395808663233199</v>
      </c>
      <c r="T168" s="2">
        <v>467.26887386801798</v>
      </c>
      <c r="U168" s="2">
        <v>38</v>
      </c>
      <c r="V168" s="2">
        <v>1418.3</v>
      </c>
      <c r="W168" s="2">
        <v>967.80281559452703</v>
      </c>
      <c r="X168" s="2">
        <v>8618429.5954057202</v>
      </c>
      <c r="Y168" s="2">
        <v>67706.1077067562</v>
      </c>
      <c r="Z168" s="2">
        <v>1811.0513132418801</v>
      </c>
      <c r="AA168" s="2">
        <v>214.20220734067499</v>
      </c>
      <c r="AB168" s="2">
        <v>0.78845745831976399</v>
      </c>
      <c r="AC168" s="2">
        <v>10.0838577025125</v>
      </c>
      <c r="AD168" s="2">
        <v>4.6954057717952598</v>
      </c>
      <c r="AE168" s="2">
        <v>0.24131898540699701</v>
      </c>
      <c r="AF168" s="2">
        <v>0.168198651117062</v>
      </c>
      <c r="AG168" s="2">
        <v>0.97643212010729397</v>
      </c>
      <c r="AH168" s="2">
        <v>0.90810311026857904</v>
      </c>
      <c r="AI168" s="2">
        <v>-0.44026558959884798</v>
      </c>
      <c r="AJ168" s="2">
        <v>0.99658422356977305</v>
      </c>
      <c r="AK168" s="2">
        <v>3.9900526723143899E-3</v>
      </c>
      <c r="AL168" s="2">
        <v>8.8975899982119504</v>
      </c>
      <c r="AM168" s="2">
        <v>7.2996137089866204</v>
      </c>
      <c r="AN168" s="2">
        <v>181.59561128526599</v>
      </c>
      <c r="AO168" s="2">
        <v>0.28463261956938302</v>
      </c>
      <c r="AP168" s="2">
        <v>15.5203761755486</v>
      </c>
      <c r="AQ168" s="2">
        <v>460.14934012047797</v>
      </c>
      <c r="AR168" s="2">
        <v>1055.57053291536</v>
      </c>
      <c r="AS168" s="2">
        <v>14.285266457680301</v>
      </c>
      <c r="AT168" s="2">
        <v>2911.4263322883999</v>
      </c>
      <c r="AU168" s="2">
        <v>8.9029364895289902</v>
      </c>
      <c r="AV168" s="2">
        <v>9.5719755545277702E-2</v>
      </c>
      <c r="AW168" s="2">
        <v>5.4971489710141798E-2</v>
      </c>
      <c r="AX168" s="2">
        <v>1.5163175976636601E-2</v>
      </c>
      <c r="AY168" s="2">
        <v>16279.9720388926</v>
      </c>
      <c r="AZ168" s="2">
        <v>0.825077080219491</v>
      </c>
      <c r="BA168" s="2">
        <v>61.176346465263002</v>
      </c>
      <c r="BB168" s="2">
        <v>423</v>
      </c>
    </row>
    <row r="169" spans="1:54" ht="13" x14ac:dyDescent="0.15">
      <c r="A169" s="1" t="s">
        <v>515</v>
      </c>
      <c r="B169" s="1" t="s">
        <v>516</v>
      </c>
      <c r="C169" s="5" t="s">
        <v>517</v>
      </c>
      <c r="D169" s="1" t="s">
        <v>304</v>
      </c>
      <c r="E169" s="2">
        <v>99</v>
      </c>
      <c r="F169" s="2">
        <v>14362</v>
      </c>
      <c r="G169" s="2">
        <v>3913</v>
      </c>
      <c r="H169" s="2">
        <f t="shared" si="0"/>
        <v>18374</v>
      </c>
      <c r="I169" s="2">
        <v>25350</v>
      </c>
      <c r="J169" s="2">
        <v>1413989</v>
      </c>
      <c r="K169" s="2">
        <f t="shared" si="1"/>
        <v>1.2994443379686828E-2</v>
      </c>
      <c r="M169" s="2">
        <v>0.77987164392006902</v>
      </c>
      <c r="N169" s="2">
        <v>0.62335950320771705</v>
      </c>
      <c r="O169" s="2">
        <v>5.37839753244885</v>
      </c>
      <c r="P169" s="2">
        <v>8.6280829998939499</v>
      </c>
      <c r="Q169" s="2">
        <v>8.6023252670426302</v>
      </c>
      <c r="R169" s="2">
        <v>6.7287972730060996</v>
      </c>
      <c r="S169" s="2">
        <v>0.545302811387543</v>
      </c>
      <c r="T169" s="2">
        <v>171.052914760845</v>
      </c>
      <c r="U169" s="2">
        <v>709.8</v>
      </c>
      <c r="V169" s="2">
        <v>796.2</v>
      </c>
      <c r="W169" s="2">
        <v>22.106152205064699</v>
      </c>
      <c r="X169" s="2">
        <v>53.215679865904796</v>
      </c>
      <c r="Y169" s="2">
        <v>2.0414131947912</v>
      </c>
      <c r="Z169" s="2">
        <v>4.44479591454395</v>
      </c>
      <c r="AA169" s="2">
        <v>1.56909292395415</v>
      </c>
      <c r="AB169" s="2">
        <v>0.46756034383737299</v>
      </c>
      <c r="AC169" s="2">
        <v>0.96365242310686094</v>
      </c>
      <c r="AD169" s="2">
        <v>1.5872153234431801</v>
      </c>
      <c r="AE169" s="2">
        <v>0.60935727575787701</v>
      </c>
      <c r="AF169" s="2">
        <v>0.57834336513451301</v>
      </c>
      <c r="AG169" s="2">
        <v>0.98157813087322898</v>
      </c>
      <c r="AH169" s="2">
        <v>0.90895603993671004</v>
      </c>
      <c r="AI169" s="2">
        <v>-0.22456885407785601</v>
      </c>
      <c r="AJ169" s="2">
        <v>0.78012809432247998</v>
      </c>
      <c r="AK169" s="2">
        <v>7.31237382604875E-2</v>
      </c>
      <c r="AL169" s="2">
        <v>4.0330083764576496</v>
      </c>
      <c r="AM169" s="2">
        <v>4.82756069639328</v>
      </c>
      <c r="AN169" s="2">
        <v>12.7373737373737</v>
      </c>
      <c r="AO169" s="2">
        <v>0.128660340781553</v>
      </c>
      <c r="AP169" s="2">
        <v>22.717171717171698</v>
      </c>
      <c r="AQ169" s="2">
        <v>1.7290072441587601</v>
      </c>
      <c r="AR169" s="2">
        <v>23.1313131313131</v>
      </c>
      <c r="AS169" s="2">
        <v>25.8888888888889</v>
      </c>
      <c r="AT169" s="2">
        <v>571.49494949494999</v>
      </c>
      <c r="AU169" s="2">
        <v>1.4762295304391899</v>
      </c>
      <c r="AV169" s="2">
        <v>6.8361507809259106E-2</v>
      </c>
      <c r="AW169" s="2">
        <v>0.28508132992122798</v>
      </c>
      <c r="AX169" s="2">
        <v>7.5756832777197303E-2</v>
      </c>
      <c r="AY169" s="2">
        <v>22.264737488578302</v>
      </c>
      <c r="AZ169" s="2">
        <v>3.2863175147530101E-2</v>
      </c>
      <c r="BA169" s="2">
        <v>2.2680029521901801</v>
      </c>
      <c r="BB169" s="2">
        <v>420</v>
      </c>
    </row>
    <row r="170" spans="1:54" ht="13" x14ac:dyDescent="0.15">
      <c r="A170" s="1" t="s">
        <v>518</v>
      </c>
      <c r="B170" s="1" t="s">
        <v>519</v>
      </c>
      <c r="C170" s="5" t="s">
        <v>520</v>
      </c>
      <c r="D170" s="1" t="s">
        <v>304</v>
      </c>
      <c r="E170" s="2">
        <v>6590</v>
      </c>
      <c r="F170" s="2">
        <v>103227</v>
      </c>
      <c r="G170" s="2">
        <v>8577</v>
      </c>
      <c r="H170" s="2">
        <f t="shared" si="0"/>
        <v>118394</v>
      </c>
      <c r="I170" s="2">
        <v>153857</v>
      </c>
      <c r="J170" s="2">
        <v>1697858</v>
      </c>
      <c r="K170" s="2">
        <f t="shared" si="1"/>
        <v>6.973139096437983E-2</v>
      </c>
      <c r="M170" s="2">
        <v>0.87092088826725</v>
      </c>
      <c r="N170" s="2">
        <v>0.68327384146904802</v>
      </c>
      <c r="O170" s="2">
        <v>22.550074289608801</v>
      </c>
      <c r="P170" s="2">
        <v>33.002981997855798</v>
      </c>
      <c r="Q170" s="2">
        <v>51.8555686498567</v>
      </c>
      <c r="R170" s="2">
        <v>28.742986397040699</v>
      </c>
      <c r="S170" s="2">
        <v>0.22449912701053101</v>
      </c>
      <c r="T170" s="2">
        <v>6658.9681778136201</v>
      </c>
      <c r="U170" s="2">
        <v>789</v>
      </c>
      <c r="V170" s="2">
        <v>1568</v>
      </c>
      <c r="W170" s="2">
        <v>1329.00245185522</v>
      </c>
      <c r="X170" s="2">
        <v>422829.76574176201</v>
      </c>
      <c r="Y170" s="2">
        <v>-1503.02943329863</v>
      </c>
      <c r="Z170" s="2">
        <v>381.80400578567202</v>
      </c>
      <c r="AA170" s="2">
        <v>32.9788277356813</v>
      </c>
      <c r="AB170" s="2">
        <v>0.83962177839024599</v>
      </c>
      <c r="AC170" s="2">
        <v>4.1731083689553197</v>
      </c>
      <c r="AD170" s="2">
        <v>3.5585938546162299</v>
      </c>
      <c r="AE170" s="2">
        <v>0.334523257720788</v>
      </c>
      <c r="AF170" s="2">
        <v>0.24870793169882799</v>
      </c>
      <c r="AG170" s="2">
        <v>0.99223619430316801</v>
      </c>
      <c r="AH170" s="2">
        <v>0.94168808552149896</v>
      </c>
      <c r="AI170" s="2">
        <v>-0.22176409973953101</v>
      </c>
      <c r="AJ170" s="2">
        <v>0.94502543318033005</v>
      </c>
      <c r="AK170" s="2">
        <v>1.86742231154086E-3</v>
      </c>
      <c r="AL170" s="2">
        <v>9.5294116840115404</v>
      </c>
      <c r="AM170" s="2">
        <v>7.8500997423693297</v>
      </c>
      <c r="AN170" s="2">
        <v>1335.4789074355101</v>
      </c>
      <c r="AO170" s="2">
        <v>0.20265233800235299</v>
      </c>
      <c r="AP170" s="2">
        <v>167.10257966616101</v>
      </c>
      <c r="AQ170" s="2">
        <v>128.02790736873101</v>
      </c>
      <c r="AR170" s="2">
        <v>1084.1981790591799</v>
      </c>
      <c r="AS170" s="2">
        <v>11.084673748103199</v>
      </c>
      <c r="AT170" s="2">
        <v>15265.440060698</v>
      </c>
      <c r="AU170" s="2">
        <v>1.6183832422452599E-2</v>
      </c>
      <c r="AV170" s="2">
        <v>2.4332702018643902E-3</v>
      </c>
      <c r="AW170" s="2">
        <v>0.159619316545173</v>
      </c>
      <c r="AX170" s="2">
        <v>3.3576640704080399E-3</v>
      </c>
      <c r="AY170" s="2">
        <v>3129.0531409529799</v>
      </c>
      <c r="AZ170" s="2">
        <v>0.12303806648794</v>
      </c>
      <c r="BA170" s="2">
        <v>4.7296351408086199</v>
      </c>
      <c r="BB170" s="2">
        <v>618</v>
      </c>
    </row>
    <row r="171" spans="1:54" ht="13" x14ac:dyDescent="0.15">
      <c r="A171" s="1" t="s">
        <v>521</v>
      </c>
      <c r="B171" s="1" t="s">
        <v>522</v>
      </c>
      <c r="C171" s="5" t="s">
        <v>523</v>
      </c>
      <c r="D171" s="1" t="s">
        <v>304</v>
      </c>
      <c r="E171" s="2">
        <v>376</v>
      </c>
      <c r="F171" s="2">
        <v>45019</v>
      </c>
      <c r="G171" s="2">
        <v>12057</v>
      </c>
      <c r="H171" s="2">
        <f t="shared" si="0"/>
        <v>57452</v>
      </c>
      <c r="I171" s="2">
        <v>120740</v>
      </c>
      <c r="J171" s="2">
        <v>1590912</v>
      </c>
      <c r="K171" s="2">
        <f t="shared" si="1"/>
        <v>3.6112619679781154E-2</v>
      </c>
      <c r="M171" s="2">
        <v>0.50495111523918401</v>
      </c>
      <c r="N171" s="2">
        <v>0.46286276997849501</v>
      </c>
      <c r="O171" s="2">
        <v>8.46900123269406</v>
      </c>
      <c r="P171" s="2">
        <v>18.2970024421872</v>
      </c>
      <c r="Q171" s="2">
        <v>18.0277563773199</v>
      </c>
      <c r="R171" s="2">
        <v>9.2390917887165198</v>
      </c>
      <c r="S171" s="2">
        <v>0.58004604507523105</v>
      </c>
      <c r="T171" s="2">
        <v>420.15359392972402</v>
      </c>
      <c r="U171" s="2">
        <v>748</v>
      </c>
      <c r="V171" s="2">
        <v>1154</v>
      </c>
      <c r="W171" s="2">
        <v>208.04690855507999</v>
      </c>
      <c r="X171" s="2">
        <v>36507.037520497601</v>
      </c>
      <c r="Y171" s="2">
        <v>558.20228774909697</v>
      </c>
      <c r="Z171" s="2">
        <v>107.30972673228</v>
      </c>
      <c r="AA171" s="2">
        <v>29.345611371838402</v>
      </c>
      <c r="AB171" s="2">
        <v>0.56617878777071395</v>
      </c>
      <c r="AC171" s="2">
        <v>3.8541208803539302</v>
      </c>
      <c r="AD171" s="2">
        <v>3.3299661340554199</v>
      </c>
      <c r="AE171" s="2">
        <v>0.35958973763234497</v>
      </c>
      <c r="AF171" s="2">
        <v>0.27871062159371501</v>
      </c>
      <c r="AG171" s="2">
        <v>0.97289088385342704</v>
      </c>
      <c r="AH171" s="2">
        <v>0.89879131648941402</v>
      </c>
      <c r="AI171" s="2">
        <v>-0.321535460382956</v>
      </c>
      <c r="AJ171" s="2">
        <v>0.967344053870828</v>
      </c>
      <c r="AK171" s="2">
        <v>8.7939659922803403E-3</v>
      </c>
      <c r="AL171" s="2">
        <v>7.3834495107392604</v>
      </c>
      <c r="AM171" s="2">
        <v>6.5437264197610103</v>
      </c>
      <c r="AN171" s="2">
        <v>71.404255319148902</v>
      </c>
      <c r="AO171" s="2">
        <v>0.189904934359439</v>
      </c>
      <c r="AP171" s="2">
        <v>20.638297872340399</v>
      </c>
      <c r="AQ171" s="2">
        <v>36.765893786781398</v>
      </c>
      <c r="AR171" s="2">
        <v>225.60904255319201</v>
      </c>
      <c r="AS171" s="2">
        <v>12.989361702127701</v>
      </c>
      <c r="AT171" s="2">
        <v>2439.5292553191498</v>
      </c>
      <c r="AU171" s="2">
        <v>0.18103267641100201</v>
      </c>
      <c r="AV171" s="2">
        <v>1.6785809536984501E-2</v>
      </c>
      <c r="AW171" s="2">
        <v>0.101827153389397</v>
      </c>
      <c r="AX171" s="2">
        <v>2.6840721806904898E-2</v>
      </c>
      <c r="AY171" s="2">
        <v>869.64128223886803</v>
      </c>
      <c r="AZ171" s="2">
        <v>0.188622659327562</v>
      </c>
      <c r="BA171" s="2">
        <v>8.4232341702874791</v>
      </c>
      <c r="BB171" s="2">
        <v>480</v>
      </c>
    </row>
    <row r="172" spans="1:54" ht="13" x14ac:dyDescent="0.15">
      <c r="A172" s="1" t="s">
        <v>524</v>
      </c>
      <c r="B172" s="1" t="s">
        <v>525</v>
      </c>
      <c r="C172" s="1" t="s">
        <v>526</v>
      </c>
      <c r="D172" s="1" t="s">
        <v>304</v>
      </c>
      <c r="E172" s="2">
        <v>115</v>
      </c>
      <c r="F172" s="2">
        <v>33068</v>
      </c>
      <c r="G172" s="2">
        <v>1276</v>
      </c>
      <c r="H172" s="2">
        <f t="shared" si="0"/>
        <v>34459</v>
      </c>
      <c r="I172" s="2">
        <v>55760</v>
      </c>
      <c r="J172" s="2">
        <v>1513814</v>
      </c>
      <c r="K172" s="2">
        <f t="shared" si="1"/>
        <v>2.2763034296155275E-2</v>
      </c>
      <c r="M172" s="2">
        <v>0.26146055578785599</v>
      </c>
      <c r="N172" s="2">
        <v>0.124906697080838</v>
      </c>
      <c r="O172" s="2">
        <v>3.9826060949268598</v>
      </c>
      <c r="P172" s="2">
        <v>31.884648205447</v>
      </c>
      <c r="Q172" s="2">
        <v>15</v>
      </c>
      <c r="R172" s="2">
        <v>8.3365778408964406</v>
      </c>
      <c r="S172" s="2">
        <v>0.413041809076031</v>
      </c>
      <c r="T172" s="2">
        <v>240.26047388452599</v>
      </c>
      <c r="U172" s="2">
        <v>608.6</v>
      </c>
      <c r="V172" s="2">
        <v>917</v>
      </c>
      <c r="W172" s="2">
        <v>98.831268050929097</v>
      </c>
      <c r="X172" s="2">
        <v>24570.612267802298</v>
      </c>
      <c r="Y172" s="2">
        <v>704.75283348148696</v>
      </c>
      <c r="Z172" s="2">
        <v>88.779747223929206</v>
      </c>
      <c r="AA172" s="2">
        <v>8.9041829662813399</v>
      </c>
      <c r="AB172" s="2">
        <v>0.80633027521072698</v>
      </c>
      <c r="AC172" s="2">
        <v>2.0985717282765401</v>
      </c>
      <c r="AD172" s="2">
        <v>2.3258442905905601</v>
      </c>
      <c r="AE172" s="2">
        <v>0.47560442691659699</v>
      </c>
      <c r="AF172" s="2">
        <v>0.40938901830810198</v>
      </c>
      <c r="AG172" s="2">
        <v>0.98561234211447202</v>
      </c>
      <c r="AH172" s="2">
        <v>0.92502740223990698</v>
      </c>
      <c r="AI172" s="2">
        <v>-0.62086365136105703</v>
      </c>
      <c r="AJ172" s="2">
        <v>0.99477334975704701</v>
      </c>
      <c r="AK172" s="2">
        <v>2.93396983894436E-2</v>
      </c>
      <c r="AL172" s="2">
        <v>5.3401831047520698</v>
      </c>
      <c r="AM172" s="2">
        <v>5.5102824420605803</v>
      </c>
      <c r="AN172" s="2">
        <v>24.826086956521699</v>
      </c>
      <c r="AO172" s="2">
        <v>0.215879017013233</v>
      </c>
      <c r="AP172" s="2">
        <v>9</v>
      </c>
      <c r="AQ172" s="2">
        <v>24.394706994328899</v>
      </c>
      <c r="AR172" s="2">
        <v>94.808695652173895</v>
      </c>
      <c r="AS172" s="2">
        <v>10.147826086956499</v>
      </c>
      <c r="AT172" s="2">
        <v>535.97391304347798</v>
      </c>
      <c r="AU172" s="2">
        <v>0.716062773618377</v>
      </c>
      <c r="AV172" s="2">
        <v>4.9753986778101701E-2</v>
      </c>
      <c r="AW172" s="2">
        <v>7.0591458430348406E-2</v>
      </c>
      <c r="AX172" s="2">
        <v>0.111018964190178</v>
      </c>
      <c r="AY172" s="2">
        <v>250.42641251402901</v>
      </c>
      <c r="AZ172" s="2">
        <v>0.13621457692901201</v>
      </c>
      <c r="BA172" s="2">
        <v>24.327869886506502</v>
      </c>
      <c r="BB172" s="2">
        <v>117</v>
      </c>
    </row>
    <row r="173" spans="1:54" ht="13" x14ac:dyDescent="0.15">
      <c r="A173" s="1" t="s">
        <v>527</v>
      </c>
      <c r="B173" s="1" t="s">
        <v>528</v>
      </c>
      <c r="C173" s="5" t="s">
        <v>529</v>
      </c>
      <c r="D173" s="1" t="s">
        <v>304</v>
      </c>
      <c r="E173" s="2">
        <v>1425</v>
      </c>
      <c r="F173" s="2">
        <v>23090</v>
      </c>
      <c r="G173" s="2">
        <v>8897</v>
      </c>
      <c r="H173" s="2">
        <f t="shared" si="0"/>
        <v>33412</v>
      </c>
      <c r="I173" s="2">
        <v>79301</v>
      </c>
      <c r="J173" s="2">
        <v>1449382</v>
      </c>
      <c r="K173" s="2">
        <f t="shared" si="1"/>
        <v>2.3052583790884668E-2</v>
      </c>
      <c r="M173" s="2">
        <v>0.35919029967650301</v>
      </c>
      <c r="N173" s="2">
        <v>0.32674037574098602</v>
      </c>
      <c r="O173" s="2">
        <v>9.9560990466723105</v>
      </c>
      <c r="P173" s="2">
        <v>30.470978752147602</v>
      </c>
      <c r="Q173" s="2">
        <v>33.060550509633103</v>
      </c>
      <c r="R173" s="2">
        <v>10.944879989420199</v>
      </c>
      <c r="S173" s="2">
        <v>0.497352037103169</v>
      </c>
      <c r="T173" s="2">
        <v>1209.4317051778901</v>
      </c>
      <c r="U173" s="2">
        <v>399.4</v>
      </c>
      <c r="V173" s="2">
        <v>971.6</v>
      </c>
      <c r="W173" s="2">
        <v>853.81868072857299</v>
      </c>
      <c r="X173" s="2">
        <v>237777.31743858801</v>
      </c>
      <c r="Y173" s="2">
        <v>-3200.67003922397</v>
      </c>
      <c r="Z173" s="2">
        <v>262.00805302388602</v>
      </c>
      <c r="AA173" s="2">
        <v>38.024919785693598</v>
      </c>
      <c r="AB173" s="2">
        <v>0.74641309295729696</v>
      </c>
      <c r="AC173" s="2">
        <v>4.4635973004196998</v>
      </c>
      <c r="AD173" s="2">
        <v>3.6199529509087802</v>
      </c>
      <c r="AE173" s="2">
        <v>0.31523259793164699</v>
      </c>
      <c r="AF173" s="2">
        <v>0.22571478140488099</v>
      </c>
      <c r="AG173" s="2">
        <v>0.98821776750217105</v>
      </c>
      <c r="AH173" s="2">
        <v>0.92915940981804102</v>
      </c>
      <c r="AI173" s="2">
        <v>-0.226287326792108</v>
      </c>
      <c r="AJ173" s="2">
        <v>0.94332294264222705</v>
      </c>
      <c r="AK173" s="2">
        <v>3.1336722131570099E-3</v>
      </c>
      <c r="AL173" s="2">
        <v>8.8910297207675697</v>
      </c>
      <c r="AM173" s="2">
        <v>7.2122741813360802</v>
      </c>
      <c r="AN173" s="2">
        <v>301.35228070175401</v>
      </c>
      <c r="AO173" s="2">
        <v>0.21147528470298599</v>
      </c>
      <c r="AP173" s="2">
        <v>55.759298245613998</v>
      </c>
      <c r="AQ173" s="2">
        <v>74.608588981224997</v>
      </c>
      <c r="AR173" s="2">
        <v>851.86385964912301</v>
      </c>
      <c r="AS173" s="2">
        <v>9.8322807017543905</v>
      </c>
      <c r="AT173" s="2">
        <v>8470.0224561403502</v>
      </c>
      <c r="AU173" s="2">
        <v>2.6917815593952499E-2</v>
      </c>
      <c r="AV173" s="2">
        <v>3.8137534675208298E-3</v>
      </c>
      <c r="AW173" s="2">
        <v>6.6265471982582799E-2</v>
      </c>
      <c r="AX173" s="2">
        <v>9.0449681748443495E-3</v>
      </c>
      <c r="AY173" s="2">
        <v>2547.1113558665002</v>
      </c>
      <c r="AZ173" s="2">
        <v>0.144233557938378</v>
      </c>
      <c r="BA173" s="2">
        <v>8.8067312506101505</v>
      </c>
      <c r="BB173" s="2">
        <v>862</v>
      </c>
    </row>
    <row r="174" spans="1:54" ht="13" x14ac:dyDescent="0.15">
      <c r="A174" s="1" t="s">
        <v>530</v>
      </c>
      <c r="B174" s="1" t="s">
        <v>531</v>
      </c>
      <c r="C174" s="5" t="s">
        <v>532</v>
      </c>
      <c r="D174" s="1" t="s">
        <v>304</v>
      </c>
      <c r="E174" s="2">
        <v>29051</v>
      </c>
      <c r="F174" s="2">
        <v>44510</v>
      </c>
      <c r="G174" s="2">
        <v>18844</v>
      </c>
      <c r="H174" s="2">
        <f t="shared" si="0"/>
        <v>92405</v>
      </c>
      <c r="I174" s="2">
        <v>138033</v>
      </c>
      <c r="J174" s="2">
        <v>1369302</v>
      </c>
      <c r="K174" s="2">
        <f t="shared" si="1"/>
        <v>6.7483287105401149E-2</v>
      </c>
      <c r="M174" s="2">
        <v>0.90600624111641004</v>
      </c>
      <c r="N174" s="2">
        <v>0.62028247060627895</v>
      </c>
      <c r="O174" s="2">
        <v>26.459850591479</v>
      </c>
      <c r="P174" s="2">
        <v>42.657743601260499</v>
      </c>
      <c r="Q174" s="2">
        <v>46.0434577328854</v>
      </c>
      <c r="R174" s="2">
        <v>38.648181934685603</v>
      </c>
      <c r="S174" s="2">
        <v>0.62757723491679496</v>
      </c>
      <c r="T174" s="2">
        <v>7269.6830535843601</v>
      </c>
      <c r="U174" s="2">
        <v>808</v>
      </c>
      <c r="V174" s="2">
        <v>1125</v>
      </c>
      <c r="W174" s="2">
        <v>1616.4147685645901</v>
      </c>
      <c r="X174" s="2">
        <v>252526.59639134299</v>
      </c>
      <c r="Y174" s="2">
        <v>-4241.7834799226803</v>
      </c>
      <c r="Z174" s="2">
        <v>146.185194334991</v>
      </c>
      <c r="AA174" s="2">
        <v>14.3847669940982</v>
      </c>
      <c r="AB174" s="2">
        <v>0.81985040481382299</v>
      </c>
      <c r="AC174" s="2">
        <v>2.5612633198986199</v>
      </c>
      <c r="AD174" s="2">
        <v>2.91761608312996</v>
      </c>
      <c r="AE174" s="2">
        <v>0.43146333500010198</v>
      </c>
      <c r="AF174" s="2">
        <v>0.35720635039933402</v>
      </c>
      <c r="AG174" s="2">
        <v>0.99510502787988098</v>
      </c>
      <c r="AH174" s="2">
        <v>0.95604589155213504</v>
      </c>
      <c r="AI174" s="2">
        <v>-0.17914488984614901</v>
      </c>
      <c r="AJ174" s="2">
        <v>0.86924430047686896</v>
      </c>
      <c r="AK174" s="2">
        <v>7.6451295238964597E-3</v>
      </c>
      <c r="AL174" s="2">
        <v>7.8977349208468297</v>
      </c>
      <c r="AM174" s="2">
        <v>7.6017601797898404</v>
      </c>
      <c r="AN174" s="2">
        <v>3341.1322501807199</v>
      </c>
      <c r="AO174" s="2">
        <v>0.11500919934531401</v>
      </c>
      <c r="AP174" s="2">
        <v>1854.7816254173699</v>
      </c>
      <c r="AQ174" s="2">
        <v>42.711643547445703</v>
      </c>
      <c r="AR174" s="2">
        <v>1607.23259096072</v>
      </c>
      <c r="AS174" s="2">
        <v>30.456335410140799</v>
      </c>
      <c r="AT174" s="2">
        <v>51508.334308629703</v>
      </c>
      <c r="AU174" s="2">
        <v>2.98538289321791E-2</v>
      </c>
      <c r="AV174" s="2">
        <v>1.1569074166583001E-3</v>
      </c>
      <c r="AW174" s="2">
        <v>0.70216286848380505</v>
      </c>
      <c r="AX174" s="2">
        <v>4.5767237601937103E-4</v>
      </c>
      <c r="AY174" s="2">
        <v>2205.6165214047101</v>
      </c>
      <c r="AZ174" s="2">
        <v>4.5735858587718899E-2</v>
      </c>
      <c r="BA174" s="2">
        <v>1.0739647858874299</v>
      </c>
      <c r="BB174" s="2">
        <v>351</v>
      </c>
    </row>
    <row r="175" spans="1:54" ht="13" x14ac:dyDescent="0.15">
      <c r="A175" s="1" t="s">
        <v>533</v>
      </c>
      <c r="B175" s="1" t="s">
        <v>534</v>
      </c>
      <c r="C175" s="5" t="s">
        <v>535</v>
      </c>
      <c r="D175" s="1" t="s">
        <v>304</v>
      </c>
      <c r="E175" s="2">
        <v>1449</v>
      </c>
      <c r="F175" s="2">
        <v>15444</v>
      </c>
      <c r="G175" s="2">
        <v>10956</v>
      </c>
      <c r="H175" s="2">
        <f t="shared" si="0"/>
        <v>27849</v>
      </c>
      <c r="I175" s="2">
        <v>44834</v>
      </c>
      <c r="J175" s="2">
        <v>1382928</v>
      </c>
      <c r="K175" s="2">
        <f t="shared" si="1"/>
        <v>2.0137707819929889E-2</v>
      </c>
      <c r="M175" s="2">
        <v>0.70410096502877395</v>
      </c>
      <c r="N175" s="2">
        <v>0.58441781995452102</v>
      </c>
      <c r="O175" s="2">
        <v>11.9411181759484</v>
      </c>
      <c r="P175" s="2">
        <v>20.432501830415902</v>
      </c>
      <c r="Q175" s="2">
        <v>22.360679774997902</v>
      </c>
      <c r="R175" s="2">
        <v>14.386544256748</v>
      </c>
      <c r="S175" s="2">
        <v>0.70562603133994795</v>
      </c>
      <c r="T175" s="2">
        <v>865.24200493710896</v>
      </c>
      <c r="U175" s="2">
        <v>734.8</v>
      </c>
      <c r="V175" s="2">
        <v>1186.2</v>
      </c>
      <c r="W175" s="2">
        <v>522.44716045426901</v>
      </c>
      <c r="X175" s="2">
        <v>63931.582414259501</v>
      </c>
      <c r="Y175" s="2">
        <v>310.73271728258999</v>
      </c>
      <c r="Z175" s="2">
        <v>159.34081722206099</v>
      </c>
      <c r="AA175" s="2">
        <v>34.276259560462499</v>
      </c>
      <c r="AB175" s="2">
        <v>0.64625910467001002</v>
      </c>
      <c r="AC175" s="2">
        <v>4.4652113383932504</v>
      </c>
      <c r="AD175" s="2">
        <v>3.5975460041361802</v>
      </c>
      <c r="AE175" s="2">
        <v>0.30270053713755701</v>
      </c>
      <c r="AF175" s="2">
        <v>0.21114725148590299</v>
      </c>
      <c r="AG175" s="2">
        <v>0.97915899201934598</v>
      </c>
      <c r="AH175" s="2">
        <v>0.90348677494531904</v>
      </c>
      <c r="AI175" s="2">
        <v>-0.158304017944459</v>
      </c>
      <c r="AJ175" s="2">
        <v>0.87491744461507304</v>
      </c>
      <c r="AK175" s="2">
        <v>2.75268053425467E-3</v>
      </c>
      <c r="AL175" s="2">
        <v>8.85112990074661</v>
      </c>
      <c r="AM175" s="2">
        <v>6.99492786361842</v>
      </c>
      <c r="AN175" s="2">
        <v>323.20841959972398</v>
      </c>
      <c r="AO175" s="2">
        <v>0.22305619019994799</v>
      </c>
      <c r="AP175" s="2">
        <v>58.435472739820597</v>
      </c>
      <c r="AQ175" s="2">
        <v>48.8681573308452</v>
      </c>
      <c r="AR175" s="2">
        <v>511.72670807453397</v>
      </c>
      <c r="AS175" s="2">
        <v>8.9240855762594897</v>
      </c>
      <c r="AT175" s="2">
        <v>4928.6818495514099</v>
      </c>
      <c r="AU175" s="2">
        <v>2.6624257959352401E-2</v>
      </c>
      <c r="AV175" s="2">
        <v>4.7406949136068301E-3</v>
      </c>
      <c r="AW175" s="2">
        <v>0.16900488263625299</v>
      </c>
      <c r="AX175" s="2">
        <v>7.9405971026931393E-3</v>
      </c>
      <c r="AY175" s="2">
        <v>1449.1891533186599</v>
      </c>
      <c r="AZ175" s="2">
        <v>0.164135548723887</v>
      </c>
      <c r="BA175" s="2">
        <v>3.84618495019707</v>
      </c>
      <c r="BB175" s="2">
        <v>297</v>
      </c>
    </row>
    <row r="176" spans="1:54" ht="13" x14ac:dyDescent="0.15">
      <c r="A176" s="1" t="s">
        <v>536</v>
      </c>
      <c r="B176" s="1" t="s">
        <v>537</v>
      </c>
      <c r="C176" s="1" t="s">
        <v>538</v>
      </c>
      <c r="D176" s="1" t="s">
        <v>304</v>
      </c>
      <c r="E176" s="2">
        <v>1405</v>
      </c>
      <c r="F176" s="2">
        <v>50797</v>
      </c>
      <c r="G176" s="2">
        <v>7133</v>
      </c>
      <c r="H176" s="2">
        <f t="shared" si="0"/>
        <v>59335</v>
      </c>
      <c r="I176" s="2">
        <v>100859</v>
      </c>
      <c r="J176" s="2">
        <v>1517992</v>
      </c>
      <c r="K176" s="2">
        <f t="shared" si="1"/>
        <v>3.9087821279690536E-2</v>
      </c>
      <c r="M176" s="2">
        <v>0.35680495526671802</v>
      </c>
      <c r="N176" s="2">
        <v>0.31976554192988299</v>
      </c>
      <c r="O176" s="2">
        <v>15.4335110315733</v>
      </c>
      <c r="P176" s="2">
        <v>48.265084906983098</v>
      </c>
      <c r="Q176" s="2">
        <v>21.470910553583899</v>
      </c>
      <c r="R176" s="2">
        <v>17.221221461180502</v>
      </c>
      <c r="S176" s="2">
        <v>0.26378916904620597</v>
      </c>
      <c r="T176" s="2">
        <v>2128.08129597282</v>
      </c>
      <c r="U176" s="2">
        <v>657.4</v>
      </c>
      <c r="V176" s="2">
        <v>1187</v>
      </c>
      <c r="W176" s="2">
        <v>495.70289846268599</v>
      </c>
      <c r="X176" s="2">
        <v>118109.888984953</v>
      </c>
      <c r="Y176" s="2">
        <v>-6.2511669331769397</v>
      </c>
      <c r="Z176" s="2">
        <v>232.41504189869201</v>
      </c>
      <c r="AA176" s="2">
        <v>13.1057287154436</v>
      </c>
      <c r="AB176" s="2">
        <v>0.89274837132599805</v>
      </c>
      <c r="AC176" s="2">
        <v>2.7291028501091499</v>
      </c>
      <c r="AD176" s="2">
        <v>2.9558622813638502</v>
      </c>
      <c r="AE176" s="2">
        <v>0.398582169725749</v>
      </c>
      <c r="AF176" s="2">
        <v>0.317425414519097</v>
      </c>
      <c r="AG176" s="2">
        <v>0.99205661524759003</v>
      </c>
      <c r="AH176" s="2">
        <v>0.93885482230190298</v>
      </c>
      <c r="AI176" s="2">
        <v>-0.31620131490950398</v>
      </c>
      <c r="AJ176" s="2">
        <v>0.97569802144728801</v>
      </c>
      <c r="AK176" s="2">
        <v>4.1864983657519898E-3</v>
      </c>
      <c r="AL176" s="2">
        <v>8.2469062595945797</v>
      </c>
      <c r="AM176" s="2">
        <v>7.19987620597872</v>
      </c>
      <c r="AN176" s="2">
        <v>292.47758007117397</v>
      </c>
      <c r="AO176" s="2">
        <v>0.20816909613606699</v>
      </c>
      <c r="AP176" s="2">
        <v>49.310320284697497</v>
      </c>
      <c r="AQ176" s="2">
        <v>62.549311178936399</v>
      </c>
      <c r="AR176" s="2">
        <v>470.73309608540899</v>
      </c>
      <c r="AS176" s="2">
        <v>10.638434163701101</v>
      </c>
      <c r="AT176" s="2">
        <v>5341.1288256227799</v>
      </c>
      <c r="AU176" s="2">
        <v>4.9032844728168198E-2</v>
      </c>
      <c r="AV176" s="2">
        <v>5.5481669570014098E-3</v>
      </c>
      <c r="AW176" s="2">
        <v>0.13278051212533301</v>
      </c>
      <c r="AX176" s="2">
        <v>1.23717064329197E-2</v>
      </c>
      <c r="AY176" s="2">
        <v>968.05196363874904</v>
      </c>
      <c r="AZ176" s="2">
        <v>0.14119637196229201</v>
      </c>
      <c r="BA176" s="2">
        <v>6.3141780543919204</v>
      </c>
      <c r="BB176" s="2">
        <v>692</v>
      </c>
    </row>
    <row r="177" spans="1:54" ht="13" x14ac:dyDescent="0.15">
      <c r="A177" s="1" t="s">
        <v>539</v>
      </c>
      <c r="B177" s="1" t="s">
        <v>540</v>
      </c>
      <c r="C177" s="1" t="s">
        <v>541</v>
      </c>
      <c r="D177" s="1" t="s">
        <v>304</v>
      </c>
      <c r="E177" s="2">
        <v>22889</v>
      </c>
      <c r="F177" s="2">
        <v>110884</v>
      </c>
      <c r="G177" s="2">
        <v>35912</v>
      </c>
      <c r="H177" s="2">
        <f t="shared" si="0"/>
        <v>169685</v>
      </c>
      <c r="I177" s="2">
        <v>305514</v>
      </c>
      <c r="J177" s="2">
        <v>1615775</v>
      </c>
      <c r="K177" s="2">
        <f t="shared" si="1"/>
        <v>0.10501771595673903</v>
      </c>
      <c r="M177" s="2">
        <v>0.79237874933763397</v>
      </c>
      <c r="N177" s="2">
        <v>0.69096231328903501</v>
      </c>
      <c r="O177" s="2">
        <v>30.729417446952901</v>
      </c>
      <c r="P177" s="2">
        <v>44.4733625205671</v>
      </c>
      <c r="Q177" s="2">
        <v>52.201532544552798</v>
      </c>
      <c r="R177" s="2">
        <v>35.2397473728862</v>
      </c>
      <c r="S177" s="2">
        <v>0.36927137190315901</v>
      </c>
      <c r="T177" s="2">
        <v>10455.640553956</v>
      </c>
      <c r="U177" s="2">
        <v>981.8</v>
      </c>
      <c r="V177" s="2">
        <v>1748</v>
      </c>
      <c r="W177" s="2">
        <v>2923.5234777729402</v>
      </c>
      <c r="X177" s="2">
        <v>660354.65677704895</v>
      </c>
      <c r="Y177" s="2">
        <v>-833.00421669831405</v>
      </c>
      <c r="Z177" s="2">
        <v>459.44770192931998</v>
      </c>
      <c r="AA177" s="2">
        <v>35.736154980278002</v>
      </c>
      <c r="AB177" s="2">
        <v>0.85469703971621502</v>
      </c>
      <c r="AC177" s="2">
        <v>4.1500390436708097</v>
      </c>
      <c r="AD177" s="2">
        <v>3.5790993858374098</v>
      </c>
      <c r="AE177" s="2">
        <v>0.3434311052597</v>
      </c>
      <c r="AF177" s="2">
        <v>0.25938809320043399</v>
      </c>
      <c r="AG177" s="2">
        <v>0.99551208489455201</v>
      </c>
      <c r="AH177" s="2">
        <v>0.95687803314431796</v>
      </c>
      <c r="AI177" s="2">
        <v>-0.212988578977963</v>
      </c>
      <c r="AJ177" s="2">
        <v>0.94493358565611796</v>
      </c>
      <c r="AK177" s="2">
        <v>1.81082533810875E-3</v>
      </c>
      <c r="AL177" s="2">
        <v>9.8292762971630498</v>
      </c>
      <c r="AM177" s="2">
        <v>8.35511996846855</v>
      </c>
      <c r="AN177" s="2">
        <v>3723.6467735593501</v>
      </c>
      <c r="AO177" s="2">
        <v>0.16268280718071401</v>
      </c>
      <c r="AP177" s="2">
        <v>561.699724758618</v>
      </c>
      <c r="AQ177" s="2">
        <v>137.66165391617801</v>
      </c>
      <c r="AR177" s="2">
        <v>2819.4073135567301</v>
      </c>
      <c r="AS177" s="2">
        <v>16.354100222814498</v>
      </c>
      <c r="AT177" s="2">
        <v>50540.1808729084</v>
      </c>
      <c r="AU177" s="2">
        <v>6.3899471671190703E-3</v>
      </c>
      <c r="AV177" s="2">
        <v>5.0922544275722604E-4</v>
      </c>
      <c r="AW177" s="2">
        <v>0.24405728404437299</v>
      </c>
      <c r="AX177" s="2">
        <v>8.4829280378805299E-4</v>
      </c>
      <c r="AY177" s="2">
        <v>6760.4559741123803</v>
      </c>
      <c r="AZ177" s="2">
        <v>9.7779256157034505E-2</v>
      </c>
      <c r="BA177" s="2">
        <v>2.2240617826746298</v>
      </c>
      <c r="BB177" s="2">
        <v>580</v>
      </c>
    </row>
    <row r="178" spans="1:54" ht="13" x14ac:dyDescent="0.15">
      <c r="A178" s="1" t="s">
        <v>542</v>
      </c>
      <c r="B178" s="1" t="s">
        <v>543</v>
      </c>
      <c r="C178" s="5" t="s">
        <v>544</v>
      </c>
      <c r="D178" s="1" t="s">
        <v>304</v>
      </c>
      <c r="E178" s="2">
        <v>10873</v>
      </c>
      <c r="F178" s="2">
        <v>40267</v>
      </c>
      <c r="G178" s="2">
        <v>24023</v>
      </c>
      <c r="H178" s="2">
        <f t="shared" si="0"/>
        <v>75163</v>
      </c>
      <c r="I178" s="2">
        <v>102277</v>
      </c>
      <c r="J178" s="2">
        <v>1559723</v>
      </c>
      <c r="K178" s="2">
        <f t="shared" si="1"/>
        <v>4.818996706466469E-2</v>
      </c>
      <c r="M178" s="2">
        <v>0.65140745563407698</v>
      </c>
      <c r="N178" s="2">
        <v>0.47255993460590101</v>
      </c>
      <c r="O178" s="2">
        <v>20.661684863711201</v>
      </c>
      <c r="P178" s="2">
        <v>43.722887512548802</v>
      </c>
      <c r="Q178" s="2">
        <v>43.9317652729776</v>
      </c>
      <c r="R178" s="2">
        <v>28.4814149075244</v>
      </c>
      <c r="S178" s="2">
        <v>0.40033341658119598</v>
      </c>
      <c r="T178" s="2">
        <v>5900.6179232018403</v>
      </c>
      <c r="U178" s="2">
        <v>975</v>
      </c>
      <c r="V178" s="2">
        <v>1233</v>
      </c>
      <c r="W178" s="2">
        <v>585.97720732761195</v>
      </c>
      <c r="X178" s="2">
        <v>11984.222503131299</v>
      </c>
      <c r="Y178" s="2">
        <v>63.855585175221798</v>
      </c>
      <c r="Z178" s="2">
        <v>60.352474976868898</v>
      </c>
      <c r="AA178" s="2">
        <v>7.6273591060160699</v>
      </c>
      <c r="AB178" s="2">
        <v>0.77502381605155601</v>
      </c>
      <c r="AC178" s="2">
        <v>2.0707680797876802</v>
      </c>
      <c r="AD178" s="2">
        <v>2.6224670629314799</v>
      </c>
      <c r="AE178" s="2">
        <v>0.45492116632399299</v>
      </c>
      <c r="AF178" s="2">
        <v>0.38268832390225099</v>
      </c>
      <c r="AG178" s="2">
        <v>0.99554635433872596</v>
      </c>
      <c r="AH178" s="2">
        <v>0.95354654334884403</v>
      </c>
      <c r="AI178" s="2">
        <v>-0.184976065090075</v>
      </c>
      <c r="AJ178" s="2">
        <v>0.86859440342327698</v>
      </c>
      <c r="AK178" s="2">
        <v>8.5593691557830295E-3</v>
      </c>
      <c r="AL178" s="2">
        <v>7.4088354801354201</v>
      </c>
      <c r="AM178" s="2">
        <v>7.2641579105498097</v>
      </c>
      <c r="AN178" s="2">
        <v>1326.781844937</v>
      </c>
      <c r="AO178" s="2">
        <v>0.122025369717373</v>
      </c>
      <c r="AP178" s="2">
        <v>743.25788650786399</v>
      </c>
      <c r="AQ178" s="2">
        <v>17.799870124145698</v>
      </c>
      <c r="AR178" s="2">
        <v>576.01600294307002</v>
      </c>
      <c r="AS178" s="2">
        <v>28.170422146601702</v>
      </c>
      <c r="AT178" s="2">
        <v>16774.159477605099</v>
      </c>
      <c r="AU178" s="2">
        <v>5.2145553439716802E-2</v>
      </c>
      <c r="AV178" s="2">
        <v>2.1325412116000799E-3</v>
      </c>
      <c r="AW178" s="2">
        <v>0.63238777047589401</v>
      </c>
      <c r="AX178" s="2">
        <v>1.29786848165138E-3</v>
      </c>
      <c r="AY178" s="2">
        <v>832.29629434774597</v>
      </c>
      <c r="AZ178" s="2">
        <v>2.8516563557994701E-2</v>
      </c>
      <c r="BA178" s="2">
        <v>0.94419199557478495</v>
      </c>
      <c r="BB178" s="2">
        <v>21</v>
      </c>
    </row>
    <row r="179" spans="1:54" ht="13" x14ac:dyDescent="0.15">
      <c r="A179" s="1" t="s">
        <v>545</v>
      </c>
      <c r="B179" s="1" t="s">
        <v>546</v>
      </c>
      <c r="C179" s="5" t="s">
        <v>547</v>
      </c>
      <c r="D179" s="1" t="s">
        <v>304</v>
      </c>
      <c r="E179" s="2">
        <v>3545</v>
      </c>
      <c r="F179" s="2">
        <v>81990</v>
      </c>
      <c r="G179" s="2">
        <v>27505</v>
      </c>
      <c r="H179" s="2">
        <f t="shared" si="0"/>
        <v>113040</v>
      </c>
      <c r="I179" s="2">
        <v>155336</v>
      </c>
      <c r="J179" s="2">
        <v>1658086</v>
      </c>
      <c r="K179" s="2">
        <f t="shared" si="1"/>
        <v>6.8174992129479417E-2</v>
      </c>
      <c r="M179" s="2">
        <v>0.54305545566789504</v>
      </c>
      <c r="N179" s="2">
        <v>0.42005668405970598</v>
      </c>
      <c r="O179" s="2">
        <v>16.9308534104964</v>
      </c>
      <c r="P179" s="2">
        <v>40.306115943366102</v>
      </c>
      <c r="Q179" s="2">
        <v>37.483329627982599</v>
      </c>
      <c r="R179" s="2">
        <v>21.888456159827701</v>
      </c>
      <c r="S179" s="2">
        <v>0.286714018230184</v>
      </c>
      <c r="T179" s="2">
        <v>3775.0976835646102</v>
      </c>
      <c r="U179" s="2">
        <v>595.4</v>
      </c>
      <c r="V179" s="2">
        <v>1187.5999999999999</v>
      </c>
      <c r="W179" s="2">
        <v>628.04513744336305</v>
      </c>
      <c r="X179" s="2">
        <v>250654.21788503</v>
      </c>
      <c r="Y179" s="2">
        <v>619.01167548069498</v>
      </c>
      <c r="Z179" s="2">
        <v>325.66205552447599</v>
      </c>
      <c r="AA179" s="2">
        <v>13.301289230335099</v>
      </c>
      <c r="AB179" s="2">
        <v>0.92161767785013005</v>
      </c>
      <c r="AC179" s="2">
        <v>2.7275034260902902</v>
      </c>
      <c r="AD179" s="2">
        <v>2.96527893164878</v>
      </c>
      <c r="AE179" s="2">
        <v>0.40103385004566999</v>
      </c>
      <c r="AF179" s="2">
        <v>0.31927136016659602</v>
      </c>
      <c r="AG179" s="2">
        <v>0.99436235484815305</v>
      </c>
      <c r="AH179" s="2">
        <v>0.94826042114935605</v>
      </c>
      <c r="AI179" s="2">
        <v>-0.31124602259693201</v>
      </c>
      <c r="AJ179" s="2">
        <v>0.97720712814407495</v>
      </c>
      <c r="AK179" s="2">
        <v>3.3038595109087E-3</v>
      </c>
      <c r="AL179" s="2">
        <v>8.7532719311683103</v>
      </c>
      <c r="AM179" s="2">
        <v>7.7412999519419401</v>
      </c>
      <c r="AN179" s="2">
        <v>606.00028208744698</v>
      </c>
      <c r="AO179" s="2">
        <v>0.17094507252114199</v>
      </c>
      <c r="AP179" s="2">
        <v>116.949788434415</v>
      </c>
      <c r="AQ179" s="2">
        <v>75.993915505061807</v>
      </c>
      <c r="AR179" s="2">
        <v>597.19830747531705</v>
      </c>
      <c r="AS179" s="2">
        <v>15.267418899859001</v>
      </c>
      <c r="AT179" s="2">
        <v>8019.0984485190402</v>
      </c>
      <c r="AU179" s="2">
        <v>6.5973050465300095E-2</v>
      </c>
      <c r="AV179" s="2">
        <v>4.1426071985331001E-3</v>
      </c>
      <c r="AW179" s="2">
        <v>0.18669268593223001</v>
      </c>
      <c r="AX179" s="2">
        <v>5.8087051088162997E-3</v>
      </c>
      <c r="AY179" s="2">
        <v>1307.9560239109301</v>
      </c>
      <c r="AZ179" s="2">
        <v>0.10754807589993499</v>
      </c>
      <c r="BA179" s="2">
        <v>4.6037103255858902</v>
      </c>
      <c r="BB179" s="2">
        <v>343</v>
      </c>
    </row>
    <row r="180" spans="1:54" ht="13" x14ac:dyDescent="0.15">
      <c r="A180" s="1" t="s">
        <v>548</v>
      </c>
      <c r="B180" s="1" t="s">
        <v>549</v>
      </c>
      <c r="C180" s="5" t="s">
        <v>550</v>
      </c>
      <c r="D180" s="1" t="s">
        <v>304</v>
      </c>
      <c r="E180" s="2">
        <v>1857</v>
      </c>
      <c r="F180" s="2">
        <v>52314</v>
      </c>
      <c r="G180" s="2">
        <v>3810</v>
      </c>
      <c r="H180" s="2">
        <f t="shared" si="0"/>
        <v>57981</v>
      </c>
      <c r="I180" s="2">
        <v>132472</v>
      </c>
      <c r="J180" s="2">
        <v>1384316</v>
      </c>
      <c r="K180" s="2">
        <f t="shared" si="1"/>
        <v>4.1884222966432523E-2</v>
      </c>
      <c r="M180" s="2">
        <v>0.83611342004494904</v>
      </c>
      <c r="N180" s="2">
        <v>0.51881469695510796</v>
      </c>
      <c r="O180" s="2">
        <v>9.7237260967328698</v>
      </c>
      <c r="P180" s="2">
        <v>18.742194763951002</v>
      </c>
      <c r="Q180" s="2">
        <v>22.0227155455452</v>
      </c>
      <c r="R180" s="2">
        <v>15.670600563235601</v>
      </c>
      <c r="S180" s="2">
        <v>0.72421063952065401</v>
      </c>
      <c r="T180" s="2">
        <v>999.88248587663202</v>
      </c>
      <c r="U180" s="2">
        <v>907</v>
      </c>
      <c r="V180" s="2">
        <v>1259</v>
      </c>
      <c r="W180" s="2">
        <v>275.83005890072297</v>
      </c>
      <c r="X180" s="2">
        <v>21168.698917407601</v>
      </c>
      <c r="Y180" s="2">
        <v>-309.91467536803901</v>
      </c>
      <c r="Z180" s="2">
        <v>93.828776474450905</v>
      </c>
      <c r="AA180" s="2">
        <v>8.7524221008098202</v>
      </c>
      <c r="AB180" s="2">
        <v>0.82858466267150999</v>
      </c>
      <c r="AC180" s="2">
        <v>2.2802053162051599</v>
      </c>
      <c r="AD180" s="2">
        <v>2.68713774208052</v>
      </c>
      <c r="AE180" s="2">
        <v>0.42603749141137698</v>
      </c>
      <c r="AF180" s="2">
        <v>0.34681336077902603</v>
      </c>
      <c r="AG180" s="2">
        <v>0.98925796731778104</v>
      </c>
      <c r="AH180" s="2">
        <v>0.92806416346233001</v>
      </c>
      <c r="AI180" s="2">
        <v>-0.23021424693727599</v>
      </c>
      <c r="AJ180" s="2">
        <v>0.920594124783083</v>
      </c>
      <c r="AK180" s="2">
        <v>6.3997684630097296E-3</v>
      </c>
      <c r="AL180" s="2">
        <v>7.6606176483037602</v>
      </c>
      <c r="AM180" s="2">
        <v>7.1291496004530899</v>
      </c>
      <c r="AN180" s="2">
        <v>275.10123855681201</v>
      </c>
      <c r="AO180" s="2">
        <v>0.148142831748418</v>
      </c>
      <c r="AP180" s="2">
        <v>98.645665051157806</v>
      </c>
      <c r="AQ180" s="2">
        <v>27.538565308635899</v>
      </c>
      <c r="AR180" s="2">
        <v>264.65212708669901</v>
      </c>
      <c r="AS180" s="2">
        <v>21.553581044695701</v>
      </c>
      <c r="AT180" s="2">
        <v>6711.0818524501901</v>
      </c>
      <c r="AU180" s="2">
        <v>0.131139615246117</v>
      </c>
      <c r="AV180" s="2">
        <v>1.00139808637149E-2</v>
      </c>
      <c r="AW180" s="2">
        <v>0.23852498989697099</v>
      </c>
      <c r="AX180" s="2">
        <v>1.00397804856727E-2</v>
      </c>
      <c r="AY180" s="2">
        <v>338.75951019203598</v>
      </c>
      <c r="AZ180" s="2">
        <v>8.2611446881425604E-2</v>
      </c>
      <c r="BA180" s="2">
        <v>2.4890981084484198</v>
      </c>
      <c r="BB180" s="2">
        <v>303</v>
      </c>
    </row>
    <row r="181" spans="1:54" ht="13" x14ac:dyDescent="0.15">
      <c r="A181" s="1" t="s">
        <v>551</v>
      </c>
      <c r="B181" s="1" t="s">
        <v>552</v>
      </c>
      <c r="C181" s="5" t="s">
        <v>553</v>
      </c>
      <c r="D181" s="1" t="s">
        <v>304</v>
      </c>
      <c r="E181" s="2">
        <v>16558</v>
      </c>
      <c r="F181" s="2">
        <v>40539</v>
      </c>
      <c r="G181" s="2">
        <v>40108</v>
      </c>
      <c r="H181" s="2">
        <f t="shared" si="0"/>
        <v>97205</v>
      </c>
      <c r="I181" s="2">
        <v>140209</v>
      </c>
      <c r="J181" s="2">
        <v>1319833</v>
      </c>
      <c r="K181" s="2">
        <f t="shared" si="1"/>
        <v>7.3649469288917607E-2</v>
      </c>
      <c r="M181" s="2">
        <v>0.47073561566083999</v>
      </c>
      <c r="N181" s="2">
        <v>0.38899346980932997</v>
      </c>
      <c r="O181" s="2">
        <v>23.479429887047999</v>
      </c>
      <c r="P181" s="2">
        <v>60.359444847638898</v>
      </c>
      <c r="Q181" s="2">
        <v>52.697248505021598</v>
      </c>
      <c r="R181" s="2">
        <v>28.413340431299901</v>
      </c>
      <c r="S181" s="2">
        <v>0.20579362109747801</v>
      </c>
      <c r="T181" s="2">
        <v>14732.419622766</v>
      </c>
      <c r="U181" s="2">
        <v>848</v>
      </c>
      <c r="V181" s="2">
        <v>1537.3</v>
      </c>
      <c r="W181" s="2">
        <v>1874.4135082953101</v>
      </c>
      <c r="X181" s="2">
        <v>387741.54920015601</v>
      </c>
      <c r="Y181" s="2">
        <v>-610.27357615304095</v>
      </c>
      <c r="Z181" s="2">
        <v>386.63700796940299</v>
      </c>
      <c r="AA181" s="2">
        <v>27.500549786321901</v>
      </c>
      <c r="AB181" s="2">
        <v>0.86693621810996402</v>
      </c>
      <c r="AC181" s="2">
        <v>3.91396248603363</v>
      </c>
      <c r="AD181" s="2">
        <v>3.4539727857620099</v>
      </c>
      <c r="AE181" s="2">
        <v>0.33077822157952802</v>
      </c>
      <c r="AF181" s="2">
        <v>0.240884535416648</v>
      </c>
      <c r="AG181" s="2">
        <v>0.99557200055863404</v>
      </c>
      <c r="AH181" s="2">
        <v>0.95384342357849705</v>
      </c>
      <c r="AI181" s="2">
        <v>-0.21631598565437199</v>
      </c>
      <c r="AJ181" s="2">
        <v>0.94295695142861102</v>
      </c>
      <c r="AK181" s="2">
        <v>1.7366793674822799E-3</v>
      </c>
      <c r="AL181" s="2">
        <v>9.5756002102552795</v>
      </c>
      <c r="AM181" s="2">
        <v>7.8373226096596502</v>
      </c>
      <c r="AN181" s="2">
        <v>3438.2441116076802</v>
      </c>
      <c r="AO181" s="2">
        <v>0.207648515014355</v>
      </c>
      <c r="AP181" s="2">
        <v>438.17840318879098</v>
      </c>
      <c r="AQ181" s="2">
        <v>108.885804555498</v>
      </c>
      <c r="AR181" s="2">
        <v>1700.4900350283899</v>
      </c>
      <c r="AS181" s="2">
        <v>10.487377702621099</v>
      </c>
      <c r="AT181" s="2">
        <v>19283.434955912599</v>
      </c>
      <c r="AU181" s="2">
        <v>7.9833955088987607E-3</v>
      </c>
      <c r="AV181" s="2">
        <v>8.8192728587725103E-4</v>
      </c>
      <c r="AW181" s="2">
        <v>0.30247565568749701</v>
      </c>
      <c r="AX181" s="2">
        <v>1.0541781621948099E-3</v>
      </c>
      <c r="AY181" s="2">
        <v>5213.6709343534503</v>
      </c>
      <c r="AZ181" s="2">
        <v>9.2156191131248705E-2</v>
      </c>
      <c r="BA181" s="2">
        <v>2.28321615566685</v>
      </c>
      <c r="BB181" s="2">
        <v>211</v>
      </c>
    </row>
    <row r="182" spans="1:54" ht="13" x14ac:dyDescent="0.15">
      <c r="A182" s="1" t="s">
        <v>554</v>
      </c>
      <c r="B182" s="1" t="s">
        <v>555</v>
      </c>
      <c r="C182" s="5" t="s">
        <v>556</v>
      </c>
      <c r="D182" s="1" t="s">
        <v>304</v>
      </c>
      <c r="E182" s="2">
        <v>2363</v>
      </c>
      <c r="F182" s="2">
        <v>9408</v>
      </c>
      <c r="G182" s="2">
        <v>7693</v>
      </c>
      <c r="H182" s="2">
        <f t="shared" si="0"/>
        <v>19464</v>
      </c>
      <c r="I182" s="2">
        <v>25101</v>
      </c>
      <c r="J182" s="2">
        <v>1578363</v>
      </c>
      <c r="K182" s="2">
        <f t="shared" si="1"/>
        <v>1.2331763985851164E-2</v>
      </c>
      <c r="M182" s="2">
        <v>0.68194253768727597</v>
      </c>
      <c r="N182" s="2">
        <v>0.42606218764266202</v>
      </c>
      <c r="O182" s="2">
        <v>11.474799748917601</v>
      </c>
      <c r="P182" s="2">
        <v>26.932218069868998</v>
      </c>
      <c r="Q182" s="2">
        <v>28.071337695236402</v>
      </c>
      <c r="R182" s="2">
        <v>18.366225136113599</v>
      </c>
      <c r="S182" s="2">
        <v>0.43576089635359899</v>
      </c>
      <c r="T182" s="2">
        <v>1940.1809610994601</v>
      </c>
      <c r="U182" s="2">
        <v>805</v>
      </c>
      <c r="V182" s="2">
        <v>1104</v>
      </c>
      <c r="W182" s="2">
        <v>316.13686355707699</v>
      </c>
      <c r="X182" s="2">
        <v>12018.2861588904</v>
      </c>
      <c r="Y182" s="2">
        <v>-76.9078278409783</v>
      </c>
      <c r="Z182" s="2">
        <v>64.579854211906294</v>
      </c>
      <c r="AA182" s="2">
        <v>13.9977155171501</v>
      </c>
      <c r="AB182" s="2">
        <v>0.64356348768363603</v>
      </c>
      <c r="AC182" s="2">
        <v>2.8803653755449798</v>
      </c>
      <c r="AD182" s="2">
        <v>3.0083906541177599</v>
      </c>
      <c r="AE182" s="2">
        <v>0.38160196453467699</v>
      </c>
      <c r="AF182" s="2">
        <v>0.29527928475232201</v>
      </c>
      <c r="AG182" s="2">
        <v>0.98522538452407804</v>
      </c>
      <c r="AH182" s="2">
        <v>0.91689039340328005</v>
      </c>
      <c r="AI182" s="2">
        <v>-0.12978081867511901</v>
      </c>
      <c r="AJ182" s="2">
        <v>0.79096745866465501</v>
      </c>
      <c r="AK182" s="2">
        <v>5.9143594187697802E-3</v>
      </c>
      <c r="AL182" s="2">
        <v>7.8145867353410399</v>
      </c>
      <c r="AM182" s="2">
        <v>6.8332967161475304</v>
      </c>
      <c r="AN182" s="2">
        <v>407.92678798138002</v>
      </c>
      <c r="AO182" s="2">
        <v>0.17263088784654201</v>
      </c>
      <c r="AP182" s="2">
        <v>145.46889547185799</v>
      </c>
      <c r="AQ182" s="2">
        <v>21.134087746108399</v>
      </c>
      <c r="AR182" s="2">
        <v>299.04824375793498</v>
      </c>
      <c r="AS182" s="2">
        <v>14.421074904782101</v>
      </c>
      <c r="AT182" s="2">
        <v>4785.2852306390196</v>
      </c>
      <c r="AU182" s="2">
        <v>5.85234071635563E-2</v>
      </c>
      <c r="AV182" s="2">
        <v>5.9913631630345403E-3</v>
      </c>
      <c r="AW182" s="2">
        <v>0.43706361114515802</v>
      </c>
      <c r="AX182" s="2">
        <v>4.54109397226511E-3</v>
      </c>
      <c r="AY182" s="2">
        <v>602.44746411241897</v>
      </c>
      <c r="AZ182" s="2">
        <v>9.1176116089224601E-2</v>
      </c>
      <c r="BA182" s="2">
        <v>1.3286058137738299</v>
      </c>
      <c r="BB182" s="2">
        <v>434</v>
      </c>
    </row>
    <row r="183" spans="1:54" ht="13" x14ac:dyDescent="0.15">
      <c r="A183" s="1" t="s">
        <v>557</v>
      </c>
      <c r="B183" s="1" t="s">
        <v>558</v>
      </c>
      <c r="C183" s="5" t="s">
        <v>559</v>
      </c>
      <c r="D183" s="1" t="s">
        <v>304</v>
      </c>
      <c r="E183" s="2">
        <v>4122</v>
      </c>
      <c r="F183" s="2">
        <v>28408</v>
      </c>
      <c r="G183" s="2">
        <v>3691</v>
      </c>
      <c r="H183" s="2">
        <f t="shared" si="0"/>
        <v>36221</v>
      </c>
      <c r="I183" s="2">
        <v>50281</v>
      </c>
      <c r="J183" s="2">
        <v>1529713</v>
      </c>
      <c r="K183" s="2">
        <f t="shared" si="1"/>
        <v>2.3678297824493877E-2</v>
      </c>
      <c r="M183" s="2">
        <v>0.66512509274478804</v>
      </c>
      <c r="N183" s="2">
        <v>0.65472521486067004</v>
      </c>
      <c r="O183" s="2">
        <v>19.8904348461115</v>
      </c>
      <c r="P183" s="2">
        <v>30.379821022082201</v>
      </c>
      <c r="Q183" s="2">
        <v>27.0739727413618</v>
      </c>
      <c r="R183" s="2">
        <v>20.206381274882499</v>
      </c>
      <c r="S183" s="2">
        <v>0.242208899823074</v>
      </c>
      <c r="T183" s="2">
        <v>4851.4550339041998</v>
      </c>
      <c r="U183" s="2">
        <v>597</v>
      </c>
      <c r="V183" s="2">
        <v>931</v>
      </c>
      <c r="W183" s="2">
        <v>558.86653474028401</v>
      </c>
      <c r="X183" s="2">
        <v>37454.996627091699</v>
      </c>
      <c r="Y183" s="2">
        <v>974.33987702663399</v>
      </c>
      <c r="Z183" s="2">
        <v>122.3518932052</v>
      </c>
      <c r="AA183" s="2">
        <v>3.7900329440715099</v>
      </c>
      <c r="AB183" s="2">
        <v>0.93982787101627396</v>
      </c>
      <c r="AC183" s="2">
        <v>1.37299258318458</v>
      </c>
      <c r="AD183" s="2">
        <v>2.1706832479723599</v>
      </c>
      <c r="AE183" s="2">
        <v>0.55892466721858003</v>
      </c>
      <c r="AF183" s="2">
        <v>0.51129053327262297</v>
      </c>
      <c r="AG183" s="2">
        <v>0.99806474435727699</v>
      </c>
      <c r="AH183" s="2">
        <v>0.97059328228097896</v>
      </c>
      <c r="AI183" s="2">
        <v>-0.36016821513782299</v>
      </c>
      <c r="AJ183" s="2">
        <v>0.97121758267548297</v>
      </c>
      <c r="AK183" s="2">
        <v>1.8664117839289399E-2</v>
      </c>
      <c r="AL183" s="2">
        <v>6.7907393921467998</v>
      </c>
      <c r="AM183" s="2">
        <v>7.55856963436805</v>
      </c>
      <c r="AN183" s="2">
        <v>383.44250363901</v>
      </c>
      <c r="AO183" s="2">
        <v>9.3023411848377105E-2</v>
      </c>
      <c r="AP183" s="2">
        <v>301.01213003396401</v>
      </c>
      <c r="AQ183" s="2">
        <v>30.6714568235531</v>
      </c>
      <c r="AR183" s="2">
        <v>543.47088791848603</v>
      </c>
      <c r="AS183" s="2">
        <v>45.528869480834501</v>
      </c>
      <c r="AT183" s="2">
        <v>20926.397137312</v>
      </c>
      <c r="AU183" s="2">
        <v>0.114758272839548</v>
      </c>
      <c r="AV183" s="2">
        <v>2.5556851854866502E-3</v>
      </c>
      <c r="AW183" s="2">
        <v>0.19407389986628501</v>
      </c>
      <c r="AX183" s="2">
        <v>4.6678722145791704E-3</v>
      </c>
      <c r="AY183" s="2">
        <v>629.07339782182498</v>
      </c>
      <c r="AZ183" s="2">
        <v>3.4689570640658897E-2</v>
      </c>
      <c r="BA183" s="2">
        <v>3.8282872684239599</v>
      </c>
      <c r="BB183" s="2">
        <v>996</v>
      </c>
    </row>
    <row r="184" spans="1:54" ht="13" x14ac:dyDescent="0.15">
      <c r="A184" s="1" t="s">
        <v>560</v>
      </c>
      <c r="B184" s="1" t="s">
        <v>561</v>
      </c>
      <c r="C184" s="5" t="s">
        <v>562</v>
      </c>
      <c r="D184" s="1" t="s">
        <v>304</v>
      </c>
      <c r="E184" s="2">
        <v>1900</v>
      </c>
      <c r="F184" s="2">
        <v>7588</v>
      </c>
      <c r="G184" s="2">
        <v>12723</v>
      </c>
      <c r="H184" s="2">
        <f t="shared" si="0"/>
        <v>22211</v>
      </c>
      <c r="I184" s="2">
        <v>42184</v>
      </c>
      <c r="J184" s="2">
        <v>1595587</v>
      </c>
      <c r="K184" s="2">
        <f t="shared" si="1"/>
        <v>1.3920268841498457E-2</v>
      </c>
      <c r="M184" s="2">
        <v>0.92778901173480599</v>
      </c>
      <c r="N184" s="2">
        <v>0.512385765016797</v>
      </c>
      <c r="O184" s="2">
        <v>14.585667275217</v>
      </c>
      <c r="P184" s="2">
        <v>28.466183627757299</v>
      </c>
      <c r="Q184" s="2">
        <v>54.918120870983898</v>
      </c>
      <c r="R184" s="2">
        <v>26.410612375858399</v>
      </c>
      <c r="S184" s="2">
        <v>0.374618826895523</v>
      </c>
      <c r="T184" s="2">
        <v>1936.7153082447301</v>
      </c>
      <c r="U184" s="2">
        <v>901.8</v>
      </c>
      <c r="V184" s="2">
        <v>1365.1</v>
      </c>
      <c r="W184" s="2">
        <v>680.78707278321099</v>
      </c>
      <c r="X184" s="2">
        <v>97206.684991392394</v>
      </c>
      <c r="Y184" s="2">
        <v>200.98471000209199</v>
      </c>
      <c r="Z184" s="2">
        <v>171.16342692865399</v>
      </c>
      <c r="AA184" s="2">
        <v>26.144659907565501</v>
      </c>
      <c r="AB184" s="2">
        <v>0.73347627403328697</v>
      </c>
      <c r="AC184" s="2">
        <v>3.9103280612096101</v>
      </c>
      <c r="AD184" s="2">
        <v>3.4300698843669699</v>
      </c>
      <c r="AE184" s="2">
        <v>0.326725674870597</v>
      </c>
      <c r="AF184" s="2">
        <v>0.23561304545588099</v>
      </c>
      <c r="AG184" s="2">
        <v>0.99030350877400097</v>
      </c>
      <c r="AH184" s="2">
        <v>0.93191867818264695</v>
      </c>
      <c r="AI184" s="2">
        <v>-0.19267353229950401</v>
      </c>
      <c r="AJ184" s="2">
        <v>0.91188695826520305</v>
      </c>
      <c r="AK184" s="2">
        <v>3.2298403952015502E-3</v>
      </c>
      <c r="AL184" s="2">
        <v>8.68559100217308</v>
      </c>
      <c r="AM184" s="2">
        <v>7.0304590907367199</v>
      </c>
      <c r="AN184" s="2">
        <v>424.069473684211</v>
      </c>
      <c r="AO184" s="2">
        <v>0.22319445983379499</v>
      </c>
      <c r="AP184" s="2">
        <v>78.354736842105297</v>
      </c>
      <c r="AQ184" s="2">
        <v>50.527903324099697</v>
      </c>
      <c r="AR184" s="2">
        <v>646.58157894736803</v>
      </c>
      <c r="AS184" s="2">
        <v>9.3936842105263203</v>
      </c>
      <c r="AT184" s="2">
        <v>5601.8510526315804</v>
      </c>
      <c r="AU184" s="2">
        <v>2.4810436613088099E-2</v>
      </c>
      <c r="AV184" s="2">
        <v>2.88696981421232E-3</v>
      </c>
      <c r="AW184" s="2">
        <v>0.143943619571784</v>
      </c>
      <c r="AX184" s="2">
        <v>5.7573805673304399E-3</v>
      </c>
      <c r="AY184" s="2">
        <v>2145.3804463963802</v>
      </c>
      <c r="AZ184" s="2">
        <v>0.117799794184621</v>
      </c>
      <c r="BA184" s="2">
        <v>4.7784280588572496</v>
      </c>
      <c r="BB184" s="2">
        <v>157</v>
      </c>
    </row>
    <row r="185" spans="1:54" ht="13" x14ac:dyDescent="0.15">
      <c r="A185" s="1" t="s">
        <v>563</v>
      </c>
      <c r="B185" s="1" t="s">
        <v>564</v>
      </c>
      <c r="C185" s="5" t="s">
        <v>565</v>
      </c>
      <c r="D185" s="1" t="s">
        <v>304</v>
      </c>
      <c r="E185" s="2">
        <v>2445</v>
      </c>
      <c r="F185" s="2">
        <v>21230</v>
      </c>
      <c r="G185" s="2">
        <v>11700</v>
      </c>
      <c r="H185" s="2">
        <f t="shared" si="0"/>
        <v>35375</v>
      </c>
      <c r="I185" s="2">
        <v>47356</v>
      </c>
      <c r="J185" s="2">
        <v>1630601</v>
      </c>
      <c r="K185" s="2">
        <f t="shared" si="1"/>
        <v>2.1694454989295359E-2</v>
      </c>
      <c r="M185" s="2">
        <v>0.75341827382842896</v>
      </c>
      <c r="N185" s="2">
        <v>0.48083979822709999</v>
      </c>
      <c r="O185" s="2">
        <v>14.464619959695799</v>
      </c>
      <c r="P185" s="2">
        <v>30.0819940716808</v>
      </c>
      <c r="Q185" s="2">
        <v>24.596747752497699</v>
      </c>
      <c r="R185" s="2">
        <v>22.6643240468028</v>
      </c>
      <c r="S185" s="2">
        <v>0.46214081726849299</v>
      </c>
      <c r="T185" s="2">
        <v>1862.7398505988899</v>
      </c>
      <c r="U185" s="2">
        <v>945.4</v>
      </c>
      <c r="V185" s="2">
        <v>1687</v>
      </c>
      <c r="W185" s="2">
        <v>2518.5075001648802</v>
      </c>
      <c r="X185" s="2">
        <v>1546225.4332262899</v>
      </c>
      <c r="Y185" s="2">
        <v>-8905.6382907254992</v>
      </c>
      <c r="Z185" s="2">
        <v>607.51060097309596</v>
      </c>
      <c r="AA185" s="2">
        <v>40.400084417257403</v>
      </c>
      <c r="AB185" s="2">
        <v>0.87350616643357404</v>
      </c>
      <c r="AC185" s="2">
        <v>4.8459924610662704</v>
      </c>
      <c r="AD185" s="2">
        <v>3.7034951971061001</v>
      </c>
      <c r="AE185" s="2">
        <v>0.29105515330189202</v>
      </c>
      <c r="AF185" s="2">
        <v>0.199866451748823</v>
      </c>
      <c r="AG185" s="2">
        <v>0.99367809046180999</v>
      </c>
      <c r="AH185" s="2">
        <v>0.94434771826809305</v>
      </c>
      <c r="AI185" s="2">
        <v>-0.25404928745380501</v>
      </c>
      <c r="AJ185" s="2">
        <v>0.96588650167484003</v>
      </c>
      <c r="AK185" s="2">
        <v>1.5992490158158899E-3</v>
      </c>
      <c r="AL185" s="2">
        <v>9.6694910487321408</v>
      </c>
      <c r="AM185" s="2">
        <v>7.6164426885946499</v>
      </c>
      <c r="AN185" s="2">
        <v>579.05071574642102</v>
      </c>
      <c r="AO185" s="2">
        <v>0.236830558587493</v>
      </c>
      <c r="AP185" s="2">
        <v>62.2719836400818</v>
      </c>
      <c r="AQ185" s="2">
        <v>164.53465751648699</v>
      </c>
      <c r="AR185" s="2">
        <v>2401.6118609406999</v>
      </c>
      <c r="AS185" s="2">
        <v>8.1337423312883406</v>
      </c>
      <c r="AT185" s="2">
        <v>18796.925562372198</v>
      </c>
      <c r="AU185" s="2">
        <v>1.2411766607606799E-2</v>
      </c>
      <c r="AV185" s="2">
        <v>2.00399620348954E-3</v>
      </c>
      <c r="AW185" s="2">
        <v>3.9985492513888603E-2</v>
      </c>
      <c r="AX185" s="2">
        <v>7.1007391491440201E-3</v>
      </c>
      <c r="AY185" s="2">
        <v>5637.9786410025599</v>
      </c>
      <c r="AZ185" s="2">
        <v>0.15627708007878899</v>
      </c>
      <c r="BA185" s="2">
        <v>17.043175177005399</v>
      </c>
      <c r="BB185" s="2">
        <v>154</v>
      </c>
    </row>
    <row r="186" spans="1:54" ht="13" x14ac:dyDescent="0.15">
      <c r="A186" s="1" t="s">
        <v>566</v>
      </c>
      <c r="B186" s="1" t="s">
        <v>567</v>
      </c>
      <c r="C186" s="5" t="s">
        <v>568</v>
      </c>
      <c r="D186" s="1" t="s">
        <v>304</v>
      </c>
      <c r="E186" s="2">
        <v>521</v>
      </c>
      <c r="F186" s="2">
        <v>43966</v>
      </c>
      <c r="G186" s="2">
        <v>13407</v>
      </c>
      <c r="H186" s="2">
        <f t="shared" si="0"/>
        <v>57894</v>
      </c>
      <c r="I186" s="2">
        <v>70955</v>
      </c>
      <c r="J186" s="2">
        <v>1488185</v>
      </c>
      <c r="K186" s="2">
        <f t="shared" si="1"/>
        <v>3.8902421405940794E-2</v>
      </c>
      <c r="M186" s="2">
        <v>0.463877864418623</v>
      </c>
      <c r="N186" s="2">
        <v>0.37586326797654901</v>
      </c>
      <c r="O186" s="2">
        <v>7.8138005972325102</v>
      </c>
      <c r="P186" s="2">
        <v>20.788944445936099</v>
      </c>
      <c r="Q186" s="2">
        <v>18.110770276274799</v>
      </c>
      <c r="R186" s="2">
        <v>9.6435311530982695</v>
      </c>
      <c r="S186" s="2">
        <v>0.55399497897068295</v>
      </c>
      <c r="T186" s="2">
        <v>542.09177198082</v>
      </c>
      <c r="U186" s="2">
        <v>3203</v>
      </c>
      <c r="V186" s="2">
        <v>4666</v>
      </c>
      <c r="W186" s="2">
        <v>5525.5567329191599</v>
      </c>
      <c r="X186" s="2">
        <v>7602909.6020760201</v>
      </c>
      <c r="Y186" s="2">
        <v>-67148.1759588438</v>
      </c>
      <c r="Z186" s="2">
        <v>1209.4613768816801</v>
      </c>
      <c r="AA186" s="2">
        <v>126.816253573719</v>
      </c>
      <c r="AB186" s="2">
        <v>0.80527271556122004</v>
      </c>
      <c r="AC186" s="2">
        <v>8.6557097272156103</v>
      </c>
      <c r="AD186" s="2">
        <v>4.4210162807922098</v>
      </c>
      <c r="AE186" s="2">
        <v>0.20739597294783699</v>
      </c>
      <c r="AF186" s="2">
        <v>0.124533626037722</v>
      </c>
      <c r="AG186" s="2">
        <v>0.98893215194051098</v>
      </c>
      <c r="AH186" s="2">
        <v>0.927332177559958</v>
      </c>
      <c r="AI186" s="2">
        <v>-0.44143092852598098</v>
      </c>
      <c r="AJ186" s="2">
        <v>0.99669759182768003</v>
      </c>
      <c r="AK186" s="2">
        <v>2.3527237508084598E-3</v>
      </c>
      <c r="AL186" s="2">
        <v>8.9159754106461904</v>
      </c>
      <c r="AM186" s="2">
        <v>7.14494908907675</v>
      </c>
      <c r="AN186" s="2">
        <v>192.213051823417</v>
      </c>
      <c r="AO186" s="2">
        <v>0.368931001580454</v>
      </c>
      <c r="AP186" s="2">
        <v>10.408829174664101</v>
      </c>
      <c r="AQ186" s="2">
        <v>463.45944790949</v>
      </c>
      <c r="AR186" s="2">
        <v>5214.6641074855997</v>
      </c>
      <c r="AS186" s="2">
        <v>4.0134357005758199</v>
      </c>
      <c r="AT186" s="2">
        <v>23215.938579654499</v>
      </c>
      <c r="AU186" s="2">
        <v>3.58184765966574E-3</v>
      </c>
      <c r="AV186" s="2">
        <v>2.9263551523267799E-3</v>
      </c>
      <c r="AW186" s="2">
        <v>6.6394083838262202E-3</v>
      </c>
      <c r="AX186" s="2">
        <v>2.0146289980640102E-2</v>
      </c>
      <c r="AY186" s="2">
        <v>21877.4749447965</v>
      </c>
      <c r="AZ186" s="2">
        <v>0.65675921546924598</v>
      </c>
      <c r="BA186" s="2">
        <v>89.180991974896003</v>
      </c>
      <c r="BB186" s="2">
        <v>601</v>
      </c>
    </row>
    <row r="187" spans="1:54" ht="13" x14ac:dyDescent="0.15">
      <c r="A187" s="1" t="s">
        <v>569</v>
      </c>
      <c r="B187" s="1" t="s">
        <v>570</v>
      </c>
      <c r="C187" s="5" t="s">
        <v>571</v>
      </c>
      <c r="D187" s="1" t="s">
        <v>304</v>
      </c>
      <c r="E187" s="2">
        <v>20192</v>
      </c>
      <c r="F187" s="2">
        <v>123059</v>
      </c>
      <c r="G187" s="2">
        <v>28203</v>
      </c>
      <c r="H187" s="2">
        <f t="shared" si="0"/>
        <v>171454</v>
      </c>
      <c r="I187" s="2">
        <v>258919</v>
      </c>
      <c r="J187" s="2">
        <v>1667086</v>
      </c>
      <c r="K187" s="2">
        <f t="shared" si="1"/>
        <v>0.10284652381460825</v>
      </c>
      <c r="M187" s="2">
        <v>0.69938889818126104</v>
      </c>
      <c r="N187" s="2">
        <v>0.44242958941591598</v>
      </c>
      <c r="O187" s="2">
        <v>21.677829269779899</v>
      </c>
      <c r="P187" s="2">
        <v>48.9972411167129</v>
      </c>
      <c r="Q187" s="2">
        <v>59.008473967727703</v>
      </c>
      <c r="R187" s="2">
        <v>34.268126478539401</v>
      </c>
      <c r="S187" s="2">
        <v>0.41352192939244398</v>
      </c>
      <c r="T187" s="2">
        <v>8589.6989359916006</v>
      </c>
      <c r="U187" s="2">
        <v>1232</v>
      </c>
      <c r="V187" s="2">
        <v>1939</v>
      </c>
      <c r="W187" s="2">
        <v>2957.4115006101802</v>
      </c>
      <c r="X187" s="2">
        <v>445283.83901602199</v>
      </c>
      <c r="Y187" s="2">
        <v>3837.6742350706099</v>
      </c>
      <c r="Z187" s="2">
        <v>384.15255682987799</v>
      </c>
      <c r="AA187" s="2">
        <v>19.205768230913499</v>
      </c>
      <c r="AB187" s="2">
        <v>0.904573061237264</v>
      </c>
      <c r="AC187" s="2">
        <v>3.0709387045535301</v>
      </c>
      <c r="AD187" s="2">
        <v>3.1839143612745602</v>
      </c>
      <c r="AE187" s="2">
        <v>0.395163879833686</v>
      </c>
      <c r="AF187" s="2">
        <v>0.315481160635598</v>
      </c>
      <c r="AG187" s="2">
        <v>0.99719562869379796</v>
      </c>
      <c r="AH187" s="2">
        <v>0.965114729891701</v>
      </c>
      <c r="AI187" s="2">
        <v>-0.25889569920566402</v>
      </c>
      <c r="AJ187" s="2">
        <v>0.96308078898205096</v>
      </c>
      <c r="AK187" s="2">
        <v>2.8143313971147402E-3</v>
      </c>
      <c r="AL187" s="2">
        <v>9.1370413020356693</v>
      </c>
      <c r="AM187" s="2">
        <v>8.3257427369476105</v>
      </c>
      <c r="AN187" s="2">
        <v>2674.8309231378798</v>
      </c>
      <c r="AO187" s="2">
        <v>0.13246983573384899</v>
      </c>
      <c r="AP187" s="2">
        <v>592.20859746434201</v>
      </c>
      <c r="AQ187" s="2">
        <v>111.224032921042</v>
      </c>
      <c r="AR187" s="2">
        <v>2858.1841323296399</v>
      </c>
      <c r="AS187" s="2">
        <v>25.013470681457999</v>
      </c>
      <c r="AT187" s="2">
        <v>84875.442254358204</v>
      </c>
      <c r="AU187" s="2">
        <v>8.5369932789130503E-3</v>
      </c>
      <c r="AV187" s="2">
        <v>4.8996061440944303E-4</v>
      </c>
      <c r="AW187" s="2">
        <v>0.18889750334493799</v>
      </c>
      <c r="AX187" s="2">
        <v>1.1001062885306399E-3</v>
      </c>
      <c r="AY187" s="2">
        <v>4642.0161294087202</v>
      </c>
      <c r="AZ187" s="2">
        <v>6.4876022061965494E-2</v>
      </c>
      <c r="BA187" s="2">
        <v>3.19044197409487</v>
      </c>
      <c r="BB187" s="2">
        <v>226</v>
      </c>
    </row>
    <row r="188" spans="1:54" ht="13" x14ac:dyDescent="0.15">
      <c r="A188" s="1" t="s">
        <v>572</v>
      </c>
      <c r="B188" s="1" t="s">
        <v>573</v>
      </c>
      <c r="C188" s="5" t="s">
        <v>574</v>
      </c>
      <c r="D188" s="1" t="s">
        <v>304</v>
      </c>
      <c r="E188" s="2">
        <v>2853</v>
      </c>
      <c r="F188" s="2">
        <v>32237</v>
      </c>
      <c r="G188" s="2">
        <v>4321</v>
      </c>
      <c r="H188" s="2">
        <f t="shared" si="0"/>
        <v>39411</v>
      </c>
      <c r="I188" s="2">
        <v>89924</v>
      </c>
      <c r="J188" s="2">
        <v>1438111</v>
      </c>
      <c r="K188" s="2">
        <f t="shared" si="1"/>
        <v>2.7404699637232452E-2</v>
      </c>
      <c r="M188" s="2">
        <v>0.65799387095671802</v>
      </c>
      <c r="N188" s="2">
        <v>0.62298669841341603</v>
      </c>
      <c r="O188" s="2">
        <v>18.057782784316299</v>
      </c>
      <c r="P188" s="2">
        <v>28.985823983569301</v>
      </c>
      <c r="Q188" s="2">
        <v>32.1403173599764</v>
      </c>
      <c r="R188" s="2">
        <v>19.0724945258189</v>
      </c>
      <c r="S188" s="2">
        <v>0.21035409391909901</v>
      </c>
      <c r="T188" s="2">
        <v>4348.7351021102404</v>
      </c>
      <c r="U188" s="2">
        <v>756.2</v>
      </c>
      <c r="V188" s="2">
        <v>1235</v>
      </c>
      <c r="W188" s="2">
        <v>534.70369514014305</v>
      </c>
      <c r="X188" s="2">
        <v>94729.376514879099</v>
      </c>
      <c r="Y188" s="2">
        <v>788.54675354471499</v>
      </c>
      <c r="Z188" s="2">
        <v>176.65327943264401</v>
      </c>
      <c r="AA188" s="2">
        <v>24.1590217927209</v>
      </c>
      <c r="AB188" s="2">
        <v>0.75804116063907001</v>
      </c>
      <c r="AC188" s="2">
        <v>3.6727501857468701</v>
      </c>
      <c r="AD188" s="2">
        <v>3.35018740151747</v>
      </c>
      <c r="AE188" s="2">
        <v>0.33993705847626698</v>
      </c>
      <c r="AF188" s="2">
        <v>0.25028208942401597</v>
      </c>
      <c r="AG188" s="2">
        <v>0.98998671501085</v>
      </c>
      <c r="AH188" s="2">
        <v>0.932323295877862</v>
      </c>
      <c r="AI188" s="2">
        <v>-0.200809715949161</v>
      </c>
      <c r="AJ188" s="2">
        <v>0.91893857403498602</v>
      </c>
      <c r="AK188" s="2">
        <v>3.3262899692032802E-3</v>
      </c>
      <c r="AL188" s="2">
        <v>8.6952924523938098</v>
      </c>
      <c r="AM188" s="2">
        <v>6.9908969978370399</v>
      </c>
      <c r="AN188" s="2">
        <v>711.49351559761703</v>
      </c>
      <c r="AO188" s="2">
        <v>0.24938433774890201</v>
      </c>
      <c r="AP188" s="2">
        <v>112.28215913074</v>
      </c>
      <c r="AQ188" s="2">
        <v>55.302595001799197</v>
      </c>
      <c r="AR188" s="2">
        <v>478.52541184717802</v>
      </c>
      <c r="AS188" s="2">
        <v>7.4058885383806503</v>
      </c>
      <c r="AT188" s="2">
        <v>3599.9891342446599</v>
      </c>
      <c r="AU188" s="2">
        <v>2.3787632545903201E-2</v>
      </c>
      <c r="AV188" s="2">
        <v>4.4545287753225303E-3</v>
      </c>
      <c r="AW188" s="2">
        <v>0.211957261763143</v>
      </c>
      <c r="AX188" s="2">
        <v>4.7249111366091398E-3</v>
      </c>
      <c r="AY188" s="2">
        <v>2020.59405545449</v>
      </c>
      <c r="AZ188" s="2">
        <v>0.102686591057062</v>
      </c>
      <c r="BA188" s="2">
        <v>4.2195101439159197</v>
      </c>
      <c r="BB188" s="2">
        <v>48</v>
      </c>
    </row>
    <row r="189" spans="1:54" ht="13" x14ac:dyDescent="0.15">
      <c r="A189" s="1" t="s">
        <v>575</v>
      </c>
      <c r="B189" s="1" t="s">
        <v>576</v>
      </c>
      <c r="C189" s="5" t="s">
        <v>577</v>
      </c>
      <c r="D189" s="1" t="s">
        <v>304</v>
      </c>
      <c r="E189" s="2">
        <v>455</v>
      </c>
      <c r="F189" s="2">
        <v>20191</v>
      </c>
      <c r="G189" s="2">
        <v>106</v>
      </c>
      <c r="H189" s="2">
        <f t="shared" si="0"/>
        <v>20752</v>
      </c>
      <c r="I189" s="2">
        <v>39548</v>
      </c>
      <c r="J189" s="2">
        <v>1600758</v>
      </c>
      <c r="K189" s="2">
        <f t="shared" si="1"/>
        <v>1.296385837209622E-2</v>
      </c>
      <c r="M189" s="2">
        <v>0.82733222695456099</v>
      </c>
      <c r="N189" s="2">
        <v>0.60827698257292495</v>
      </c>
      <c r="O189" s="2">
        <v>7.7272233532645096</v>
      </c>
      <c r="P189" s="2">
        <v>12.703461703547299</v>
      </c>
      <c r="Q189" s="2">
        <v>13.9283882771841</v>
      </c>
      <c r="R189" s="2">
        <v>10.5099832612278</v>
      </c>
      <c r="S189" s="2">
        <v>0.46181376759764198</v>
      </c>
      <c r="T189" s="2">
        <v>606.55036142284996</v>
      </c>
      <c r="U189" s="2">
        <v>574.4</v>
      </c>
      <c r="V189" s="2">
        <v>753</v>
      </c>
      <c r="W189" s="2">
        <v>88.829884614082999</v>
      </c>
      <c r="X189" s="2">
        <v>1520.1497530204799</v>
      </c>
      <c r="Y189" s="2">
        <v>-107.918414951984</v>
      </c>
      <c r="Z189" s="2">
        <v>23.491216551891998</v>
      </c>
      <c r="AA189" s="2">
        <v>2.2937460231020101</v>
      </c>
      <c r="AB189" s="2">
        <v>0.81897531364932097</v>
      </c>
      <c r="AC189" s="2">
        <v>1.06132503303542</v>
      </c>
      <c r="AD189" s="2">
        <v>1.88761337257244</v>
      </c>
      <c r="AE189" s="2">
        <v>0.617119517317397</v>
      </c>
      <c r="AF189" s="2">
        <v>0.58100163712490205</v>
      </c>
      <c r="AG189" s="2">
        <v>0.98721593345807801</v>
      </c>
      <c r="AH189" s="2">
        <v>0.929537651742394</v>
      </c>
      <c r="AI189" s="2">
        <v>-0.30018367295243498</v>
      </c>
      <c r="AJ189" s="2">
        <v>0.90595895910366897</v>
      </c>
      <c r="AK189" s="2">
        <v>5.3933069459940398E-2</v>
      </c>
      <c r="AL189" s="2">
        <v>5.0620274428647303</v>
      </c>
      <c r="AM189" s="2">
        <v>6.3076900385242203</v>
      </c>
      <c r="AN189" s="2">
        <v>39.826373626373602</v>
      </c>
      <c r="AO189" s="2">
        <v>8.7530491486535397E-2</v>
      </c>
      <c r="AP189" s="2">
        <v>65.646153846153894</v>
      </c>
      <c r="AQ189" s="2">
        <v>7.3275401521555397</v>
      </c>
      <c r="AR189" s="2">
        <v>87.498901098901101</v>
      </c>
      <c r="AS189" s="2">
        <v>56.424175824175798</v>
      </c>
      <c r="AT189" s="2">
        <v>6046.50989010989</v>
      </c>
      <c r="AU189" s="2">
        <v>0.74048222512558903</v>
      </c>
      <c r="AV189" s="2">
        <v>2.2591489326378101E-2</v>
      </c>
      <c r="AW189" s="2">
        <v>0.30642342073200701</v>
      </c>
      <c r="AX189" s="2">
        <v>2.43198611731721E-2</v>
      </c>
      <c r="AY189" s="2">
        <v>52.423058502602402</v>
      </c>
      <c r="AZ189" s="2">
        <v>6.9084909311545706E-2</v>
      </c>
      <c r="BA189" s="2">
        <v>1.95386679632284</v>
      </c>
      <c r="BB189" s="2">
        <v>516</v>
      </c>
    </row>
    <row r="190" spans="1:54" ht="13" x14ac:dyDescent="0.15">
      <c r="A190" s="1" t="s">
        <v>578</v>
      </c>
      <c r="B190" s="1" t="s">
        <v>579</v>
      </c>
      <c r="C190" s="5" t="s">
        <v>580</v>
      </c>
      <c r="D190" s="1" t="s">
        <v>304</v>
      </c>
      <c r="E190" s="2">
        <v>1588</v>
      </c>
      <c r="F190" s="2">
        <v>75783</v>
      </c>
      <c r="G190" s="2">
        <v>6047</v>
      </c>
      <c r="H190" s="2">
        <f t="shared" si="0"/>
        <v>83418</v>
      </c>
      <c r="I190" s="2">
        <v>123791</v>
      </c>
      <c r="J190" s="2">
        <v>1552884</v>
      </c>
      <c r="K190" s="2">
        <f t="shared" si="1"/>
        <v>5.3718114166930689E-2</v>
      </c>
      <c r="M190" s="2">
        <v>0.69189136342638702</v>
      </c>
      <c r="N190" s="2">
        <v>0.68555125570860298</v>
      </c>
      <c r="O190" s="2">
        <v>15.976239838012701</v>
      </c>
      <c r="P190" s="2">
        <v>23.304223725036099</v>
      </c>
      <c r="Q190" s="2">
        <v>27.294688127912401</v>
      </c>
      <c r="R190" s="2">
        <v>16.123991126708798</v>
      </c>
      <c r="S190" s="2">
        <v>0.25195293004680802</v>
      </c>
      <c r="T190" s="2">
        <v>2397.38457252125</v>
      </c>
      <c r="U190" s="2">
        <v>544.70000000000005</v>
      </c>
      <c r="V190" s="2">
        <v>887.3</v>
      </c>
      <c r="W190" s="2">
        <v>582.12207879333801</v>
      </c>
      <c r="X190" s="2">
        <v>26035.191687769999</v>
      </c>
      <c r="Y190" s="2">
        <v>-599.04626296002402</v>
      </c>
      <c r="Z190" s="2">
        <v>90.907633511363798</v>
      </c>
      <c r="AA190" s="2">
        <v>11.602209400188</v>
      </c>
      <c r="AB190" s="2">
        <v>0.76969121578423405</v>
      </c>
      <c r="AC190" s="2">
        <v>2.4925631782369799</v>
      </c>
      <c r="AD190" s="2">
        <v>2.8576054753691902</v>
      </c>
      <c r="AE190" s="2">
        <v>0.42397366798410902</v>
      </c>
      <c r="AF190" s="2">
        <v>0.34778637193824002</v>
      </c>
      <c r="AG190" s="2">
        <v>0.99093051382203001</v>
      </c>
      <c r="AH190" s="2">
        <v>0.93680180000422197</v>
      </c>
      <c r="AI190" s="2">
        <v>-0.22391457663066999</v>
      </c>
      <c r="AJ190" s="2">
        <v>0.91361870543045698</v>
      </c>
      <c r="AK190" s="2">
        <v>7.2887010476353799E-3</v>
      </c>
      <c r="AL190" s="2">
        <v>7.5705267851522704</v>
      </c>
      <c r="AM190" s="2">
        <v>6.8500113360334201</v>
      </c>
      <c r="AN190" s="2">
        <v>284.511335012595</v>
      </c>
      <c r="AO190" s="2">
        <v>0.179163309201886</v>
      </c>
      <c r="AP190" s="2">
        <v>84.474811083123399</v>
      </c>
      <c r="AQ190" s="2">
        <v>28.910306518028801</v>
      </c>
      <c r="AR190" s="2">
        <v>526.63853904282098</v>
      </c>
      <c r="AS190" s="2">
        <v>12.8702770780856</v>
      </c>
      <c r="AT190" s="2">
        <v>7780.8463476070501</v>
      </c>
      <c r="AU190" s="2">
        <v>2.7131584196799299E-2</v>
      </c>
      <c r="AV190" s="2">
        <v>4.0836412077946303E-3</v>
      </c>
      <c r="AW190" s="2">
        <v>0.135990925109851</v>
      </c>
      <c r="AX190" s="2">
        <v>8.8643449297665603E-3</v>
      </c>
      <c r="AY190" s="2">
        <v>771.72735803179899</v>
      </c>
      <c r="AZ190" s="2">
        <v>7.7782273569815E-2</v>
      </c>
      <c r="BA190" s="2">
        <v>4.2275447882555701</v>
      </c>
      <c r="BB190" s="2">
        <v>528</v>
      </c>
    </row>
    <row r="191" spans="1:54" ht="13" x14ac:dyDescent="0.15">
      <c r="A191" s="1" t="s">
        <v>581</v>
      </c>
      <c r="B191" s="1" t="s">
        <v>582</v>
      </c>
      <c r="C191" s="5" t="s">
        <v>583</v>
      </c>
      <c r="D191" s="1" t="s">
        <v>304</v>
      </c>
      <c r="E191" s="2">
        <v>6320</v>
      </c>
      <c r="F191" s="2">
        <v>92222</v>
      </c>
      <c r="G191" s="2">
        <v>40965</v>
      </c>
      <c r="H191" s="2">
        <f t="shared" si="0"/>
        <v>139507</v>
      </c>
      <c r="I191" s="2">
        <v>210419</v>
      </c>
      <c r="J191" s="2">
        <v>1414704</v>
      </c>
      <c r="K191" s="2">
        <f t="shared" si="1"/>
        <v>9.8612147841527276E-2</v>
      </c>
      <c r="M191" s="2">
        <v>0.58182757579123201</v>
      </c>
      <c r="N191" s="2">
        <v>0.27949553782832698</v>
      </c>
      <c r="O191" s="2">
        <v>17.1381258607733</v>
      </c>
      <c r="P191" s="2">
        <v>61.318066091273401</v>
      </c>
      <c r="Q191" s="2">
        <v>55.578772926360998</v>
      </c>
      <c r="R191" s="2">
        <v>35.676541746092099</v>
      </c>
      <c r="S191" s="2">
        <v>0.444019773918712</v>
      </c>
      <c r="T191" s="2">
        <v>3697.2006443618502</v>
      </c>
      <c r="U191" s="2">
        <v>966</v>
      </c>
      <c r="V191" s="2">
        <v>1665</v>
      </c>
      <c r="W191" s="2">
        <v>1518.6890989681899</v>
      </c>
      <c r="X191" s="2">
        <v>432397.16024470702</v>
      </c>
      <c r="Y191" s="2">
        <v>-6348.8475357197403</v>
      </c>
      <c r="Z191" s="2">
        <v>364.23927265812102</v>
      </c>
      <c r="AA191" s="2">
        <v>36.846128627472403</v>
      </c>
      <c r="AB191" s="2">
        <v>0.815059401001341</v>
      </c>
      <c r="AC191" s="2">
        <v>4.0398493674745497</v>
      </c>
      <c r="AD191" s="2">
        <v>3.5448908219520301</v>
      </c>
      <c r="AE191" s="2">
        <v>0.36636365690676997</v>
      </c>
      <c r="AF191" s="2">
        <v>0.287800967448331</v>
      </c>
      <c r="AG191" s="2">
        <v>0.98792790200163305</v>
      </c>
      <c r="AH191" s="2">
        <v>0.93425464649048295</v>
      </c>
      <c r="AI191" s="2">
        <v>-0.219124882213318</v>
      </c>
      <c r="AJ191" s="2">
        <v>0.93819769862239</v>
      </c>
      <c r="AK191" s="2">
        <v>3.9850322072405697E-3</v>
      </c>
      <c r="AL191" s="2">
        <v>9.0312981155402099</v>
      </c>
      <c r="AM191" s="2">
        <v>7.8208353507549502</v>
      </c>
      <c r="AN191" s="2">
        <v>989.92848101265804</v>
      </c>
      <c r="AO191" s="2">
        <v>0.156634253324788</v>
      </c>
      <c r="AP191" s="2">
        <v>199.819620253165</v>
      </c>
      <c r="AQ191" s="2">
        <v>118.729243085042</v>
      </c>
      <c r="AR191" s="2">
        <v>1439.7871835443</v>
      </c>
      <c r="AS191" s="2">
        <v>24.010126582278499</v>
      </c>
      <c r="AT191" s="2">
        <v>49475.922943038</v>
      </c>
      <c r="AU191" s="2">
        <v>1.58061346698012E-2</v>
      </c>
      <c r="AV191" s="2">
        <v>1.8562397476782899E-3</v>
      </c>
      <c r="AW191" s="2">
        <v>0.17656132546348299</v>
      </c>
      <c r="AX191" s="2">
        <v>2.6478566544680801E-3</v>
      </c>
      <c r="AY191" s="2">
        <v>2558.6747060964699</v>
      </c>
      <c r="AZ191" s="2">
        <v>0.219983061997155</v>
      </c>
      <c r="BA191" s="2">
        <v>2.8370968701457699</v>
      </c>
      <c r="BB191" s="2">
        <v>192</v>
      </c>
    </row>
    <row r="192" spans="1:54" ht="13" x14ac:dyDescent="0.15">
      <c r="A192" s="1" t="s">
        <v>584</v>
      </c>
      <c r="B192" s="1" t="s">
        <v>585</v>
      </c>
      <c r="C192" s="1" t="s">
        <v>586</v>
      </c>
      <c r="D192" s="1" t="s">
        <v>304</v>
      </c>
      <c r="E192" s="2">
        <v>2073</v>
      </c>
      <c r="F192" s="2">
        <v>17075</v>
      </c>
      <c r="G192" s="2">
        <v>5844</v>
      </c>
      <c r="H192" s="2">
        <f t="shared" si="0"/>
        <v>24992</v>
      </c>
      <c r="I192" s="2">
        <v>142295</v>
      </c>
      <c r="J192" s="2">
        <v>1374894</v>
      </c>
      <c r="K192" s="2">
        <f t="shared" si="1"/>
        <v>1.8177401312392084E-2</v>
      </c>
      <c r="M192" s="2">
        <v>0.85042141531304205</v>
      </c>
      <c r="N192" s="2">
        <v>0.74108828609464505</v>
      </c>
      <c r="O192" s="2">
        <v>13.801289721390701</v>
      </c>
      <c r="P192" s="2">
        <v>18.623003467130999</v>
      </c>
      <c r="Q192" s="2">
        <v>23.0217288664427</v>
      </c>
      <c r="R192" s="2">
        <v>15.837400965897199</v>
      </c>
      <c r="S192" s="2">
        <v>0.44728968864852903</v>
      </c>
      <c r="T192" s="2">
        <v>1716.6128754726201</v>
      </c>
      <c r="U192" s="2">
        <v>740</v>
      </c>
      <c r="V192" s="2">
        <v>1468.8</v>
      </c>
      <c r="W192" s="2">
        <v>1505.92261751146</v>
      </c>
      <c r="X192" s="2">
        <v>410900.61894350301</v>
      </c>
      <c r="Y192" s="2">
        <v>-4280.89887859389</v>
      </c>
      <c r="Z192" s="2">
        <v>412.71366846134902</v>
      </c>
      <c r="AA192" s="2">
        <v>28.0060420690758</v>
      </c>
      <c r="AB192" s="2">
        <v>0.87226232050347796</v>
      </c>
      <c r="AC192" s="2">
        <v>3.9801501599210298</v>
      </c>
      <c r="AD192" s="2">
        <v>3.4533648628929901</v>
      </c>
      <c r="AE192" s="2">
        <v>0.32776821616852297</v>
      </c>
      <c r="AF192" s="2">
        <v>0.23808582992223201</v>
      </c>
      <c r="AG192" s="2">
        <v>0.99137033478643399</v>
      </c>
      <c r="AH192" s="2">
        <v>0.93658850502347601</v>
      </c>
      <c r="AI192" s="2">
        <v>-0.25935602288745802</v>
      </c>
      <c r="AJ192" s="2">
        <v>0.963460541266285</v>
      </c>
      <c r="AK192" s="2">
        <v>2.2670802697992601E-3</v>
      </c>
      <c r="AL192" s="2">
        <v>9.1855876571391804</v>
      </c>
      <c r="AM192" s="2">
        <v>7.5330730224658904</v>
      </c>
      <c r="AN192" s="2">
        <v>433.39073806078198</v>
      </c>
      <c r="AO192" s="2">
        <v>0.20906451425990399</v>
      </c>
      <c r="AP192" s="2">
        <v>55.343463579353603</v>
      </c>
      <c r="AQ192" s="2">
        <v>119.991251309825</v>
      </c>
      <c r="AR192" s="2">
        <v>1408.39604438013</v>
      </c>
      <c r="AS192" s="2">
        <v>10.2387843704776</v>
      </c>
      <c r="AT192" s="2">
        <v>17525.919440424499</v>
      </c>
      <c r="AU192" s="2">
        <v>1.29615151168596E-2</v>
      </c>
      <c r="AV192" s="2">
        <v>2.1766914341878499E-3</v>
      </c>
      <c r="AW192" s="2">
        <v>6.2423290272798602E-2</v>
      </c>
      <c r="AX192" s="2">
        <v>9.1233756590573898E-3</v>
      </c>
      <c r="AY192" s="2">
        <v>2384.3217777609598</v>
      </c>
      <c r="AZ192" s="2">
        <v>0.18243164138406601</v>
      </c>
      <c r="BA192" s="2">
        <v>9.6368569939437307</v>
      </c>
      <c r="BB192" s="2">
        <v>1145</v>
      </c>
    </row>
    <row r="193" spans="1:54" ht="13" x14ac:dyDescent="0.15">
      <c r="A193" s="1" t="s">
        <v>587</v>
      </c>
      <c r="B193" s="1" t="s">
        <v>588</v>
      </c>
      <c r="C193" s="5" t="s">
        <v>589</v>
      </c>
      <c r="D193" s="1" t="s">
        <v>304</v>
      </c>
      <c r="E193" s="2">
        <v>7110</v>
      </c>
      <c r="F193" s="2">
        <v>19290</v>
      </c>
      <c r="G193" s="2">
        <v>406</v>
      </c>
      <c r="H193" s="2">
        <f t="shared" si="0"/>
        <v>26806</v>
      </c>
      <c r="I193" s="2">
        <v>37394</v>
      </c>
      <c r="J193" s="2">
        <v>1421246</v>
      </c>
      <c r="K193" s="2">
        <f t="shared" si="1"/>
        <v>1.8860914999936675E-2</v>
      </c>
      <c r="M193" s="2">
        <v>0.57149248737372405</v>
      </c>
      <c r="N193" s="2">
        <v>0.41990504714675098</v>
      </c>
      <c r="O193" s="2">
        <v>15.497765926520399</v>
      </c>
      <c r="P193" s="2">
        <v>36.907786728993798</v>
      </c>
      <c r="Q193" s="2">
        <v>45.099889135118701</v>
      </c>
      <c r="R193" s="2">
        <v>21.092522841211601</v>
      </c>
      <c r="S193" s="2">
        <v>0.4565077811505</v>
      </c>
      <c r="T193" s="2">
        <v>3896.7787527778901</v>
      </c>
      <c r="U193" s="2">
        <v>737</v>
      </c>
      <c r="V193" s="2">
        <v>896</v>
      </c>
      <c r="W193" s="2">
        <v>378.29951150751702</v>
      </c>
      <c r="X193" s="2">
        <v>6019.9899819153898</v>
      </c>
      <c r="Y193" s="2">
        <v>193.54486149114501</v>
      </c>
      <c r="Z193" s="2">
        <v>28.3063641776587</v>
      </c>
      <c r="AA193" s="2">
        <v>6.0076858678822598</v>
      </c>
      <c r="AB193" s="2">
        <v>0.64934273638220097</v>
      </c>
      <c r="AC193" s="2">
        <v>1.5682872559157099</v>
      </c>
      <c r="AD193" s="2">
        <v>2.3323630853727102</v>
      </c>
      <c r="AE193" s="2">
        <v>0.54543965780514803</v>
      </c>
      <c r="AF193" s="2">
        <v>0.49799620946800599</v>
      </c>
      <c r="AG193" s="2">
        <v>0.99774972363713399</v>
      </c>
      <c r="AH193" s="2">
        <v>0.97129807420698699</v>
      </c>
      <c r="AI193" s="2">
        <v>-0.17975605029521199</v>
      </c>
      <c r="AJ193" s="2">
        <v>0.81968107248875</v>
      </c>
      <c r="AK193" s="2">
        <v>2.3748051628366101E-2</v>
      </c>
      <c r="AL193" s="2">
        <v>6.2199555032594898</v>
      </c>
      <c r="AM193" s="2">
        <v>7.0476715086638198</v>
      </c>
      <c r="AN193" s="2">
        <v>567.89085794655398</v>
      </c>
      <c r="AO193" s="2">
        <v>7.9872131919346598E-2</v>
      </c>
      <c r="AP193" s="2">
        <v>806.34739803094203</v>
      </c>
      <c r="AQ193" s="2">
        <v>9.6683493069526296</v>
      </c>
      <c r="AR193" s="2">
        <v>378.529817158931</v>
      </c>
      <c r="AS193" s="2">
        <v>55.976933895921199</v>
      </c>
      <c r="AT193" s="2">
        <v>20054.3014064698</v>
      </c>
      <c r="AU193" s="2">
        <v>0.16273529482801899</v>
      </c>
      <c r="AV193" s="2">
        <v>3.0462338894256501E-3</v>
      </c>
      <c r="AW193" s="2">
        <v>0.60942825695840297</v>
      </c>
      <c r="AX193" s="2">
        <v>1.64094593359264E-3</v>
      </c>
      <c r="AY193" s="2">
        <v>624.09457023651498</v>
      </c>
      <c r="AZ193" s="2">
        <v>1.6319395270884499E-2</v>
      </c>
      <c r="BA193" s="2">
        <v>1.6086271460808901</v>
      </c>
      <c r="BB193" s="2">
        <v>1020</v>
      </c>
    </row>
    <row r="194" spans="1:54" ht="15" x14ac:dyDescent="0.2">
      <c r="A194" s="3" t="s">
        <v>590</v>
      </c>
      <c r="B194" s="1" t="s">
        <v>591</v>
      </c>
      <c r="C194" s="5" t="s">
        <v>592</v>
      </c>
      <c r="D194" s="1" t="s">
        <v>304</v>
      </c>
      <c r="E194" s="2">
        <v>7874</v>
      </c>
      <c r="F194" s="2">
        <v>18723</v>
      </c>
      <c r="G194" s="2">
        <v>21452</v>
      </c>
      <c r="H194" s="2">
        <f t="shared" si="0"/>
        <v>48049</v>
      </c>
      <c r="I194" s="2">
        <v>64403</v>
      </c>
      <c r="J194" s="2">
        <v>1588525</v>
      </c>
      <c r="K194" s="2">
        <f t="shared" si="1"/>
        <v>3.0247556695676806E-2</v>
      </c>
      <c r="M194" s="2">
        <v>0.80801562264314597</v>
      </c>
      <c r="N194" s="2">
        <v>0.46290152684755298</v>
      </c>
      <c r="O194" s="2">
        <v>19.0738512095839</v>
      </c>
      <c r="P194" s="2">
        <v>41.204986597215097</v>
      </c>
      <c r="Q194" s="2">
        <v>46.010868281309399</v>
      </c>
      <c r="R194" s="2">
        <v>33.294272901351299</v>
      </c>
      <c r="S194" s="2">
        <v>0.30380953191628701</v>
      </c>
      <c r="T194" s="2">
        <v>6188.7304410598799</v>
      </c>
      <c r="U194" s="2">
        <v>618</v>
      </c>
      <c r="V194" s="2">
        <v>1322.7</v>
      </c>
      <c r="W194" s="2">
        <v>624.93405519637099</v>
      </c>
      <c r="X194" s="2">
        <v>396550.45394975098</v>
      </c>
      <c r="Y194" s="2">
        <v>4237.2652270114104</v>
      </c>
      <c r="Z194" s="2">
        <v>455.33260407172497</v>
      </c>
      <c r="AA194" s="2">
        <v>11.777599936466901</v>
      </c>
      <c r="AB194" s="2">
        <v>0.94943788552003805</v>
      </c>
      <c r="AC194" s="2">
        <v>2.4428523982323802</v>
      </c>
      <c r="AD194" s="2">
        <v>2.8756223261410998</v>
      </c>
      <c r="AE194" s="2">
        <v>0.438166086808013</v>
      </c>
      <c r="AF194" s="2">
        <v>0.36483853273258898</v>
      </c>
      <c r="AG194" s="2">
        <v>0.99678945952886699</v>
      </c>
      <c r="AH194" s="2">
        <v>0.96221847307231301</v>
      </c>
      <c r="AI194" s="2">
        <v>-0.330537889796572</v>
      </c>
      <c r="AJ194" s="2">
        <v>0.98131969908536498</v>
      </c>
      <c r="AK194" s="2">
        <v>4.5743405928512096E-3</v>
      </c>
      <c r="AL194" s="2">
        <v>8.6018852106511101</v>
      </c>
      <c r="AM194" s="2">
        <v>8.1197297199758793</v>
      </c>
      <c r="AN194" s="2">
        <v>1028.3065786131599</v>
      </c>
      <c r="AO194" s="2">
        <v>0.130595196674264</v>
      </c>
      <c r="AP194" s="2">
        <v>253.41783083566199</v>
      </c>
      <c r="AQ194" s="2">
        <v>112.367790429129</v>
      </c>
      <c r="AR194" s="2">
        <v>614.24955549911101</v>
      </c>
      <c r="AS194" s="2">
        <v>27.6870713741427</v>
      </c>
      <c r="AT194" s="2">
        <v>10320.6493522987</v>
      </c>
      <c r="AU194" s="2">
        <v>0.18330754359690801</v>
      </c>
      <c r="AV194" s="2">
        <v>4.2104913071865802E-3</v>
      </c>
      <c r="AW194" s="2">
        <v>0.33180177862478499</v>
      </c>
      <c r="AX194" s="2">
        <v>3.3278889232580999E-3</v>
      </c>
      <c r="AY194" s="2">
        <v>1707.9223712544499</v>
      </c>
      <c r="AZ194" s="2">
        <v>0.108088811452732</v>
      </c>
      <c r="BA194" s="2">
        <v>4.0786092132137899</v>
      </c>
      <c r="BB194" s="2">
        <v>617</v>
      </c>
    </row>
    <row r="195" spans="1:54" ht="15" x14ac:dyDescent="0.2">
      <c r="A195" s="3" t="s">
        <v>593</v>
      </c>
      <c r="B195" s="1" t="s">
        <v>594</v>
      </c>
      <c r="C195" s="1" t="s">
        <v>595</v>
      </c>
      <c r="D195" s="1" t="s">
        <v>304</v>
      </c>
      <c r="E195" s="2">
        <v>15527</v>
      </c>
      <c r="F195" s="2">
        <v>112429</v>
      </c>
      <c r="G195" s="2">
        <v>17168</v>
      </c>
      <c r="H195" s="2">
        <f t="shared" si="0"/>
        <v>145124</v>
      </c>
      <c r="I195" s="2">
        <v>198163</v>
      </c>
      <c r="J195" s="2">
        <v>1604028</v>
      </c>
      <c r="K195" s="2">
        <f t="shared" si="1"/>
        <v>9.0474729867558418E-2</v>
      </c>
      <c r="M195" s="2">
        <v>0.801289020998323</v>
      </c>
      <c r="N195" s="2">
        <v>0.73217662410941098</v>
      </c>
      <c r="O195" s="2">
        <v>25.101487801769299</v>
      </c>
      <c r="P195" s="2">
        <v>34.283377774183499</v>
      </c>
      <c r="Q195" s="2">
        <v>39.623225512317902</v>
      </c>
      <c r="R195" s="2">
        <v>27.470894213191201</v>
      </c>
      <c r="S195" s="2">
        <v>0.66189511676849699</v>
      </c>
      <c r="T195" s="2">
        <v>4537.17938719624</v>
      </c>
      <c r="U195" s="2">
        <v>1072</v>
      </c>
      <c r="V195" s="2">
        <v>1554</v>
      </c>
      <c r="W195" s="2">
        <v>1197.1617224885699</v>
      </c>
      <c r="X195" s="2">
        <v>111833.534602873</v>
      </c>
      <c r="Y195" s="2">
        <v>-1994.1652451098601</v>
      </c>
      <c r="Z195" s="2">
        <v>179.911133874797</v>
      </c>
      <c r="AA195" s="2">
        <v>9.0047235703043906</v>
      </c>
      <c r="AB195" s="2">
        <v>0.90433175715543201</v>
      </c>
      <c r="AC195" s="2">
        <v>1.94764330651151</v>
      </c>
      <c r="AD195" s="2">
        <v>2.6476591344420202</v>
      </c>
      <c r="AE195" s="2">
        <v>0.51973290546374495</v>
      </c>
      <c r="AF195" s="2">
        <v>0.46569667841087298</v>
      </c>
      <c r="AG195" s="2">
        <v>0.99634785624154498</v>
      </c>
      <c r="AH195" s="2">
        <v>0.96354528590542299</v>
      </c>
      <c r="AI195" s="2">
        <v>-0.31887631386746601</v>
      </c>
      <c r="AJ195" s="2">
        <v>0.97219028684196096</v>
      </c>
      <c r="AK195" s="2">
        <v>7.9999457049641093E-3</v>
      </c>
      <c r="AL195" s="2">
        <v>7.8942584237151401</v>
      </c>
      <c r="AM195" s="2">
        <v>8.4668037297605601</v>
      </c>
      <c r="AN195" s="2">
        <v>1120.2934887615099</v>
      </c>
      <c r="AO195" s="2">
        <v>7.2151316336801205E-2</v>
      </c>
      <c r="AP195" s="2">
        <v>668.14072261222395</v>
      </c>
      <c r="AQ195" s="2">
        <v>51.730585375417398</v>
      </c>
      <c r="AR195" s="2">
        <v>1163.00199652219</v>
      </c>
      <c r="AS195" s="2">
        <v>73.324982288916104</v>
      </c>
      <c r="AT195" s="2">
        <v>102040.04611322199</v>
      </c>
      <c r="AU195" s="2">
        <v>5.7869416150350697E-2</v>
      </c>
      <c r="AV195" s="2">
        <v>1.2315933772455499E-3</v>
      </c>
      <c r="AW195" s="2">
        <v>0.30305405499232502</v>
      </c>
      <c r="AX195" s="2">
        <v>1.6304196804602801E-3</v>
      </c>
      <c r="AY195" s="2">
        <v>1186.1511452013599</v>
      </c>
      <c r="AZ195" s="2">
        <v>4.86417972588205E-2</v>
      </c>
      <c r="BA195" s="2">
        <v>1.8334325854976401</v>
      </c>
      <c r="BB195" s="2">
        <v>730</v>
      </c>
    </row>
    <row r="196" spans="1:54" ht="13" x14ac:dyDescent="0.15">
      <c r="A196" s="1" t="s">
        <v>596</v>
      </c>
      <c r="B196" s="1" t="s">
        <v>597</v>
      </c>
      <c r="C196" s="5" t="s">
        <v>598</v>
      </c>
      <c r="D196" s="1" t="s">
        <v>304</v>
      </c>
      <c r="E196" s="2">
        <v>6</v>
      </c>
      <c r="F196" s="2">
        <v>107220</v>
      </c>
      <c r="G196" s="2">
        <v>6630</v>
      </c>
      <c r="H196" s="2">
        <f t="shared" si="0"/>
        <v>113856</v>
      </c>
      <c r="I196" s="2">
        <v>186247</v>
      </c>
      <c r="J196" s="2">
        <v>1514492</v>
      </c>
      <c r="K196" s="2">
        <f t="shared" si="1"/>
        <v>7.5177683342005114E-2</v>
      </c>
      <c r="M196" s="2">
        <v>0.37929899344092899</v>
      </c>
      <c r="N196" s="2"/>
      <c r="O196" s="2"/>
      <c r="P196" s="2">
        <v>4.3633382134371601</v>
      </c>
      <c r="Q196" s="2">
        <v>4.1231056256176597</v>
      </c>
      <c r="R196" s="2">
        <v>1.6550097923990501</v>
      </c>
      <c r="S196" s="2">
        <v>0.73383079021075903</v>
      </c>
      <c r="T196" s="2">
        <v>14.9493829893763</v>
      </c>
      <c r="U196" s="2">
        <v>488.5</v>
      </c>
      <c r="V196" s="2">
        <v>504</v>
      </c>
      <c r="W196" s="2">
        <v>1.4375</v>
      </c>
      <c r="X196" s="2">
        <v>3.61328125E-2</v>
      </c>
      <c r="Y196" s="2">
        <v>2.34375E-2</v>
      </c>
      <c r="Z196" s="2">
        <v>0.109375</v>
      </c>
      <c r="AA196" s="2">
        <v>0.4375</v>
      </c>
      <c r="AB196" s="2">
        <v>-0.119047619047619</v>
      </c>
      <c r="AC196" s="2">
        <v>0.4375</v>
      </c>
      <c r="AD196" s="2">
        <v>0.45281953111478301</v>
      </c>
      <c r="AE196" s="2">
        <v>0.78125</v>
      </c>
      <c r="AF196" s="2">
        <v>0.78125</v>
      </c>
      <c r="AG196" s="2">
        <v>0.91249999999999998</v>
      </c>
      <c r="AH196" s="2">
        <v>0.85416666666666696</v>
      </c>
      <c r="AI196" s="2">
        <v>-0.29965587506196201</v>
      </c>
      <c r="AJ196" s="2">
        <v>0.405147418433702</v>
      </c>
      <c r="AK196" s="2">
        <v>0.6171875</v>
      </c>
      <c r="AL196" s="2">
        <v>0.89031953111478301</v>
      </c>
      <c r="AM196" s="2">
        <v>1.79248125036058</v>
      </c>
      <c r="AN196" s="2">
        <v>2</v>
      </c>
      <c r="AO196" s="2">
        <v>0.33333333333333298</v>
      </c>
      <c r="AP196" s="2">
        <v>4.3333333333333304</v>
      </c>
      <c r="AQ196" s="2">
        <v>0.13888888888888901</v>
      </c>
      <c r="AR196" s="2">
        <v>1.5</v>
      </c>
      <c r="AS196" s="2">
        <v>10.3333333333333</v>
      </c>
      <c r="AT196" s="2">
        <v>10.8333333333333</v>
      </c>
      <c r="AU196" s="2">
        <v>10.2083333333333</v>
      </c>
      <c r="AV196" s="2">
        <v>0.875</v>
      </c>
      <c r="AW196" s="2">
        <v>0.86111111111111105</v>
      </c>
      <c r="AX196" s="2">
        <v>1.1612903225806499</v>
      </c>
      <c r="AY196" s="2">
        <v>0.28703703703703698</v>
      </c>
      <c r="AZ196" s="2">
        <v>4.24382716049383E-2</v>
      </c>
      <c r="BA196" s="2">
        <v>1.0909090909090899</v>
      </c>
      <c r="BB196" s="2">
        <v>370</v>
      </c>
    </row>
    <row r="197" spans="1:54" ht="13" x14ac:dyDescent="0.15">
      <c r="A197" s="1" t="s">
        <v>599</v>
      </c>
      <c r="B197" s="1" t="s">
        <v>600</v>
      </c>
      <c r="C197" s="5" t="s">
        <v>601</v>
      </c>
      <c r="D197" s="1" t="s">
        <v>304</v>
      </c>
      <c r="E197" s="2">
        <v>275</v>
      </c>
      <c r="F197" s="2">
        <v>21890</v>
      </c>
      <c r="G197" s="2">
        <v>10841</v>
      </c>
      <c r="H197" s="2">
        <f t="shared" si="0"/>
        <v>33006</v>
      </c>
      <c r="I197" s="2">
        <v>99989</v>
      </c>
      <c r="J197" s="2">
        <v>1585517</v>
      </c>
      <c r="K197" s="2">
        <f t="shared" si="1"/>
        <v>2.0817184552420442E-2</v>
      </c>
      <c r="M197" s="2">
        <v>0.40160471061001002</v>
      </c>
      <c r="N197" s="2">
        <v>0.26107121765827002</v>
      </c>
      <c r="O197" s="2">
        <v>11.9314067254845</v>
      </c>
      <c r="P197" s="2">
        <v>45.701731629038299</v>
      </c>
      <c r="Q197" s="2">
        <v>33.837848631377298</v>
      </c>
      <c r="R197" s="2">
        <v>18.354030705256299</v>
      </c>
      <c r="S197" s="2">
        <v>0.32155526323773698</v>
      </c>
      <c r="T197" s="2">
        <v>544.82224399384495</v>
      </c>
      <c r="U197" s="2">
        <v>487</v>
      </c>
      <c r="V197" s="2">
        <v>855</v>
      </c>
      <c r="W197" s="2">
        <v>112.08242139842601</v>
      </c>
      <c r="X197" s="2">
        <v>40522.120936302803</v>
      </c>
      <c r="Y197" s="2">
        <v>1390.79101889803</v>
      </c>
      <c r="Z197" s="2">
        <v>143.69673749125599</v>
      </c>
      <c r="AA197" s="2">
        <v>2.2102670818689898</v>
      </c>
      <c r="AB197" s="2">
        <v>0.96958000503444997</v>
      </c>
      <c r="AC197" s="2">
        <v>1.1365231867493799</v>
      </c>
      <c r="AD197" s="2">
        <v>1.8284251666806199</v>
      </c>
      <c r="AE197" s="2">
        <v>0.57914167970246799</v>
      </c>
      <c r="AF197" s="2">
        <v>0.537075048177037</v>
      </c>
      <c r="AG197" s="2">
        <v>0.995491788277312</v>
      </c>
      <c r="AH197" s="2">
        <v>0.95247220497157603</v>
      </c>
      <c r="AI197" s="2">
        <v>-0.46764170225650498</v>
      </c>
      <c r="AJ197" s="2">
        <v>0.97996588645326499</v>
      </c>
      <c r="AK197" s="2">
        <v>3.5177646819664003E-2</v>
      </c>
      <c r="AL197" s="2">
        <v>5.3525047748933501</v>
      </c>
      <c r="AM197" s="2">
        <v>5.9203247999100403</v>
      </c>
      <c r="AN197" s="2">
        <v>40.767272727272697</v>
      </c>
      <c r="AO197" s="2">
        <v>0.14824462809917399</v>
      </c>
      <c r="AP197" s="2">
        <v>28.3818181818182</v>
      </c>
      <c r="AQ197" s="2">
        <v>33.746459504132197</v>
      </c>
      <c r="AR197" s="2">
        <v>99.621818181818199</v>
      </c>
      <c r="AS197" s="2">
        <v>19.0945454545455</v>
      </c>
      <c r="AT197" s="2">
        <v>1721.02545454545</v>
      </c>
      <c r="AU197" s="2">
        <v>0.97231182090627999</v>
      </c>
      <c r="AV197" s="2">
        <v>5.47976157569737E-2</v>
      </c>
      <c r="AW197" s="2">
        <v>0.122464747153692</v>
      </c>
      <c r="AX197" s="2">
        <v>5.86303962964334E-2</v>
      </c>
      <c r="AY197" s="2">
        <v>141.63625925678201</v>
      </c>
      <c r="AZ197" s="2">
        <v>0.125824596663039</v>
      </c>
      <c r="BA197" s="2">
        <v>18.205677284465601</v>
      </c>
      <c r="BB197" s="2">
        <v>376</v>
      </c>
    </row>
    <row r="198" spans="1:54" ht="13" x14ac:dyDescent="0.15">
      <c r="A198" s="1" t="s">
        <v>602</v>
      </c>
      <c r="B198" s="1" t="s">
        <v>603</v>
      </c>
      <c r="C198" s="5" t="s">
        <v>604</v>
      </c>
      <c r="D198" s="1" t="s">
        <v>304</v>
      </c>
      <c r="E198" s="2">
        <v>2705</v>
      </c>
      <c r="F198" s="2">
        <v>15226</v>
      </c>
      <c r="G198" s="2">
        <v>6936</v>
      </c>
      <c r="H198" s="2">
        <f t="shared" si="0"/>
        <v>24867</v>
      </c>
      <c r="I198" s="2">
        <v>64315</v>
      </c>
      <c r="J198" s="2">
        <v>1304522</v>
      </c>
      <c r="K198" s="2">
        <f t="shared" si="1"/>
        <v>1.9062154566960157E-2</v>
      </c>
      <c r="M198" s="2">
        <v>0.55524960669629997</v>
      </c>
      <c r="N198" s="2">
        <v>0.34178346776296598</v>
      </c>
      <c r="O198" s="2">
        <v>9.9656038915501899</v>
      </c>
      <c r="P198" s="2">
        <v>29.157653401953102</v>
      </c>
      <c r="Q198" s="2">
        <v>23.0217288664427</v>
      </c>
      <c r="R198" s="2">
        <v>16.1897755836215</v>
      </c>
      <c r="S198" s="2">
        <v>0.59700542354397501</v>
      </c>
      <c r="T198" s="2">
        <v>1559.89399497145</v>
      </c>
      <c r="U198" s="2">
        <v>924</v>
      </c>
      <c r="V198" s="2">
        <v>1352.6</v>
      </c>
      <c r="W198" s="2">
        <v>801.37765777438199</v>
      </c>
      <c r="X198" s="2">
        <v>49236.988162213202</v>
      </c>
      <c r="Y198" s="2">
        <v>-1030.95993131812</v>
      </c>
      <c r="Z198" s="2">
        <v>135.03087757082201</v>
      </c>
      <c r="AA198" s="2">
        <v>16.331954003735699</v>
      </c>
      <c r="AB198" s="2">
        <v>0.78379622365018398</v>
      </c>
      <c r="AC198" s="2">
        <v>3.00102256650203</v>
      </c>
      <c r="AD198" s="2">
        <v>3.11005246596859</v>
      </c>
      <c r="AE198" s="2">
        <v>0.38287436588851798</v>
      </c>
      <c r="AF198" s="2">
        <v>0.298650290452526</v>
      </c>
      <c r="AG198" s="2">
        <v>0.99022405141191405</v>
      </c>
      <c r="AH198" s="2">
        <v>0.93360388749688406</v>
      </c>
      <c r="AI198" s="2">
        <v>-0.186640947459456</v>
      </c>
      <c r="AJ198" s="2">
        <v>0.89369343015210101</v>
      </c>
      <c r="AK198" s="2">
        <v>4.9686705188442797E-3</v>
      </c>
      <c r="AL198" s="2">
        <v>8.1929370720893395</v>
      </c>
      <c r="AM198" s="2">
        <v>7.2298931381119997</v>
      </c>
      <c r="AN198" s="2">
        <v>416.14676524953802</v>
      </c>
      <c r="AO198" s="2">
        <v>0.153843536136613</v>
      </c>
      <c r="AP198" s="2">
        <v>123.161182994455</v>
      </c>
      <c r="AQ198" s="2">
        <v>42.054310324209602</v>
      </c>
      <c r="AR198" s="2">
        <v>765.27652495378902</v>
      </c>
      <c r="AS198" s="2">
        <v>18.181515711645101</v>
      </c>
      <c r="AT198" s="2">
        <v>16748.7922365989</v>
      </c>
      <c r="AU198" s="2">
        <v>2.5085966349050699E-2</v>
      </c>
      <c r="AV198" s="2">
        <v>2.1729442341191499E-3</v>
      </c>
      <c r="AW198" s="2">
        <v>0.178277709009109</v>
      </c>
      <c r="AX198" s="2">
        <v>5.1982547024932296E-3</v>
      </c>
      <c r="AY198" s="2">
        <v>1052.73606013632</v>
      </c>
      <c r="AZ198" s="2">
        <v>0.114158461490242</v>
      </c>
      <c r="BA198" s="2">
        <v>2.7834971171494298</v>
      </c>
      <c r="BB198" s="2">
        <v>565</v>
      </c>
    </row>
    <row r="199" spans="1:54" ht="13" x14ac:dyDescent="0.15">
      <c r="A199" s="1" t="s">
        <v>605</v>
      </c>
      <c r="B199" s="1" t="s">
        <v>606</v>
      </c>
      <c r="C199" s="5" t="s">
        <v>607</v>
      </c>
      <c r="D199" s="1" t="s">
        <v>304</v>
      </c>
      <c r="E199" s="2">
        <v>701</v>
      </c>
      <c r="F199" s="2">
        <v>24722</v>
      </c>
      <c r="G199" s="2">
        <v>5219</v>
      </c>
      <c r="H199" s="2">
        <f t="shared" si="0"/>
        <v>30642</v>
      </c>
      <c r="I199" s="2">
        <v>59516</v>
      </c>
      <c r="J199" s="2">
        <v>1490182</v>
      </c>
      <c r="K199" s="2">
        <f t="shared" si="1"/>
        <v>2.0562588999196073E-2</v>
      </c>
      <c r="M199" s="2">
        <v>0.88943042479759404</v>
      </c>
      <c r="N199" s="2">
        <v>0.52784080175188497</v>
      </c>
      <c r="O199" s="2">
        <v>8.0556928885365604</v>
      </c>
      <c r="P199" s="2">
        <v>15.261595658766799</v>
      </c>
      <c r="Q199" s="2">
        <v>17.6918060129541</v>
      </c>
      <c r="R199" s="2">
        <v>13.574127509866001</v>
      </c>
      <c r="S199" s="2">
        <v>0.47939359343330001</v>
      </c>
      <c r="T199" s="2">
        <v>773.55151902320699</v>
      </c>
      <c r="U199" s="2">
        <v>554</v>
      </c>
      <c r="V199" s="2">
        <v>746</v>
      </c>
      <c r="W199" s="2">
        <v>81.540695818537202</v>
      </c>
      <c r="X199" s="2">
        <v>2176.0881793338099</v>
      </c>
      <c r="Y199" s="2">
        <v>-1.9603814536450901</v>
      </c>
      <c r="Z199" s="2">
        <v>29.0400309510249</v>
      </c>
      <c r="AA199" s="2">
        <v>7.3389805122252403</v>
      </c>
      <c r="AB199" s="2">
        <v>0.59573637827650605</v>
      </c>
      <c r="AC199" s="2">
        <v>2.0236801831007001</v>
      </c>
      <c r="AD199" s="2">
        <v>2.56673875336375</v>
      </c>
      <c r="AE199" s="2">
        <v>0.46488358644394001</v>
      </c>
      <c r="AF199" s="2">
        <v>0.39489072591593899</v>
      </c>
      <c r="AG199" s="2">
        <v>0.97907736945274304</v>
      </c>
      <c r="AH199" s="2">
        <v>0.90560285218655501</v>
      </c>
      <c r="AI199" s="2">
        <v>-0.16587925396981901</v>
      </c>
      <c r="AJ199" s="2">
        <v>0.80788591942101096</v>
      </c>
      <c r="AK199" s="2">
        <v>1.3531736243869901E-2</v>
      </c>
      <c r="AL199" s="2">
        <v>6.6320926095055004</v>
      </c>
      <c r="AM199" s="2">
        <v>6.3451152260577999</v>
      </c>
      <c r="AN199" s="2">
        <v>99.738944365192594</v>
      </c>
      <c r="AO199" s="2">
        <v>0.14228094773921901</v>
      </c>
      <c r="AP199" s="2">
        <v>65.838801711840205</v>
      </c>
      <c r="AQ199" s="2">
        <v>8.8745525548381092</v>
      </c>
      <c r="AR199" s="2">
        <v>80.845934379457901</v>
      </c>
      <c r="AS199" s="2">
        <v>21.616262482168299</v>
      </c>
      <c r="AT199" s="2">
        <v>1663.6219686162599</v>
      </c>
      <c r="AU199" s="2">
        <v>0.56299870719814904</v>
      </c>
      <c r="AV199" s="2">
        <v>2.5159001771127398E-2</v>
      </c>
      <c r="AW199" s="2">
        <v>0.46849323428874601</v>
      </c>
      <c r="AX199" s="2">
        <v>1.44353935467174E-2</v>
      </c>
      <c r="AY199" s="2">
        <v>155.91030525418299</v>
      </c>
      <c r="AZ199" s="2">
        <v>7.1042203444265206E-2</v>
      </c>
      <c r="BA199" s="2">
        <v>1.5440365559960101</v>
      </c>
      <c r="BB199" s="2">
        <v>516</v>
      </c>
    </row>
    <row r="200" spans="1:54" ht="13" x14ac:dyDescent="0.15">
      <c r="A200" s="1" t="s">
        <v>608</v>
      </c>
      <c r="B200" s="1" t="s">
        <v>609</v>
      </c>
      <c r="C200" s="5" t="s">
        <v>610</v>
      </c>
      <c r="D200" s="1" t="s">
        <v>304</v>
      </c>
      <c r="E200" s="2">
        <v>309</v>
      </c>
      <c r="F200" s="2">
        <v>37055</v>
      </c>
      <c r="G200" s="2">
        <v>2246</v>
      </c>
      <c r="H200" s="2">
        <f t="shared" si="0"/>
        <v>39610</v>
      </c>
      <c r="I200" s="2">
        <v>49773</v>
      </c>
      <c r="J200" s="2">
        <v>1384029</v>
      </c>
      <c r="K200" s="2">
        <f t="shared" si="1"/>
        <v>2.8619342513776808E-2</v>
      </c>
      <c r="M200" s="2">
        <v>0.89932559783232302</v>
      </c>
      <c r="N200" s="2">
        <v>0.83050748142888897</v>
      </c>
      <c r="O200" s="2">
        <v>7.0381389728082198</v>
      </c>
      <c r="P200" s="2">
        <v>8.4745039992886007</v>
      </c>
      <c r="Q200" s="2">
        <v>10.295630140987001</v>
      </c>
      <c r="R200" s="2">
        <v>7.6213383754926403</v>
      </c>
      <c r="S200" s="2">
        <v>0.84639026462511902</v>
      </c>
      <c r="T200" s="2">
        <v>256.19391429419102</v>
      </c>
      <c r="U200" s="2">
        <v>587.79999999999995</v>
      </c>
      <c r="V200" s="2">
        <v>936.6</v>
      </c>
      <c r="W200" s="2">
        <v>194.42367572824901</v>
      </c>
      <c r="X200" s="2">
        <v>21260.392792591501</v>
      </c>
      <c r="Y200" s="2">
        <v>319.60443034994103</v>
      </c>
      <c r="Z200" s="2">
        <v>95.634171668848794</v>
      </c>
      <c r="AA200" s="2">
        <v>18.474108549465601</v>
      </c>
      <c r="AB200" s="2">
        <v>0.67658457451267595</v>
      </c>
      <c r="AC200" s="2">
        <v>3.3078648527637302</v>
      </c>
      <c r="AD200" s="2">
        <v>3.1188680056673102</v>
      </c>
      <c r="AE200" s="2">
        <v>0.353979987176472</v>
      </c>
      <c r="AF200" s="2">
        <v>0.26566814451017201</v>
      </c>
      <c r="AG200" s="2">
        <v>0.97300755143412199</v>
      </c>
      <c r="AH200" s="2">
        <v>0.89078719274839901</v>
      </c>
      <c r="AI200" s="2">
        <v>-0.26876943204034998</v>
      </c>
      <c r="AJ200" s="2">
        <v>0.94681946207962797</v>
      </c>
      <c r="AK200" s="2">
        <v>7.1777151108099804E-3</v>
      </c>
      <c r="AL200" s="2">
        <v>7.46859450208275</v>
      </c>
      <c r="AM200" s="2">
        <v>6.1765703776061898</v>
      </c>
      <c r="AN200" s="2">
        <v>64.326860841423994</v>
      </c>
      <c r="AO200" s="2">
        <v>0.20817754317612899</v>
      </c>
      <c r="AP200" s="2">
        <v>18.067961165048501</v>
      </c>
      <c r="AQ200" s="2">
        <v>27.7084446120171</v>
      </c>
      <c r="AR200" s="2">
        <v>200.94174757281601</v>
      </c>
      <c r="AS200" s="2">
        <v>10.1974110032362</v>
      </c>
      <c r="AT200" s="2">
        <v>2098.1585760517801</v>
      </c>
      <c r="AU200" s="2">
        <v>0.115703122889687</v>
      </c>
      <c r="AV200" s="2">
        <v>1.75912935984603E-2</v>
      </c>
      <c r="AW200" s="2">
        <v>0.102044846101339</v>
      </c>
      <c r="AX200" s="2">
        <v>3.8999541698967903E-2</v>
      </c>
      <c r="AY200" s="2">
        <v>381.89984553503001</v>
      </c>
      <c r="AZ200" s="2">
        <v>0.15833473308212001</v>
      </c>
      <c r="BA200" s="2">
        <v>7.5261556380534902</v>
      </c>
      <c r="BB200" s="2">
        <v>114</v>
      </c>
    </row>
    <row r="201" spans="1:54" ht="13" x14ac:dyDescent="0.15">
      <c r="A201" s="1" t="s">
        <v>611</v>
      </c>
      <c r="B201" s="1" t="s">
        <v>612</v>
      </c>
      <c r="C201" s="1" t="s">
        <v>613</v>
      </c>
      <c r="D201" s="1" t="s">
        <v>304</v>
      </c>
      <c r="E201" s="2">
        <v>16504</v>
      </c>
      <c r="F201" s="2">
        <v>50391</v>
      </c>
      <c r="G201" s="2">
        <v>20640</v>
      </c>
      <c r="H201" s="2">
        <f t="shared" si="0"/>
        <v>87535</v>
      </c>
      <c r="I201" s="2">
        <v>130743</v>
      </c>
      <c r="J201" s="2">
        <v>1538991</v>
      </c>
      <c r="K201" s="2">
        <f t="shared" si="1"/>
        <v>5.6878175375944369E-2</v>
      </c>
      <c r="M201" s="2">
        <v>0.70704638370517903</v>
      </c>
      <c r="N201" s="2">
        <v>0.39760872242869499</v>
      </c>
      <c r="O201" s="2">
        <v>18.935388773362199</v>
      </c>
      <c r="P201" s="2">
        <v>47.623172494054003</v>
      </c>
      <c r="Q201" s="2">
        <v>53.150729063673197</v>
      </c>
      <c r="R201" s="2">
        <v>33.671791892488798</v>
      </c>
      <c r="S201" s="2">
        <v>0.37390003991676901</v>
      </c>
      <c r="T201" s="2">
        <v>8347.5925675627204</v>
      </c>
      <c r="U201" s="2">
        <v>784</v>
      </c>
      <c r="V201" s="2">
        <v>1167</v>
      </c>
      <c r="W201" s="2">
        <v>672.82842799308105</v>
      </c>
      <c r="X201" s="2">
        <v>53107.941583969201</v>
      </c>
      <c r="Y201" s="2">
        <v>-197.954127773415</v>
      </c>
      <c r="Z201" s="2">
        <v>120.513977651486</v>
      </c>
      <c r="AA201" s="2">
        <v>14.5744288078615</v>
      </c>
      <c r="AB201" s="2">
        <v>0.78346985792387502</v>
      </c>
      <c r="AC201" s="2">
        <v>2.8428920669348101</v>
      </c>
      <c r="AD201" s="2">
        <v>3.0378350912445602</v>
      </c>
      <c r="AE201" s="2">
        <v>0.39309529327593501</v>
      </c>
      <c r="AF201" s="2">
        <v>0.31027832630822799</v>
      </c>
      <c r="AG201" s="2">
        <v>0.99544463029055297</v>
      </c>
      <c r="AH201" s="2">
        <v>0.95336937989961701</v>
      </c>
      <c r="AI201" s="2">
        <v>-0.17397543166865501</v>
      </c>
      <c r="AJ201" s="2">
        <v>0.87821027754471304</v>
      </c>
      <c r="AK201" s="2">
        <v>4.5283838604634301E-3</v>
      </c>
      <c r="AL201" s="2">
        <v>8.3465025404173705</v>
      </c>
      <c r="AM201" s="2">
        <v>7.5831593764923397</v>
      </c>
      <c r="AN201" s="2">
        <v>2428.7223703344598</v>
      </c>
      <c r="AO201" s="2">
        <v>0.147159620112365</v>
      </c>
      <c r="AP201" s="2">
        <v>781.54592825981604</v>
      </c>
      <c r="AQ201" s="2">
        <v>38.801610323641903</v>
      </c>
      <c r="AR201" s="2">
        <v>650.72842947164304</v>
      </c>
      <c r="AS201" s="2">
        <v>19.5306592341251</v>
      </c>
      <c r="AT201" s="2">
        <v>13530.62809016</v>
      </c>
      <c r="AU201" s="2">
        <v>3.76631752023436E-2</v>
      </c>
      <c r="AV201" s="2">
        <v>2.41936208840735E-3</v>
      </c>
      <c r="AW201" s="2">
        <v>0.66424816570149003</v>
      </c>
      <c r="AX201" s="2">
        <v>8.7157600133560501E-4</v>
      </c>
      <c r="AY201" s="2">
        <v>2076.2497420897398</v>
      </c>
      <c r="AZ201" s="2">
        <v>4.6153184499338001E-2</v>
      </c>
      <c r="BA201" s="2">
        <v>1.1189460686847501</v>
      </c>
      <c r="BB201" s="2">
        <v>538</v>
      </c>
    </row>
    <row r="202" spans="1:54" ht="13" x14ac:dyDescent="0.15">
      <c r="A202" s="1" t="s">
        <v>614</v>
      </c>
      <c r="B202" s="1" t="s">
        <v>615</v>
      </c>
      <c r="C202" s="1" t="s">
        <v>616</v>
      </c>
      <c r="D202" s="1" t="s">
        <v>304</v>
      </c>
      <c r="E202" s="2">
        <v>160</v>
      </c>
      <c r="F202" s="2">
        <v>20734</v>
      </c>
      <c r="G202" s="2">
        <v>1035</v>
      </c>
      <c r="H202" s="2">
        <f t="shared" si="0"/>
        <v>21929</v>
      </c>
      <c r="I202" s="2">
        <v>53577</v>
      </c>
      <c r="J202" s="2">
        <v>1422551</v>
      </c>
      <c r="K202" s="2">
        <f t="shared" si="1"/>
        <v>1.5415264549390496E-2</v>
      </c>
      <c r="M202" s="2">
        <v>0.64456770869027202</v>
      </c>
      <c r="N202" s="2">
        <v>0.51524966610374001</v>
      </c>
      <c r="O202" s="2">
        <v>4.7111067512809601</v>
      </c>
      <c r="P202" s="2">
        <v>9.1433475093847605</v>
      </c>
      <c r="Q202" s="2">
        <v>8.9442719099991592</v>
      </c>
      <c r="R202" s="2">
        <v>5.8935065538830402</v>
      </c>
      <c r="S202" s="2">
        <v>0.77024608858506205</v>
      </c>
      <c r="T202" s="2">
        <v>178.689640034429</v>
      </c>
      <c r="U202" s="2">
        <v>893</v>
      </c>
      <c r="V202" s="2">
        <v>1108.5999999999999</v>
      </c>
      <c r="W202" s="2">
        <v>145.82009728464101</v>
      </c>
      <c r="X202" s="2">
        <v>2088.62187318613</v>
      </c>
      <c r="Y202" s="2">
        <v>-8.6349737043089103</v>
      </c>
      <c r="Z202" s="2">
        <v>26.336004031168201</v>
      </c>
      <c r="AA202" s="2">
        <v>12.039495636079099</v>
      </c>
      <c r="AB202" s="2">
        <v>0.36621339662550001</v>
      </c>
      <c r="AC202" s="2">
        <v>2.7468636817127399</v>
      </c>
      <c r="AD202" s="2">
        <v>2.8107985062968401</v>
      </c>
      <c r="AE202" s="2">
        <v>0.38083853681052598</v>
      </c>
      <c r="AF202" s="2">
        <v>0.292813426020959</v>
      </c>
      <c r="AG202" s="2">
        <v>0.96633759516879003</v>
      </c>
      <c r="AH202" s="2">
        <v>0.87609084394235104</v>
      </c>
      <c r="AI202" s="2">
        <v>-0.22280701189889299</v>
      </c>
      <c r="AJ202" s="2">
        <v>0.88982618123865698</v>
      </c>
      <c r="AK202" s="2">
        <v>1.39632749431028E-2</v>
      </c>
      <c r="AL202" s="2">
        <v>6.3920363171441803</v>
      </c>
      <c r="AM202" s="2">
        <v>5.5294441144507402</v>
      </c>
      <c r="AN202" s="2">
        <v>35.4</v>
      </c>
      <c r="AO202" s="2">
        <v>0.22125</v>
      </c>
      <c r="AP202" s="2">
        <v>13.95</v>
      </c>
      <c r="AQ202" s="2">
        <v>11.036093749999999</v>
      </c>
      <c r="AR202" s="2">
        <v>144.15</v>
      </c>
      <c r="AS202" s="2">
        <v>10.3</v>
      </c>
      <c r="AT202" s="2">
        <v>1542.7625</v>
      </c>
      <c r="AU202" s="2">
        <v>9.1757941037386798E-2</v>
      </c>
      <c r="AV202" s="2">
        <v>1.74490362242023E-2</v>
      </c>
      <c r="AW202" s="2">
        <v>0.132309382548639</v>
      </c>
      <c r="AX202" s="2">
        <v>4.5482431053427301E-2</v>
      </c>
      <c r="AY202" s="2">
        <v>212.835903954451</v>
      </c>
      <c r="AZ202" s="2">
        <v>0.153569160907602</v>
      </c>
      <c r="BA202" s="2">
        <v>4.4515386870647902</v>
      </c>
      <c r="BB202" s="2">
        <v>1178</v>
      </c>
    </row>
    <row r="203" spans="1:54" ht="13" x14ac:dyDescent="0.15">
      <c r="A203" s="1" t="s">
        <v>617</v>
      </c>
      <c r="B203" s="1" t="s">
        <v>618</v>
      </c>
      <c r="C203" s="5" t="s">
        <v>619</v>
      </c>
      <c r="D203" s="1" t="s">
        <v>304</v>
      </c>
      <c r="E203" s="2">
        <v>7435</v>
      </c>
      <c r="F203" s="2">
        <v>54326</v>
      </c>
      <c r="G203" s="2">
        <v>29128</v>
      </c>
      <c r="H203" s="2">
        <f t="shared" si="0"/>
        <v>90889</v>
      </c>
      <c r="I203" s="2">
        <v>120682</v>
      </c>
      <c r="J203" s="2">
        <v>1343369</v>
      </c>
      <c r="K203" s="2">
        <f t="shared" si="1"/>
        <v>6.7657508845298642E-2</v>
      </c>
      <c r="M203" s="2">
        <v>0.60402038838772398</v>
      </c>
      <c r="N203" s="2">
        <v>0.468953002633964</v>
      </c>
      <c r="O203" s="2">
        <v>18.2997403826996</v>
      </c>
      <c r="P203" s="2">
        <v>39.022546566320301</v>
      </c>
      <c r="Q203" s="2">
        <v>42.059481689626203</v>
      </c>
      <c r="R203" s="2">
        <v>23.5704137328668</v>
      </c>
      <c r="S203" s="2">
        <v>0.41775326915210298</v>
      </c>
      <c r="T203" s="2">
        <v>4359.6147927206803</v>
      </c>
      <c r="U203" s="2">
        <v>639</v>
      </c>
      <c r="V203" s="2">
        <v>1109</v>
      </c>
      <c r="W203" s="2">
        <v>576.23215481051398</v>
      </c>
      <c r="X203" s="2">
        <v>67654.258609175595</v>
      </c>
      <c r="Y203" s="2">
        <v>609.02698464995001</v>
      </c>
      <c r="Z203" s="2">
        <v>191.913844740332</v>
      </c>
      <c r="AA203" s="2">
        <v>8.3811256895110908</v>
      </c>
      <c r="AB203" s="2">
        <v>0.91618579504995801</v>
      </c>
      <c r="AC203" s="2">
        <v>2.0747060147196601</v>
      </c>
      <c r="AD203" s="2">
        <v>2.6272468212023798</v>
      </c>
      <c r="AE203" s="2">
        <v>0.46164916153608299</v>
      </c>
      <c r="AF203" s="2">
        <v>0.39091244920444201</v>
      </c>
      <c r="AG203" s="2">
        <v>0.99541446665451205</v>
      </c>
      <c r="AH203" s="2">
        <v>0.95474556131381705</v>
      </c>
      <c r="AI203" s="2">
        <v>-0.29632144497989099</v>
      </c>
      <c r="AJ203" s="2">
        <v>0.96396280230575104</v>
      </c>
      <c r="AK203" s="2">
        <v>5.3131076646185703E-3</v>
      </c>
      <c r="AL203" s="2">
        <v>7.9994406729988103</v>
      </c>
      <c r="AM203" s="2">
        <v>7.92428939809969</v>
      </c>
      <c r="AN203" s="2">
        <v>857.13261600537999</v>
      </c>
      <c r="AO203" s="2">
        <v>0.115283472226682</v>
      </c>
      <c r="AP203" s="2">
        <v>306.54189643577701</v>
      </c>
      <c r="AQ203" s="2">
        <v>51.863503947459499</v>
      </c>
      <c r="AR203" s="2">
        <v>569.96314727639503</v>
      </c>
      <c r="AS203" s="2">
        <v>30.016005379959701</v>
      </c>
      <c r="AT203" s="2">
        <v>17842.493073302001</v>
      </c>
      <c r="AU203" s="2">
        <v>7.7345565202178501E-2</v>
      </c>
      <c r="AV203" s="2">
        <v>2.9989084990344902E-3</v>
      </c>
      <c r="AW203" s="2">
        <v>0.400773242729137</v>
      </c>
      <c r="AX203" s="2">
        <v>2.7346276934194602E-3</v>
      </c>
      <c r="AY203" s="2">
        <v>928.916552075666</v>
      </c>
      <c r="AZ203" s="2">
        <v>7.4957829741501295E-2</v>
      </c>
      <c r="BA203" s="2">
        <v>1.8191886166100399</v>
      </c>
      <c r="BB203" s="2">
        <v>371</v>
      </c>
    </row>
    <row r="204" spans="1:54" ht="13" x14ac:dyDescent="0.15">
      <c r="A204" s="1" t="s">
        <v>620</v>
      </c>
      <c r="B204" s="1" t="s">
        <v>621</v>
      </c>
      <c r="C204" s="5" t="s">
        <v>622</v>
      </c>
      <c r="D204" s="1" t="s">
        <v>304</v>
      </c>
      <c r="E204" s="2">
        <v>6566</v>
      </c>
      <c r="F204" s="2">
        <v>60974</v>
      </c>
      <c r="G204" s="2">
        <v>35561</v>
      </c>
      <c r="H204" s="2">
        <f t="shared" si="0"/>
        <v>103101</v>
      </c>
      <c r="I204" s="2">
        <v>150748</v>
      </c>
      <c r="J204" s="2">
        <v>1657811</v>
      </c>
      <c r="K204" s="2">
        <f t="shared" si="1"/>
        <v>6.2191045903302607E-2</v>
      </c>
      <c r="M204" s="2">
        <v>0.66184140579940998</v>
      </c>
      <c r="N204" s="2">
        <v>0.52158300902425903</v>
      </c>
      <c r="O204" s="2">
        <v>19.903790404500999</v>
      </c>
      <c r="P204" s="2">
        <v>38.1603504334538</v>
      </c>
      <c r="Q204" s="2">
        <v>39.115214431215897</v>
      </c>
      <c r="R204" s="2">
        <v>25.256099976675198</v>
      </c>
      <c r="S204" s="2">
        <v>0.40235129585132101</v>
      </c>
      <c r="T204" s="2">
        <v>4144.6016305549301</v>
      </c>
      <c r="U204" s="2">
        <v>949</v>
      </c>
      <c r="V204" s="2">
        <v>1381</v>
      </c>
      <c r="W204" s="2">
        <v>1332.9839792939199</v>
      </c>
      <c r="X204" s="2">
        <v>62543.517839035099</v>
      </c>
      <c r="Y204" s="2">
        <v>-1307.5637627743699</v>
      </c>
      <c r="Z204" s="2">
        <v>144.23863062581799</v>
      </c>
      <c r="AA204" s="2">
        <v>14.5681741721581</v>
      </c>
      <c r="AB204" s="2">
        <v>0.81518663354403897</v>
      </c>
      <c r="AC204" s="2">
        <v>2.7590727244233402</v>
      </c>
      <c r="AD204" s="2">
        <v>3.0276323245841001</v>
      </c>
      <c r="AE204" s="2">
        <v>0.41328398854578802</v>
      </c>
      <c r="AF204" s="2">
        <v>0.33621413148356499</v>
      </c>
      <c r="AG204" s="2">
        <v>0.99433217656065798</v>
      </c>
      <c r="AH204" s="2">
        <v>0.94990840243735097</v>
      </c>
      <c r="AI204" s="2">
        <v>-0.20635337280537</v>
      </c>
      <c r="AJ204" s="2">
        <v>0.91052289518246299</v>
      </c>
      <c r="AK204" s="2">
        <v>5.8843055887049297E-3</v>
      </c>
      <c r="AL204" s="2">
        <v>8.1400954401517094</v>
      </c>
      <c r="AM204" s="2">
        <v>7.5197387638694897</v>
      </c>
      <c r="AN204" s="2">
        <v>881.36460554371001</v>
      </c>
      <c r="AO204" s="2">
        <v>0.13423158780744901</v>
      </c>
      <c r="AP204" s="2">
        <v>297.16661590009102</v>
      </c>
      <c r="AQ204" s="2">
        <v>45.178005395947302</v>
      </c>
      <c r="AR204" s="2">
        <v>1272.8020103563799</v>
      </c>
      <c r="AS204" s="2">
        <v>26.303990252817499</v>
      </c>
      <c r="AT204" s="2">
        <v>41617.571733170902</v>
      </c>
      <c r="AU204" s="2">
        <v>1.8362809677153102E-2</v>
      </c>
      <c r="AV204" s="2">
        <v>1.09874089324058E-3</v>
      </c>
      <c r="AW204" s="2">
        <v>0.27335144991070098</v>
      </c>
      <c r="AX204" s="2">
        <v>2.3355520888622798E-3</v>
      </c>
      <c r="AY204" s="2">
        <v>1163.70849875096</v>
      </c>
      <c r="AZ204" s="2">
        <v>9.8733295035003998E-2</v>
      </c>
      <c r="BA204" s="2">
        <v>1.5262570237499899</v>
      </c>
      <c r="BB204" s="2">
        <v>127</v>
      </c>
    </row>
    <row r="205" spans="1:54" ht="13" x14ac:dyDescent="0.15">
      <c r="A205" s="1" t="s">
        <v>623</v>
      </c>
      <c r="B205" s="1" t="s">
        <v>624</v>
      </c>
      <c r="C205" s="5" t="s">
        <v>625</v>
      </c>
      <c r="D205" s="1" t="s">
        <v>304</v>
      </c>
      <c r="E205" s="2">
        <v>4729</v>
      </c>
      <c r="F205" s="2">
        <v>26686</v>
      </c>
      <c r="G205" s="2">
        <v>12755</v>
      </c>
      <c r="H205" s="2">
        <f t="shared" si="0"/>
        <v>44170</v>
      </c>
      <c r="I205" s="2">
        <v>55170</v>
      </c>
      <c r="J205" s="2">
        <v>1269625</v>
      </c>
      <c r="K205" s="2">
        <f t="shared" si="1"/>
        <v>3.4789800137835974E-2</v>
      </c>
      <c r="M205" s="2">
        <v>0.74045553075886605</v>
      </c>
      <c r="N205" s="2">
        <v>0.38182017413515001</v>
      </c>
      <c r="O205" s="2">
        <v>15.5826355364719</v>
      </c>
      <c r="P205" s="2">
        <v>40.811451547230902</v>
      </c>
      <c r="Q205" s="2">
        <v>37.336309405188899</v>
      </c>
      <c r="R205" s="2">
        <v>30.219065016444599</v>
      </c>
      <c r="S205" s="2">
        <v>0.275527091820081</v>
      </c>
      <c r="T205" s="2">
        <v>4824.1481541486401</v>
      </c>
      <c r="U205" s="2">
        <v>731.91507568359395</v>
      </c>
      <c r="V205" s="2">
        <v>1269.8167968749999</v>
      </c>
      <c r="W205" s="2">
        <v>1014.42995647155</v>
      </c>
      <c r="X205" s="2">
        <v>308403.35370217101</v>
      </c>
      <c r="Y205" s="2">
        <v>529.67343616690596</v>
      </c>
      <c r="Z205" s="2">
        <v>329.20827171244702</v>
      </c>
      <c r="AA205" s="2">
        <v>24.866651577634801</v>
      </c>
      <c r="AB205" s="2">
        <v>0.85995064896817497</v>
      </c>
      <c r="AC205" s="2">
        <v>3.5488298797731201</v>
      </c>
      <c r="AD205" s="2">
        <v>3.3496392384067502</v>
      </c>
      <c r="AE205" s="2">
        <v>0.36353974953252899</v>
      </c>
      <c r="AF205" s="2">
        <v>0.27943790034136401</v>
      </c>
      <c r="AG205" s="2">
        <v>0.99394620750555296</v>
      </c>
      <c r="AH205" s="2">
        <v>0.94907502635793295</v>
      </c>
      <c r="AI205" s="2">
        <v>-0.25388139111058</v>
      </c>
      <c r="AJ205" s="2">
        <v>0.96126163556409905</v>
      </c>
      <c r="AK205" s="2">
        <v>2.6800135677601E-3</v>
      </c>
      <c r="AL205" s="2">
        <v>9.1767543494254298</v>
      </c>
      <c r="AM205" s="2">
        <v>7.6924001035576</v>
      </c>
      <c r="AN205" s="2">
        <v>878.70353140198802</v>
      </c>
      <c r="AO205" s="2">
        <v>0.185811700444489</v>
      </c>
      <c r="AP205" s="2">
        <v>160.965743286107</v>
      </c>
      <c r="AQ205" s="2">
        <v>75.859365560067403</v>
      </c>
      <c r="AR205" s="2">
        <v>994.67096637766997</v>
      </c>
      <c r="AS205" s="2">
        <v>12.9014590822584</v>
      </c>
      <c r="AT205" s="2">
        <v>12233.991753013301</v>
      </c>
      <c r="AU205" s="2">
        <v>1.9527228004858101E-2</v>
      </c>
      <c r="AV205" s="2">
        <v>1.9316103261877199E-3</v>
      </c>
      <c r="AW205" s="2">
        <v>0.124143048442381</v>
      </c>
      <c r="AX205" s="2">
        <v>3.7024902009007402E-3</v>
      </c>
      <c r="AY205" s="2">
        <v>3053.35963752311</v>
      </c>
      <c r="AZ205" s="2">
        <v>7.6798609809815205E-2</v>
      </c>
      <c r="BA205" s="2">
        <v>5.4589560029544</v>
      </c>
      <c r="BB205" s="2">
        <v>106</v>
      </c>
    </row>
    <row r="206" spans="1:54" ht="13" x14ac:dyDescent="0.15">
      <c r="A206" s="1" t="s">
        <v>626</v>
      </c>
      <c r="B206" s="1" t="s">
        <v>627</v>
      </c>
      <c r="C206" s="5" t="s">
        <v>628</v>
      </c>
      <c r="D206" s="1" t="s">
        <v>304</v>
      </c>
      <c r="E206" s="2">
        <v>9041</v>
      </c>
      <c r="F206" s="2">
        <v>30217</v>
      </c>
      <c r="G206" s="2">
        <v>40254</v>
      </c>
      <c r="H206" s="2">
        <f t="shared" si="0"/>
        <v>79512</v>
      </c>
      <c r="I206" s="2">
        <v>99182</v>
      </c>
      <c r="J206" s="2">
        <v>1529232</v>
      </c>
      <c r="K206" s="2">
        <f t="shared" si="1"/>
        <v>5.1994726764807431E-2</v>
      </c>
      <c r="M206" s="2">
        <v>0.66372847995130801</v>
      </c>
      <c r="N206" s="2">
        <v>0.49186078662492699</v>
      </c>
      <c r="O206" s="2">
        <v>27.243318194218901</v>
      </c>
      <c r="P206" s="2">
        <v>55.388270289157198</v>
      </c>
      <c r="Q206" s="2">
        <v>46.486557196677801</v>
      </c>
      <c r="R206" s="2">
        <v>36.7627724461545</v>
      </c>
      <c r="S206" s="2">
        <v>0.29764735896586397</v>
      </c>
      <c r="T206" s="2">
        <v>6968.4499569769296</v>
      </c>
      <c r="U206" s="2">
        <v>769</v>
      </c>
      <c r="V206" s="2">
        <v>984</v>
      </c>
      <c r="W206" s="2">
        <v>292.88430372874501</v>
      </c>
      <c r="X206" s="2">
        <v>4643.6215185370202</v>
      </c>
      <c r="Y206" s="2">
        <v>18.597548355923799</v>
      </c>
      <c r="Z206" s="2">
        <v>39.611478220043701</v>
      </c>
      <c r="AA206" s="2">
        <v>4.6636969162805704</v>
      </c>
      <c r="AB206" s="2">
        <v>0.78871654139571401</v>
      </c>
      <c r="AC206" s="2">
        <v>1.62707800146439</v>
      </c>
      <c r="AD206" s="2">
        <v>2.3094742218950199</v>
      </c>
      <c r="AE206" s="2">
        <v>0.50443353881300601</v>
      </c>
      <c r="AF206" s="2">
        <v>0.44343395288881299</v>
      </c>
      <c r="AG206" s="2">
        <v>0.99418434322928795</v>
      </c>
      <c r="AH206" s="2">
        <v>0.94714248192047901</v>
      </c>
      <c r="AI206" s="2">
        <v>-0.20714447534682001</v>
      </c>
      <c r="AJ206" s="2">
        <v>0.87478980481606605</v>
      </c>
      <c r="AK206" s="2">
        <v>1.30181549326801E-2</v>
      </c>
      <c r="AL206" s="2">
        <v>6.77097707845728</v>
      </c>
      <c r="AM206" s="2">
        <v>7.06304899307281</v>
      </c>
      <c r="AN206" s="2">
        <v>1016.01913505143</v>
      </c>
      <c r="AO206" s="2">
        <v>0.1123790659276</v>
      </c>
      <c r="AP206" s="2">
        <v>754.57371972126998</v>
      </c>
      <c r="AQ206" s="2">
        <v>11.5774100219452</v>
      </c>
      <c r="AR206" s="2">
        <v>284.15418648379602</v>
      </c>
      <c r="AS206" s="2">
        <v>33.003097002544003</v>
      </c>
      <c r="AT206" s="2">
        <v>9763.4551487667304</v>
      </c>
      <c r="AU206" s="2">
        <v>0.12880680808675599</v>
      </c>
      <c r="AV206" s="2">
        <v>4.5520535876553596E-3</v>
      </c>
      <c r="AW206" s="2">
        <v>1.2140152467652801</v>
      </c>
      <c r="AX206" s="2">
        <v>1.52764589362534E-3</v>
      </c>
      <c r="AY206" s="2">
        <v>312.97736805028001</v>
      </c>
      <c r="AZ206" s="2">
        <v>3.1937286070068002E-2</v>
      </c>
      <c r="BA206" s="2">
        <v>0.47296477549275201</v>
      </c>
      <c r="BB206" s="2">
        <v>85</v>
      </c>
    </row>
    <row r="207" spans="1:54" ht="13" x14ac:dyDescent="0.15">
      <c r="A207" s="1" t="s">
        <v>629</v>
      </c>
      <c r="B207" s="1" t="s">
        <v>630</v>
      </c>
      <c r="C207" s="5" t="s">
        <v>631</v>
      </c>
      <c r="D207" s="1" t="s">
        <v>304</v>
      </c>
      <c r="E207" s="2">
        <v>8519</v>
      </c>
      <c r="F207" s="2">
        <v>14785</v>
      </c>
      <c r="G207" s="2">
        <v>11493</v>
      </c>
      <c r="H207" s="2">
        <f t="shared" si="0"/>
        <v>34797</v>
      </c>
      <c r="I207" s="2">
        <v>38177</v>
      </c>
      <c r="J207" s="2">
        <v>1323401</v>
      </c>
      <c r="K207" s="2">
        <f t="shared" si="1"/>
        <v>2.6293617731889277E-2</v>
      </c>
      <c r="M207" s="2">
        <v>0.63616852675911695</v>
      </c>
      <c r="N207" s="2">
        <v>0.58970107047213005</v>
      </c>
      <c r="O207" s="2">
        <v>21.525427820570599</v>
      </c>
      <c r="P207" s="2">
        <v>36.502270215207197</v>
      </c>
      <c r="Q207" s="2">
        <v>30.675723300355902</v>
      </c>
      <c r="R207" s="2">
        <v>23.2215954661715</v>
      </c>
      <c r="S207" s="2">
        <v>0.46038967818222798</v>
      </c>
      <c r="T207" s="2">
        <v>4365.3175782836797</v>
      </c>
      <c r="U207" s="2">
        <v>910</v>
      </c>
      <c r="V207" s="2">
        <v>1269</v>
      </c>
      <c r="W207" s="2">
        <v>619.86168159842396</v>
      </c>
      <c r="X207" s="2">
        <v>30405.1265997398</v>
      </c>
      <c r="Y207" s="2">
        <v>-185.76602156154999</v>
      </c>
      <c r="Z207" s="2">
        <v>111.28127414328701</v>
      </c>
      <c r="AA207" s="2">
        <v>12.639883229196201</v>
      </c>
      <c r="AB207" s="2">
        <v>0.79603626968876595</v>
      </c>
      <c r="AC207" s="2">
        <v>2.6434306784372499</v>
      </c>
      <c r="AD207" s="2">
        <v>2.93712848956402</v>
      </c>
      <c r="AE207" s="2">
        <v>0.40692208664162599</v>
      </c>
      <c r="AF207" s="2">
        <v>0.32582964744315202</v>
      </c>
      <c r="AG207" s="2">
        <v>0.99198650433703195</v>
      </c>
      <c r="AH207" s="2">
        <v>0.93934764123121905</v>
      </c>
      <c r="AI207" s="2">
        <v>-0.18779503489581401</v>
      </c>
      <c r="AJ207" s="2">
        <v>0.89003984965187699</v>
      </c>
      <c r="AK207" s="2">
        <v>4.7915849882082303E-3</v>
      </c>
      <c r="AL207" s="2">
        <v>8.1288090776554593</v>
      </c>
      <c r="AM207" s="2">
        <v>7.4005614470694603</v>
      </c>
      <c r="AN207" s="2">
        <v>1233.2767930508301</v>
      </c>
      <c r="AO207" s="2">
        <v>0.14476778883094599</v>
      </c>
      <c r="AP207" s="2">
        <v>421.178189928395</v>
      </c>
      <c r="AQ207" s="2">
        <v>31.060564412884201</v>
      </c>
      <c r="AR207" s="2">
        <v>607.17889423641304</v>
      </c>
      <c r="AS207" s="2">
        <v>20.8650076300035</v>
      </c>
      <c r="AT207" s="2">
        <v>14064.623195210699</v>
      </c>
      <c r="AU207" s="2">
        <v>3.89440509973763E-2</v>
      </c>
      <c r="AV207" s="2">
        <v>2.3538318324844102E-3</v>
      </c>
      <c r="AW207" s="2">
        <v>0.56159989266869004</v>
      </c>
      <c r="AX207" s="2">
        <v>1.72196900185266E-3</v>
      </c>
      <c r="AY207" s="2">
        <v>1000.39741790391</v>
      </c>
      <c r="AZ207" s="2">
        <v>6.2953649081638405E-2</v>
      </c>
      <c r="BA207" s="2">
        <v>1.05923767615136</v>
      </c>
      <c r="BB207" s="2">
        <v>464</v>
      </c>
    </row>
    <row r="208" spans="1:54" ht="13" x14ac:dyDescent="0.15">
      <c r="A208" s="1" t="s">
        <v>632</v>
      </c>
      <c r="B208" s="1" t="s">
        <v>633</v>
      </c>
      <c r="C208" s="5" t="s">
        <v>634</v>
      </c>
      <c r="D208" s="1" t="s">
        <v>304</v>
      </c>
      <c r="E208" s="2">
        <v>5988</v>
      </c>
      <c r="F208" s="2">
        <v>26319</v>
      </c>
      <c r="G208" s="2">
        <v>46087</v>
      </c>
      <c r="H208" s="2">
        <f t="shared" si="0"/>
        <v>78394</v>
      </c>
      <c r="I208" s="2">
        <v>136874</v>
      </c>
      <c r="J208" s="2">
        <v>1418285</v>
      </c>
      <c r="K208" s="2">
        <f t="shared" si="1"/>
        <v>5.5273798989624791E-2</v>
      </c>
      <c r="M208" s="2">
        <v>0.952719792830926</v>
      </c>
      <c r="N208" s="2">
        <v>0.491774486361785</v>
      </c>
      <c r="O208" s="2">
        <v>14.2530857661404</v>
      </c>
      <c r="P208" s="2">
        <v>28.9829711817437</v>
      </c>
      <c r="Q208" s="2">
        <v>47.201694884823802</v>
      </c>
      <c r="R208" s="2">
        <v>27.612650299895598</v>
      </c>
      <c r="S208" s="2">
        <v>0.48971465811654702</v>
      </c>
      <c r="T208" s="2">
        <v>3237.4086209595698</v>
      </c>
      <c r="U208" s="2">
        <v>655</v>
      </c>
      <c r="V208" s="2">
        <v>1126</v>
      </c>
      <c r="W208" s="2">
        <v>1133.75659898141</v>
      </c>
      <c r="X208" s="2">
        <v>183333.23145363401</v>
      </c>
      <c r="Y208" s="2">
        <v>-2726.0949118763101</v>
      </c>
      <c r="Z208" s="2">
        <v>198.49660394902801</v>
      </c>
      <c r="AA208" s="2">
        <v>23.7633501242249</v>
      </c>
      <c r="AB208" s="2">
        <v>0.784611843362926</v>
      </c>
      <c r="AC208" s="2">
        <v>3.6955754923907902</v>
      </c>
      <c r="AD208" s="2">
        <v>3.35012754451449</v>
      </c>
      <c r="AE208" s="2">
        <v>0.33733963487832702</v>
      </c>
      <c r="AF208" s="2">
        <v>0.24678824845313599</v>
      </c>
      <c r="AG208" s="2">
        <v>0.99152080004272902</v>
      </c>
      <c r="AH208" s="2">
        <v>0.93647577717336095</v>
      </c>
      <c r="AI208" s="2">
        <v>-0.16931147138420399</v>
      </c>
      <c r="AJ208" s="2">
        <v>0.88300068574396096</v>
      </c>
      <c r="AK208" s="2">
        <v>2.9139076009446498E-3</v>
      </c>
      <c r="AL208" s="2">
        <v>8.8620032451326498</v>
      </c>
      <c r="AM208" s="2">
        <v>7.4523047260236899</v>
      </c>
      <c r="AN208" s="2">
        <v>1112.32732130929</v>
      </c>
      <c r="AO208" s="2">
        <v>0.185759405696273</v>
      </c>
      <c r="AP208" s="2">
        <v>233.01603206412801</v>
      </c>
      <c r="AQ208" s="2">
        <v>61.2428849013993</v>
      </c>
      <c r="AR208" s="2">
        <v>1114.7591850367401</v>
      </c>
      <c r="AS208" s="2">
        <v>12.5257181028724</v>
      </c>
      <c r="AT208" s="2">
        <v>14690.5123580494</v>
      </c>
      <c r="AU208" s="2">
        <v>1.9840538837996701E-2</v>
      </c>
      <c r="AV208" s="2">
        <v>2.1262557977648599E-3</v>
      </c>
      <c r="AW208" s="2">
        <v>0.22733953966072801</v>
      </c>
      <c r="AX208" s="2">
        <v>2.2371085761628299E-3</v>
      </c>
      <c r="AY208" s="2">
        <v>2489.6613218262</v>
      </c>
      <c r="AZ208" s="2">
        <v>0.102195212170015</v>
      </c>
      <c r="BA208" s="2">
        <v>2.5705792528375602</v>
      </c>
      <c r="BB208" s="2">
        <v>1205</v>
      </c>
    </row>
    <row r="209" spans="1:54" ht="13" x14ac:dyDescent="0.15">
      <c r="A209" s="1" t="s">
        <v>635</v>
      </c>
      <c r="B209" s="1" t="s">
        <v>636</v>
      </c>
      <c r="C209" s="5" t="s">
        <v>637</v>
      </c>
      <c r="D209" s="1" t="s">
        <v>304</v>
      </c>
      <c r="E209" s="2">
        <v>6981</v>
      </c>
      <c r="F209" s="2">
        <v>42758</v>
      </c>
      <c r="G209" s="2">
        <v>24927</v>
      </c>
      <c r="H209" s="2">
        <f t="shared" si="0"/>
        <v>74666</v>
      </c>
      <c r="I209" s="2">
        <v>92208</v>
      </c>
      <c r="J209" s="2">
        <v>1370144</v>
      </c>
      <c r="K209" s="2">
        <f t="shared" si="1"/>
        <v>5.4495001985192797E-2</v>
      </c>
      <c r="M209" s="2">
        <v>0.60039494475164201</v>
      </c>
      <c r="N209" s="2">
        <v>0.37115000481543697</v>
      </c>
      <c r="O209" s="2">
        <v>15.8059313447497</v>
      </c>
      <c r="P209" s="2">
        <v>42.586369768766602</v>
      </c>
      <c r="Q209" s="2">
        <v>47.0956473572665</v>
      </c>
      <c r="R209" s="2">
        <v>25.568641124491698</v>
      </c>
      <c r="S209" s="2">
        <v>0.31849369107664299</v>
      </c>
      <c r="T209" s="2">
        <v>5503.6522226829302</v>
      </c>
      <c r="U209" s="2">
        <v>522</v>
      </c>
      <c r="V209" s="2">
        <v>820</v>
      </c>
      <c r="W209" s="2">
        <v>441.01609763466098</v>
      </c>
      <c r="X209" s="2">
        <v>31922.922596987901</v>
      </c>
      <c r="Y209" s="2">
        <v>-392.255418753193</v>
      </c>
      <c r="Z209" s="2">
        <v>91.679997324729797</v>
      </c>
      <c r="AA209" s="2">
        <v>9.2135292689542894</v>
      </c>
      <c r="AB209" s="2">
        <v>0.81768569674723501</v>
      </c>
      <c r="AC209" s="2">
        <v>2.3040371556357302</v>
      </c>
      <c r="AD209" s="2">
        <v>2.73321258299667</v>
      </c>
      <c r="AE209" s="2">
        <v>0.42968575478723098</v>
      </c>
      <c r="AF209" s="2">
        <v>0.351872960716968</v>
      </c>
      <c r="AG209" s="2">
        <v>0.99307704558262899</v>
      </c>
      <c r="AH209" s="2">
        <v>0.94220958277566402</v>
      </c>
      <c r="AI209" s="2">
        <v>-0.20623867600684501</v>
      </c>
      <c r="AJ209" s="2">
        <v>0.89996673253043302</v>
      </c>
      <c r="AK209" s="2">
        <v>7.1888782948374402E-3</v>
      </c>
      <c r="AL209" s="2">
        <v>7.7638044581288304</v>
      </c>
      <c r="AM209" s="2">
        <v>7.2453089929257004</v>
      </c>
      <c r="AN209" s="2">
        <v>1003.69646182495</v>
      </c>
      <c r="AO209" s="2">
        <v>0.14377545649977799</v>
      </c>
      <c r="AP209" s="2">
        <v>433.330611660221</v>
      </c>
      <c r="AQ209" s="2">
        <v>24.350247538897701</v>
      </c>
      <c r="AR209" s="2">
        <v>442.88998710786399</v>
      </c>
      <c r="AS209" s="2">
        <v>20.700329465692601</v>
      </c>
      <c r="AT209" s="2">
        <v>9361.8144964904805</v>
      </c>
      <c r="AU209" s="2">
        <v>5.9567904299028099E-2</v>
      </c>
      <c r="AV209" s="2">
        <v>3.5281265782338899E-3</v>
      </c>
      <c r="AW209" s="2">
        <v>0.59972170674856695</v>
      </c>
      <c r="AX209" s="2">
        <v>1.8661860719600401E-3</v>
      </c>
      <c r="AY209" s="2">
        <v>756.40317512271804</v>
      </c>
      <c r="AZ209" s="2">
        <v>5.3051125095581603E-2</v>
      </c>
      <c r="BA209" s="2">
        <v>1.02269569265876</v>
      </c>
      <c r="BB209" s="2">
        <v>449</v>
      </c>
    </row>
    <row r="210" spans="1:54" ht="13" x14ac:dyDescent="0.15">
      <c r="A210" s="1" t="s">
        <v>638</v>
      </c>
      <c r="B210" s="1" t="s">
        <v>639</v>
      </c>
      <c r="C210" s="5" t="s">
        <v>640</v>
      </c>
      <c r="D210" s="1" t="s">
        <v>304</v>
      </c>
      <c r="E210" s="2">
        <v>72814</v>
      </c>
      <c r="F210" s="2">
        <v>28402</v>
      </c>
      <c r="G210" s="2">
        <v>1631</v>
      </c>
      <c r="H210" s="2">
        <f t="shared" si="0"/>
        <v>102847</v>
      </c>
      <c r="I210" s="2">
        <v>108739</v>
      </c>
      <c r="J210" s="2">
        <v>1348843</v>
      </c>
      <c r="K210" s="2">
        <f t="shared" si="1"/>
        <v>7.6248310589149368E-2</v>
      </c>
      <c r="M210" s="2">
        <v>0.70783333064255105</v>
      </c>
      <c r="N210" s="2">
        <v>0.58199663636685395</v>
      </c>
      <c r="O210" s="2">
        <v>36.706101799681399</v>
      </c>
      <c r="P210" s="2">
        <v>63.069267940827501</v>
      </c>
      <c r="Q210" s="2">
        <v>63.285069329187003</v>
      </c>
      <c r="R210" s="2">
        <v>44.642529987743401</v>
      </c>
      <c r="S210" s="2">
        <v>0.81903869460905698</v>
      </c>
      <c r="T210" s="2">
        <v>10286.5759679207</v>
      </c>
      <c r="U210" s="2">
        <v>1194</v>
      </c>
      <c r="V210" s="2">
        <v>1648</v>
      </c>
      <c r="W210" s="2">
        <v>1787.44680798015</v>
      </c>
      <c r="X210" s="2">
        <v>125737.62808608499</v>
      </c>
      <c r="Y210" s="2">
        <v>-2700.9278316674799</v>
      </c>
      <c r="Z210" s="2">
        <v>165.10726030843799</v>
      </c>
      <c r="AA210" s="2">
        <v>11.843615569056</v>
      </c>
      <c r="AB210" s="2">
        <v>0.86465008017002598</v>
      </c>
      <c r="AC210" s="2">
        <v>2.0590254326759401</v>
      </c>
      <c r="AD210" s="2">
        <v>2.6691842435892901</v>
      </c>
      <c r="AE210" s="2">
        <v>0.51690434450428002</v>
      </c>
      <c r="AF210" s="2">
        <v>0.46477148336151503</v>
      </c>
      <c r="AG210" s="2">
        <v>0.99613001882455399</v>
      </c>
      <c r="AH210" s="2">
        <v>0.96531599451871397</v>
      </c>
      <c r="AI210" s="2">
        <v>-0.29609716107177902</v>
      </c>
      <c r="AJ210" s="2">
        <v>0.96066404059750499</v>
      </c>
      <c r="AK210" s="2">
        <v>1.0211766452333E-2</v>
      </c>
      <c r="AL210" s="2">
        <v>7.6593594335048598</v>
      </c>
      <c r="AM210" s="2">
        <v>8.2774510490913507</v>
      </c>
      <c r="AN210" s="2">
        <v>5016.7633147471597</v>
      </c>
      <c r="AO210" s="2">
        <v>6.8898334314103901E-2</v>
      </c>
      <c r="AP210" s="2">
        <v>3754.89680555937</v>
      </c>
      <c r="AQ210" s="2">
        <v>53.184776419765498</v>
      </c>
      <c r="AR210" s="2">
        <v>1750.69290246381</v>
      </c>
      <c r="AS210" s="2">
        <v>71.040898728266498</v>
      </c>
      <c r="AT210" s="2">
        <v>139679.73437800401</v>
      </c>
      <c r="AU210" s="2">
        <v>3.7766555052871298E-2</v>
      </c>
      <c r="AV210" s="2">
        <v>7.2352184358841904E-4</v>
      </c>
      <c r="AW210" s="2">
        <v>1.1299255780455499</v>
      </c>
      <c r="AX210" s="2">
        <v>2.8154274221834502E-4</v>
      </c>
      <c r="AY210" s="2">
        <v>1857.79287400308</v>
      </c>
      <c r="AZ210" s="2">
        <v>4.6843838972947402E-2</v>
      </c>
      <c r="BA210" s="2">
        <v>0.56935430552500998</v>
      </c>
      <c r="BB210" s="2">
        <v>350</v>
      </c>
    </row>
    <row r="211" spans="1:54" ht="13" x14ac:dyDescent="0.15">
      <c r="A211" s="1" t="s">
        <v>641</v>
      </c>
      <c r="B211" s="1" t="s">
        <v>642</v>
      </c>
      <c r="C211" s="5" t="s">
        <v>643</v>
      </c>
      <c r="D211" s="1" t="s">
        <v>304</v>
      </c>
      <c r="E211" s="2">
        <v>1317</v>
      </c>
      <c r="F211" s="2">
        <v>71407</v>
      </c>
      <c r="G211" s="2">
        <v>15058</v>
      </c>
      <c r="H211" s="2">
        <f t="shared" si="0"/>
        <v>87782</v>
      </c>
      <c r="I211" s="2">
        <v>243755</v>
      </c>
      <c r="J211" s="2">
        <v>1632828</v>
      </c>
      <c r="K211" s="2">
        <f t="shared" si="1"/>
        <v>5.37607145394371E-2</v>
      </c>
      <c r="M211" s="2">
        <v>0.65789829704583802</v>
      </c>
      <c r="N211" s="2">
        <v>0.38759121291422099</v>
      </c>
      <c r="O211" s="2">
        <v>8.4671531929538606</v>
      </c>
      <c r="P211" s="2">
        <v>21.8455757273004</v>
      </c>
      <c r="Q211" s="2">
        <v>23.769728648009401</v>
      </c>
      <c r="R211" s="2">
        <v>14.3721670689768</v>
      </c>
      <c r="S211" s="2">
        <v>0.57776784168848705</v>
      </c>
      <c r="T211" s="2">
        <v>988.86185934825698</v>
      </c>
      <c r="U211" s="2">
        <v>436.6</v>
      </c>
      <c r="V211" s="2">
        <v>907</v>
      </c>
      <c r="W211" s="2">
        <v>301.590338159314</v>
      </c>
      <c r="X211" s="2">
        <v>70323.296173012306</v>
      </c>
      <c r="Y211" s="2">
        <v>-1314.29200504448</v>
      </c>
      <c r="Z211" s="2">
        <v>190.390443170579</v>
      </c>
      <c r="AA211" s="2">
        <v>7.6888244063096902</v>
      </c>
      <c r="AB211" s="2">
        <v>0.92218909040473196</v>
      </c>
      <c r="AC211" s="2">
        <v>1.8760958303919799</v>
      </c>
      <c r="AD211" s="2">
        <v>2.52338437060012</v>
      </c>
      <c r="AE211" s="2">
        <v>0.49979703935042002</v>
      </c>
      <c r="AF211" s="2">
        <v>0.44033343353611198</v>
      </c>
      <c r="AG211" s="2">
        <v>0.99287519600619101</v>
      </c>
      <c r="AH211" s="2">
        <v>0.94766673850276095</v>
      </c>
      <c r="AI211" s="2">
        <v>-0.34268575174808702</v>
      </c>
      <c r="AJ211" s="2">
        <v>0.97190869269819402</v>
      </c>
      <c r="AK211" s="2">
        <v>1.02207370496271E-2</v>
      </c>
      <c r="AL211" s="2">
        <v>7.2862071084559599</v>
      </c>
      <c r="AM211" s="2">
        <v>7.4788077080674498</v>
      </c>
      <c r="AN211" s="2">
        <v>133.335611237661</v>
      </c>
      <c r="AO211" s="2">
        <v>0.101241921972408</v>
      </c>
      <c r="AP211" s="2">
        <v>69.504176157934694</v>
      </c>
      <c r="AQ211" s="2">
        <v>51.540310719756697</v>
      </c>
      <c r="AR211" s="2">
        <v>292.48519362186801</v>
      </c>
      <c r="AS211" s="2">
        <v>37.285497342444998</v>
      </c>
      <c r="AT211" s="2">
        <v>8717.6226271829892</v>
      </c>
      <c r="AU211" s="2">
        <v>0.79923558544087803</v>
      </c>
      <c r="AV211" s="2">
        <v>1.4018309482124101E-2</v>
      </c>
      <c r="AW211" s="2">
        <v>0.11048573754640401</v>
      </c>
      <c r="AX211" s="2">
        <v>1.71306526928433E-2</v>
      </c>
      <c r="AY211" s="2">
        <v>394.86004271807298</v>
      </c>
      <c r="AZ211" s="2">
        <v>0.102184977890155</v>
      </c>
      <c r="BA211" s="2">
        <v>6.8069339891364899</v>
      </c>
      <c r="BB211" s="2">
        <v>289</v>
      </c>
    </row>
    <row r="212" spans="1:54" ht="13" x14ac:dyDescent="0.15">
      <c r="A212" s="1" t="s">
        <v>644</v>
      </c>
      <c r="B212" s="1" t="s">
        <v>645</v>
      </c>
      <c r="C212" s="5" t="s">
        <v>646</v>
      </c>
      <c r="D212" s="1" t="s">
        <v>304</v>
      </c>
      <c r="E212" s="2">
        <v>5880</v>
      </c>
      <c r="F212" s="2">
        <v>177959</v>
      </c>
      <c r="G212" s="2">
        <v>13794</v>
      </c>
      <c r="H212" s="2">
        <f t="shared" si="0"/>
        <v>197633</v>
      </c>
      <c r="I212" s="2">
        <v>236084</v>
      </c>
      <c r="J212" s="2">
        <v>1436885</v>
      </c>
      <c r="K212" s="2">
        <f t="shared" si="1"/>
        <v>0.13754267042943591</v>
      </c>
      <c r="M212" s="2">
        <v>0.729601466479189</v>
      </c>
      <c r="N212" s="2">
        <v>0.71585766368834403</v>
      </c>
      <c r="O212" s="2">
        <v>22.834681190763199</v>
      </c>
      <c r="P212" s="2">
        <v>31.898354029083102</v>
      </c>
      <c r="Q212" s="2">
        <v>33.015148038438397</v>
      </c>
      <c r="R212" s="2">
        <v>23.2730858778914</v>
      </c>
      <c r="S212" s="2">
        <v>0.45962493475366201</v>
      </c>
      <c r="T212" s="2">
        <v>3397.3692809489698</v>
      </c>
      <c r="U212" s="2">
        <v>598</v>
      </c>
      <c r="V212" s="2">
        <v>819</v>
      </c>
      <c r="W212" s="2">
        <v>233.85053017430999</v>
      </c>
      <c r="X212" s="2">
        <v>28067.610996676602</v>
      </c>
      <c r="Y212" s="2">
        <v>738.29923755809796</v>
      </c>
      <c r="Z212" s="2">
        <v>64.884657218956804</v>
      </c>
      <c r="AA212" s="2">
        <v>4.5167309710002099</v>
      </c>
      <c r="AB212" s="2">
        <v>0.86732021956474803</v>
      </c>
      <c r="AC212" s="2">
        <v>1.5395538972585101</v>
      </c>
      <c r="AD212" s="2">
        <v>2.2532413030945202</v>
      </c>
      <c r="AE212" s="2">
        <v>0.52768258141139202</v>
      </c>
      <c r="AF212" s="2">
        <v>0.47183620437687401</v>
      </c>
      <c r="AG212" s="2">
        <v>0.99568351807637101</v>
      </c>
      <c r="AH212" s="2">
        <v>0.95580790718101605</v>
      </c>
      <c r="AI212" s="2">
        <v>-0.266180803583692</v>
      </c>
      <c r="AJ212" s="2">
        <v>0.91862269194043</v>
      </c>
      <c r="AK212" s="2">
        <v>1.52336235663921E-2</v>
      </c>
      <c r="AL212" s="2">
        <v>6.6938636381885503</v>
      </c>
      <c r="AM212" s="2">
        <v>7.3555277239888799</v>
      </c>
      <c r="AN212" s="2">
        <v>569.59319727891204</v>
      </c>
      <c r="AO212" s="2">
        <v>9.68695913739646E-2</v>
      </c>
      <c r="AP212" s="2">
        <v>494.32959183673501</v>
      </c>
      <c r="AQ212" s="2">
        <v>18.845811814521699</v>
      </c>
      <c r="AR212" s="2">
        <v>241.61666666666699</v>
      </c>
      <c r="AS212" s="2">
        <v>46.915986394557798</v>
      </c>
      <c r="AT212" s="2">
        <v>10568.613945578199</v>
      </c>
      <c r="AU212" s="2">
        <v>0.27211631417385901</v>
      </c>
      <c r="AV212" s="2">
        <v>6.37544125513341E-3</v>
      </c>
      <c r="AW212" s="2">
        <v>0.67842925967961298</v>
      </c>
      <c r="AX212" s="2">
        <v>2.61521979938887E-3</v>
      </c>
      <c r="AY212" s="2">
        <v>384.49437750991598</v>
      </c>
      <c r="AZ212" s="2">
        <v>3.7303245418853999E-2</v>
      </c>
      <c r="BA212" s="2">
        <v>1.1915921341734399</v>
      </c>
      <c r="BB212" s="2">
        <v>302</v>
      </c>
    </row>
    <row r="213" spans="1:54" ht="13" x14ac:dyDescent="0.15">
      <c r="A213" s="1" t="s">
        <v>647</v>
      </c>
      <c r="B213" s="1" t="s">
        <v>648</v>
      </c>
      <c r="C213" s="5" t="s">
        <v>649</v>
      </c>
      <c r="D213" s="1" t="s">
        <v>304</v>
      </c>
      <c r="E213" s="2">
        <v>21941</v>
      </c>
      <c r="F213" s="2">
        <v>24966</v>
      </c>
      <c r="G213" s="2">
        <v>31176</v>
      </c>
      <c r="H213" s="2">
        <f t="shared" si="0"/>
        <v>78083</v>
      </c>
      <c r="I213" s="2">
        <v>118543</v>
      </c>
      <c r="J213" s="2">
        <v>1342776</v>
      </c>
      <c r="K213" s="2">
        <f t="shared" si="1"/>
        <v>5.8150428664200136E-2</v>
      </c>
      <c r="M213" s="2">
        <v>0.60782329881573105</v>
      </c>
      <c r="N213" s="2">
        <v>0.54833441528924498</v>
      </c>
      <c r="O213" s="2">
        <v>28.236977172871001</v>
      </c>
      <c r="P213" s="2">
        <v>51.495905391924197</v>
      </c>
      <c r="Q213" s="2">
        <v>58.694122363316801</v>
      </c>
      <c r="R213" s="2">
        <v>31.300411090822202</v>
      </c>
      <c r="S213" s="2">
        <v>0.42788825687322801</v>
      </c>
      <c r="T213" s="2">
        <v>8823.8770273837708</v>
      </c>
      <c r="U213" s="2">
        <v>638</v>
      </c>
      <c r="V213" s="2">
        <v>1190</v>
      </c>
      <c r="W213" s="2">
        <v>650.593645208618</v>
      </c>
      <c r="X213" s="2">
        <v>253015.32391089201</v>
      </c>
      <c r="Y213" s="2">
        <v>4157.21130328456</v>
      </c>
      <c r="Z213" s="2">
        <v>269.796966763314</v>
      </c>
      <c r="AA213" s="2">
        <v>12.457996069441799</v>
      </c>
      <c r="AB213" s="2">
        <v>0.91165117295812004</v>
      </c>
      <c r="AC213" s="2">
        <v>2.5760012561271499</v>
      </c>
      <c r="AD213" s="2">
        <v>2.9232275691070999</v>
      </c>
      <c r="AE213" s="2">
        <v>0.41730860254959401</v>
      </c>
      <c r="AF213" s="2">
        <v>0.33910786086532801</v>
      </c>
      <c r="AG213" s="2">
        <v>0.99473619256893797</v>
      </c>
      <c r="AH213" s="2">
        <v>0.95107429416488498</v>
      </c>
      <c r="AI213" s="2">
        <v>-0.25747072993559</v>
      </c>
      <c r="AJ213" s="2">
        <v>0.954324476857486</v>
      </c>
      <c r="AK213" s="2">
        <v>4.2717594135278899E-3</v>
      </c>
      <c r="AL213" s="2">
        <v>8.5614112115534002</v>
      </c>
      <c r="AM213" s="2">
        <v>7.9721460229546102</v>
      </c>
      <c r="AN213" s="2">
        <v>2894.9146802789301</v>
      </c>
      <c r="AO213" s="2">
        <v>0.131940872352169</v>
      </c>
      <c r="AP213" s="2">
        <v>911.39989061574204</v>
      </c>
      <c r="AQ213" s="2">
        <v>70.133397382746494</v>
      </c>
      <c r="AR213" s="2">
        <v>639.54988377922598</v>
      </c>
      <c r="AS213" s="2">
        <v>24.5196208012397</v>
      </c>
      <c r="AT213" s="2">
        <v>16284.5839296295</v>
      </c>
      <c r="AU213" s="2">
        <v>6.17638867305602E-2</v>
      </c>
      <c r="AV213" s="2">
        <v>2.6610680886944198E-3</v>
      </c>
      <c r="AW213" s="2">
        <v>1.064753138838</v>
      </c>
      <c r="AX213" s="2">
        <v>8.8483322431699501E-4</v>
      </c>
      <c r="AY213" s="2">
        <v>1277.0066723442401</v>
      </c>
      <c r="AZ213" s="2">
        <v>8.4954129391550406E-2</v>
      </c>
      <c r="BA213" s="2">
        <v>0.84043376188150398</v>
      </c>
      <c r="BB213" s="2">
        <v>990</v>
      </c>
    </row>
    <row r="214" spans="1:54" ht="13" x14ac:dyDescent="0.15">
      <c r="A214" s="6" t="s">
        <v>650</v>
      </c>
      <c r="B214" s="1" t="s">
        <v>651</v>
      </c>
      <c r="C214" s="1" t="s">
        <v>652</v>
      </c>
      <c r="D214" s="1" t="s">
        <v>304</v>
      </c>
      <c r="E214" s="2">
        <v>103</v>
      </c>
      <c r="F214" s="2">
        <v>9591</v>
      </c>
      <c r="G214" s="2">
        <v>8198</v>
      </c>
      <c r="H214" s="2">
        <f t="shared" si="0"/>
        <v>17892</v>
      </c>
      <c r="I214" s="2">
        <v>62917</v>
      </c>
      <c r="J214" s="2">
        <v>1501590</v>
      </c>
      <c r="K214" s="2">
        <f t="shared" si="1"/>
        <v>1.1915369708109405E-2</v>
      </c>
      <c r="M214" s="2">
        <v>0.63345265759482905</v>
      </c>
      <c r="N214" s="2">
        <v>0.33653495245209702</v>
      </c>
      <c r="O214" s="2">
        <v>8.7952337296911605</v>
      </c>
      <c r="P214" s="2">
        <v>26.134681303104902</v>
      </c>
      <c r="Q214" s="2">
        <v>19.646882704388499</v>
      </c>
      <c r="R214" s="2">
        <v>16.5550833268457</v>
      </c>
      <c r="S214" s="2">
        <v>0.31539394817836103</v>
      </c>
      <c r="T214" s="2">
        <v>235.542079880351</v>
      </c>
      <c r="U214" s="2">
        <v>1200.5999999999999</v>
      </c>
      <c r="V214" s="2">
        <v>1533.6</v>
      </c>
      <c r="W214" s="2">
        <v>1068.7417890915201</v>
      </c>
      <c r="X214" s="2">
        <v>18771.581320361602</v>
      </c>
      <c r="Y214" s="2">
        <v>-479.42280659248701</v>
      </c>
      <c r="Z214" s="2">
        <v>93.605694299205098</v>
      </c>
      <c r="AA214" s="2">
        <v>2.3549142701270398</v>
      </c>
      <c r="AB214" s="2">
        <v>0.94451440461787295</v>
      </c>
      <c r="AC214" s="2">
        <v>1.16139947522926</v>
      </c>
      <c r="AD214" s="2">
        <v>1.68690429055419</v>
      </c>
      <c r="AE214" s="2">
        <v>0.57164162423470899</v>
      </c>
      <c r="AF214" s="2">
        <v>0.53447202265017801</v>
      </c>
      <c r="AG214" s="2">
        <v>0.99837778573561498</v>
      </c>
      <c r="AH214" s="2">
        <v>0.97096591046795599</v>
      </c>
      <c r="AI214" s="2">
        <v>-0.74894592315081798</v>
      </c>
      <c r="AJ214" s="2">
        <v>0.99624968056687802</v>
      </c>
      <c r="AK214" s="2">
        <v>7.5282381545018401E-2</v>
      </c>
      <c r="AL214" s="2">
        <v>4.18698497983761</v>
      </c>
      <c r="AM214" s="2">
        <v>5.2736554449242501</v>
      </c>
      <c r="AN214" s="2">
        <v>25.4854368932039</v>
      </c>
      <c r="AO214" s="2">
        <v>0.24743142614761099</v>
      </c>
      <c r="AP214" s="2">
        <v>7.5242718446601904</v>
      </c>
      <c r="AQ214" s="2">
        <v>36.502403619568298</v>
      </c>
      <c r="AR214" s="2">
        <v>967.04854368932001</v>
      </c>
      <c r="AS214" s="2">
        <v>10.0679611650485</v>
      </c>
      <c r="AT214" s="2">
        <v>12117.8058252427</v>
      </c>
      <c r="AU214" s="2">
        <v>1.8837164102810701E-2</v>
      </c>
      <c r="AV214" s="2">
        <v>1.0948097072087E-2</v>
      </c>
      <c r="AW214" s="2">
        <v>9.0227690452988705E-3</v>
      </c>
      <c r="AX214" s="2">
        <v>0.18502924464731599</v>
      </c>
      <c r="AY214" s="2">
        <v>186.66856258097599</v>
      </c>
      <c r="AZ214" s="2">
        <v>0.147950796726841</v>
      </c>
      <c r="BA214" s="2">
        <v>66.217216819956306</v>
      </c>
      <c r="BB214" s="2">
        <v>409</v>
      </c>
    </row>
    <row r="215" spans="1:54" ht="13" x14ac:dyDescent="0.15">
      <c r="A215" s="1" t="s">
        <v>653</v>
      </c>
      <c r="B215" s="1" t="s">
        <v>654</v>
      </c>
      <c r="C215" s="5" t="s">
        <v>655</v>
      </c>
      <c r="D215" s="1" t="s">
        <v>304</v>
      </c>
      <c r="E215" s="2">
        <v>362</v>
      </c>
      <c r="F215" s="2">
        <v>32015</v>
      </c>
      <c r="G215" s="2">
        <v>2477</v>
      </c>
      <c r="H215" s="2">
        <f t="shared" si="0"/>
        <v>34854</v>
      </c>
      <c r="I215" s="2">
        <v>45974</v>
      </c>
      <c r="J215" s="2">
        <v>1705228</v>
      </c>
      <c r="K215" s="2">
        <f t="shared" si="1"/>
        <v>2.0439495480956211E-2</v>
      </c>
      <c r="M215" s="2">
        <v>0.616782200871137</v>
      </c>
      <c r="N215" s="2">
        <v>0.48044115261256498</v>
      </c>
      <c r="O215" s="2">
        <v>6.2394544840680899</v>
      </c>
      <c r="P215" s="2">
        <v>12.986927639605501</v>
      </c>
      <c r="Q215" s="2">
        <v>11.6619037896906</v>
      </c>
      <c r="R215" s="2">
        <v>8.0101058121101296</v>
      </c>
      <c r="S215" s="2">
        <v>0.669742474413619</v>
      </c>
      <c r="T215" s="2">
        <v>360.25822773932202</v>
      </c>
      <c r="U215" s="2">
        <v>753.3</v>
      </c>
      <c r="V215" s="2">
        <v>932.9</v>
      </c>
      <c r="W215" s="2">
        <v>68.987979065851604</v>
      </c>
      <c r="X215" s="2">
        <v>1601.5508097879899</v>
      </c>
      <c r="Y215" s="2">
        <v>35.809139175831099</v>
      </c>
      <c r="Z215" s="2">
        <v>21.9292762724189</v>
      </c>
      <c r="AA215" s="2">
        <v>6.6366466591713102</v>
      </c>
      <c r="AB215" s="2">
        <v>0.53666042453102003</v>
      </c>
      <c r="AC215" s="2">
        <v>2.0104740750283399</v>
      </c>
      <c r="AD215" s="2">
        <v>2.48429090243686</v>
      </c>
      <c r="AE215" s="2">
        <v>0.44805131011138599</v>
      </c>
      <c r="AF215" s="2">
        <v>0.37415115611806399</v>
      </c>
      <c r="AG215" s="2">
        <v>0.97853214833076096</v>
      </c>
      <c r="AH215" s="2">
        <v>0.900274723105425</v>
      </c>
      <c r="AI215" s="2">
        <v>-0.16527155998927101</v>
      </c>
      <c r="AJ215" s="2">
        <v>0.811977894558365</v>
      </c>
      <c r="AK215" s="2">
        <v>1.6997910186080802E-2</v>
      </c>
      <c r="AL215" s="2">
        <v>6.2892247149837202</v>
      </c>
      <c r="AM215" s="2">
        <v>5.9008603103286603</v>
      </c>
      <c r="AN215" s="2">
        <v>55.872928176795597</v>
      </c>
      <c r="AO215" s="2">
        <v>0.154345105460761</v>
      </c>
      <c r="AP215" s="2">
        <v>37.033149171270701</v>
      </c>
      <c r="AQ215" s="2">
        <v>8.1202649491773808</v>
      </c>
      <c r="AR215" s="2">
        <v>77.441988950276198</v>
      </c>
      <c r="AS215" s="2">
        <v>18.232044198895</v>
      </c>
      <c r="AT215" s="2">
        <v>1255.06629834254</v>
      </c>
      <c r="AU215" s="2">
        <v>0.35219303449182099</v>
      </c>
      <c r="AV215" s="2">
        <v>2.8912834661412E-2</v>
      </c>
      <c r="AW215" s="2">
        <v>0.27337803200365501</v>
      </c>
      <c r="AX215" s="2">
        <v>2.6229571735576999E-2</v>
      </c>
      <c r="AY215" s="2">
        <v>141.48779882674199</v>
      </c>
      <c r="AZ215" s="2">
        <v>7.5735938356581101E-2</v>
      </c>
      <c r="BA215" s="2">
        <v>2.4120067963595302</v>
      </c>
      <c r="BB215" s="2">
        <v>648</v>
      </c>
    </row>
    <row r="216" spans="1:54" ht="13" x14ac:dyDescent="0.15">
      <c r="A216" s="1" t="s">
        <v>656</v>
      </c>
      <c r="B216" s="1" t="s">
        <v>657</v>
      </c>
      <c r="C216" s="5" t="s">
        <v>658</v>
      </c>
      <c r="D216" s="1" t="s">
        <v>304</v>
      </c>
      <c r="E216" s="2">
        <v>920</v>
      </c>
      <c r="F216" s="2">
        <v>15696</v>
      </c>
      <c r="G216" s="2">
        <v>13986</v>
      </c>
      <c r="H216" s="2">
        <f t="shared" si="0"/>
        <v>30602</v>
      </c>
      <c r="I216" s="2">
        <v>52925</v>
      </c>
      <c r="J216" s="2">
        <v>1357000</v>
      </c>
      <c r="K216" s="2">
        <f t="shared" si="1"/>
        <v>2.2551215917464996E-2</v>
      </c>
      <c r="M216" s="2">
        <v>0.29861922787905099</v>
      </c>
      <c r="N216" s="2">
        <v>0.21186420200703199</v>
      </c>
      <c r="O216" s="2">
        <v>8.5774050577267698</v>
      </c>
      <c r="P216" s="2">
        <v>40.485391002686001</v>
      </c>
      <c r="Q216" s="2">
        <v>17.4928556845359</v>
      </c>
      <c r="R216" s="2">
        <v>12.089716201603499</v>
      </c>
      <c r="S216" s="2">
        <v>0.48209529172257398</v>
      </c>
      <c r="T216" s="2">
        <v>924.13328643573197</v>
      </c>
      <c r="U216" s="2">
        <v>646.9</v>
      </c>
      <c r="V216" s="2">
        <v>1142.0999999999999</v>
      </c>
      <c r="W216" s="2">
        <v>341.08122306224601</v>
      </c>
      <c r="X216" s="2">
        <v>66043.021961548497</v>
      </c>
      <c r="Y216" s="2">
        <v>-1215.7739945859901</v>
      </c>
      <c r="Z216" s="2">
        <v>150.37358529347401</v>
      </c>
      <c r="AA216" s="2">
        <v>20.474042628561399</v>
      </c>
      <c r="AB216" s="2">
        <v>0.75499020565861996</v>
      </c>
      <c r="AC216" s="2">
        <v>3.4535042792359798</v>
      </c>
      <c r="AD216" s="2">
        <v>3.21248525742027</v>
      </c>
      <c r="AE216" s="2">
        <v>0.34587608635689698</v>
      </c>
      <c r="AF216" s="2">
        <v>0.25553208678410899</v>
      </c>
      <c r="AG216" s="2">
        <v>0.98138673415216204</v>
      </c>
      <c r="AH216" s="2">
        <v>0.90819853678946705</v>
      </c>
      <c r="AI216" s="2">
        <v>-0.23696720728256199</v>
      </c>
      <c r="AJ216" s="2">
        <v>0.93550760607693795</v>
      </c>
      <c r="AK216" s="2">
        <v>4.4863486533944499E-3</v>
      </c>
      <c r="AL216" s="2">
        <v>8.15108325358357</v>
      </c>
      <c r="AM216" s="2">
        <v>6.7754297294015497</v>
      </c>
      <c r="AN216" s="2">
        <v>196.43695652173901</v>
      </c>
      <c r="AO216" s="2">
        <v>0.21351843100189</v>
      </c>
      <c r="AP216" s="2">
        <v>38.491304347826102</v>
      </c>
      <c r="AQ216" s="2">
        <v>51.056397684309999</v>
      </c>
      <c r="AR216" s="2">
        <v>293.84021739130401</v>
      </c>
      <c r="AS216" s="2">
        <v>9.2869565217391301</v>
      </c>
      <c r="AT216" s="2">
        <v>2554.3249999999998</v>
      </c>
      <c r="AU216" s="2">
        <v>0.28176480678363303</v>
      </c>
      <c r="AV216" s="2">
        <v>2.1501330825156401E-2</v>
      </c>
      <c r="AW216" s="2">
        <v>0.158642416904791</v>
      </c>
      <c r="AX216" s="2">
        <v>1.4173788701458599E-2</v>
      </c>
      <c r="AY216" s="2">
        <v>732.32992754682004</v>
      </c>
      <c r="AZ216" s="2">
        <v>0.21071232706947701</v>
      </c>
      <c r="BA216" s="2">
        <v>4.66086483221045</v>
      </c>
      <c r="BB216" s="2">
        <v>285</v>
      </c>
    </row>
    <row r="217" spans="1:54" ht="13" x14ac:dyDescent="0.15">
      <c r="A217" s="1" t="s">
        <v>659</v>
      </c>
      <c r="B217" s="1" t="s">
        <v>660</v>
      </c>
      <c r="C217" s="5" t="s">
        <v>661</v>
      </c>
      <c r="D217" s="1" t="s">
        <v>304</v>
      </c>
      <c r="E217" s="2">
        <v>943</v>
      </c>
      <c r="F217" s="2">
        <v>33547</v>
      </c>
      <c r="G217" s="2">
        <v>3603</v>
      </c>
      <c r="H217" s="2">
        <f t="shared" si="0"/>
        <v>38093</v>
      </c>
      <c r="I217" s="2">
        <v>53942</v>
      </c>
      <c r="J217" s="2">
        <v>1572190</v>
      </c>
      <c r="K217" s="2">
        <f t="shared" si="1"/>
        <v>2.422925982228611E-2</v>
      </c>
      <c r="M217" s="2">
        <v>0.54016178789082103</v>
      </c>
      <c r="N217" s="2">
        <v>0.34662644349148802</v>
      </c>
      <c r="O217" s="2">
        <v>7.1569014419655597</v>
      </c>
      <c r="P217" s="2">
        <v>20.647303679072301</v>
      </c>
      <c r="Q217" s="2">
        <v>18.681541692269398</v>
      </c>
      <c r="R217" s="2">
        <v>11.152884470412401</v>
      </c>
      <c r="S217" s="2">
        <v>0.63740883751667599</v>
      </c>
      <c r="T217" s="2">
        <v>722.77443786694505</v>
      </c>
      <c r="U217" s="2">
        <v>767</v>
      </c>
      <c r="V217" s="2">
        <v>993.4</v>
      </c>
      <c r="W217" s="2">
        <v>103.616547094</v>
      </c>
      <c r="X217" s="2">
        <v>7188.1962771457702</v>
      </c>
      <c r="Y217" s="2">
        <v>258.38138572766599</v>
      </c>
      <c r="Z217" s="2">
        <v>43.918447476890002</v>
      </c>
      <c r="AA217" s="2">
        <v>9.3105436491351892</v>
      </c>
      <c r="AB217" s="2">
        <v>0.65240956685668505</v>
      </c>
      <c r="AC217" s="2">
        <v>2.1484312246708299</v>
      </c>
      <c r="AD217" s="2">
        <v>2.6983859406050499</v>
      </c>
      <c r="AE217" s="2">
        <v>0.46937400571930499</v>
      </c>
      <c r="AF217" s="2">
        <v>0.40264937893180103</v>
      </c>
      <c r="AG217" s="2">
        <v>0.98240368931002797</v>
      </c>
      <c r="AH217" s="2">
        <v>0.91752351266050802</v>
      </c>
      <c r="AI217" s="2">
        <v>-0.180038151582081</v>
      </c>
      <c r="AJ217" s="2">
        <v>0.84420354419245003</v>
      </c>
      <c r="AK217" s="2">
        <v>1.5538629164610299E-2</v>
      </c>
      <c r="AL217" s="2">
        <v>6.7963327966148901</v>
      </c>
      <c r="AM217" s="2">
        <v>6.6876833496106496</v>
      </c>
      <c r="AN217" s="2">
        <v>112.743372216331</v>
      </c>
      <c r="AO217" s="2">
        <v>0.119558188988686</v>
      </c>
      <c r="AP217" s="2">
        <v>91.511134676564197</v>
      </c>
      <c r="AQ217" s="2">
        <v>12.506708469731199</v>
      </c>
      <c r="AR217" s="2">
        <v>98.270413573701006</v>
      </c>
      <c r="AS217" s="2">
        <v>32.397667020148504</v>
      </c>
      <c r="AT217" s="2">
        <v>2899.3860021208902</v>
      </c>
      <c r="AU217" s="2">
        <v>0.47586306877090201</v>
      </c>
      <c r="AV217" s="2">
        <v>2.0307273225190801E-2</v>
      </c>
      <c r="AW217" s="2">
        <v>0.452882837012694</v>
      </c>
      <c r="AX217" s="2">
        <v>1.06713555842835E-2</v>
      </c>
      <c r="AY217" s="2">
        <v>254.32368673951001</v>
      </c>
      <c r="AZ217" s="2">
        <v>6.8824513194786496E-2</v>
      </c>
      <c r="BA217" s="2">
        <v>2.1204808701237399</v>
      </c>
      <c r="BB217" s="2">
        <v>742</v>
      </c>
    </row>
    <row r="218" spans="1:54" ht="13" x14ac:dyDescent="0.15">
      <c r="A218" s="1" t="s">
        <v>662</v>
      </c>
      <c r="B218" s="1" t="s">
        <v>663</v>
      </c>
      <c r="C218" s="5" t="s">
        <v>664</v>
      </c>
      <c r="D218" s="1" t="s">
        <v>304</v>
      </c>
      <c r="E218" s="2">
        <v>3475</v>
      </c>
      <c r="F218" s="2">
        <v>13261</v>
      </c>
      <c r="G218" s="2">
        <v>5997</v>
      </c>
      <c r="H218" s="2">
        <f t="shared" si="0"/>
        <v>22733</v>
      </c>
      <c r="I218" s="2">
        <v>33759</v>
      </c>
      <c r="J218" s="2">
        <v>1412550</v>
      </c>
      <c r="K218" s="2">
        <f t="shared" si="1"/>
        <v>1.6093589607447525E-2</v>
      </c>
      <c r="M218" s="2">
        <v>0.90074674965131896</v>
      </c>
      <c r="N218" s="2">
        <v>0.51469694431619095</v>
      </c>
      <c r="O218" s="2">
        <v>13.8706142527537</v>
      </c>
      <c r="P218" s="2">
        <v>26.949089956579801</v>
      </c>
      <c r="Q218" s="2">
        <v>28.0178514522438</v>
      </c>
      <c r="R218" s="2">
        <v>24.274305184450199</v>
      </c>
      <c r="S218" s="2">
        <v>0.47396742737446501</v>
      </c>
      <c r="T218" s="2">
        <v>2319.01087566657</v>
      </c>
      <c r="U218" s="2">
        <v>604.4</v>
      </c>
      <c r="V218" s="2">
        <v>1564</v>
      </c>
      <c r="W218" s="2">
        <v>2470.2225516020599</v>
      </c>
      <c r="X218" s="2">
        <v>2709265.61681333</v>
      </c>
      <c r="Y218" s="2">
        <v>-25648.330192404599</v>
      </c>
      <c r="Z218" s="2">
        <v>822.28923416520797</v>
      </c>
      <c r="AA218" s="2">
        <v>79.815381144154401</v>
      </c>
      <c r="AB218" s="2">
        <v>0.82316913345384202</v>
      </c>
      <c r="AC218" s="2">
        <v>5.9649255727137502</v>
      </c>
      <c r="AD218" s="2">
        <v>4.0539905323468099</v>
      </c>
      <c r="AE218" s="2">
        <v>0.290016991183775</v>
      </c>
      <c r="AF218" s="2">
        <v>0.20474212716201601</v>
      </c>
      <c r="AG218" s="2">
        <v>0.99119634426768299</v>
      </c>
      <c r="AH218" s="2">
        <v>0.94287798346625196</v>
      </c>
      <c r="AI218" s="2">
        <v>-0.251069234417586</v>
      </c>
      <c r="AJ218" s="2">
        <v>0.96980082267490397</v>
      </c>
      <c r="AK218" s="2">
        <v>1.6270017149199901E-3</v>
      </c>
      <c r="AL218" s="2">
        <v>9.9804886025045292</v>
      </c>
      <c r="AM218" s="2">
        <v>7.9262883307828096</v>
      </c>
      <c r="AN218" s="2">
        <v>783.70273381294999</v>
      </c>
      <c r="AO218" s="2">
        <v>0.225525966564878</v>
      </c>
      <c r="AP218" s="2">
        <v>82.918848920863297</v>
      </c>
      <c r="AQ218" s="2">
        <v>220.581294632783</v>
      </c>
      <c r="AR218" s="2">
        <v>2429.5271942446002</v>
      </c>
      <c r="AS218" s="2">
        <v>11.775827338129501</v>
      </c>
      <c r="AT218" s="2">
        <v>34718.751942445997</v>
      </c>
      <c r="AU218" s="2">
        <v>3.8347302064186302E-2</v>
      </c>
      <c r="AV218" s="2">
        <v>3.7013880125091399E-3</v>
      </c>
      <c r="AW218" s="2">
        <v>4.2684065181738499E-2</v>
      </c>
      <c r="AX218" s="2">
        <v>4.6531211141194904E-3</v>
      </c>
      <c r="AY218" s="2">
        <v>9539.8420466325497</v>
      </c>
      <c r="AZ218" s="2">
        <v>0.193340048287892</v>
      </c>
      <c r="BA218" s="2">
        <v>13.3779862911967</v>
      </c>
      <c r="BB218" s="2">
        <v>389</v>
      </c>
    </row>
    <row r="219" spans="1:54" ht="13" x14ac:dyDescent="0.15">
      <c r="A219" s="1" t="s">
        <v>665</v>
      </c>
      <c r="B219" s="1" t="s">
        <v>666</v>
      </c>
      <c r="C219" s="5" t="s">
        <v>667</v>
      </c>
      <c r="D219" s="1" t="s">
        <v>304</v>
      </c>
      <c r="E219" s="2">
        <v>15229</v>
      </c>
      <c r="F219" s="2">
        <v>27675</v>
      </c>
      <c r="G219" s="2">
        <v>10532</v>
      </c>
      <c r="H219" s="2">
        <f t="shared" si="0"/>
        <v>53436</v>
      </c>
      <c r="I219" s="2">
        <v>100012</v>
      </c>
      <c r="J219" s="2">
        <v>1618136</v>
      </c>
      <c r="K219" s="2">
        <f t="shared" si="1"/>
        <v>3.3023182229429418E-2</v>
      </c>
      <c r="M219" s="2">
        <v>0.60772589666946797</v>
      </c>
      <c r="N219" s="2">
        <v>0.51200858208157596</v>
      </c>
      <c r="O219" s="2">
        <v>23.533079269273799</v>
      </c>
      <c r="P219" s="2">
        <v>45.962275033750203</v>
      </c>
      <c r="Q219" s="2">
        <v>53.851648071344997</v>
      </c>
      <c r="R219" s="2">
        <v>27.932464807854501</v>
      </c>
      <c r="S219" s="2">
        <v>0.442040302009723</v>
      </c>
      <c r="T219" s="2">
        <v>6691.3133572507104</v>
      </c>
      <c r="U219" s="2">
        <v>1094</v>
      </c>
      <c r="V219" s="2">
        <v>1628</v>
      </c>
      <c r="W219" s="2">
        <v>2380.5279216069798</v>
      </c>
      <c r="X219" s="2">
        <v>310108.395472901</v>
      </c>
      <c r="Y219" s="2">
        <v>-2393.1849292760198</v>
      </c>
      <c r="Z219" s="2">
        <v>261.265284292849</v>
      </c>
      <c r="AA219" s="2">
        <v>29.063464893570099</v>
      </c>
      <c r="AB219" s="2">
        <v>0.79973641674891804</v>
      </c>
      <c r="AC219" s="2">
        <v>3.5776900112196501</v>
      </c>
      <c r="AD219" s="2">
        <v>3.4049322104688602</v>
      </c>
      <c r="AE219" s="2">
        <v>0.39217632087564802</v>
      </c>
      <c r="AF219" s="2">
        <v>0.31736251238862101</v>
      </c>
      <c r="AG219" s="2">
        <v>0.99501922203332105</v>
      </c>
      <c r="AH219" s="2">
        <v>0.95674408619446905</v>
      </c>
      <c r="AI219" s="2">
        <v>-0.20186169372398399</v>
      </c>
      <c r="AJ219" s="2">
        <v>0.92601122435586902</v>
      </c>
      <c r="AK219" s="2">
        <v>4.0518141669522202E-3</v>
      </c>
      <c r="AL219" s="2">
        <v>9.0498758335456593</v>
      </c>
      <c r="AM219" s="2">
        <v>8.1815544280254109</v>
      </c>
      <c r="AN219" s="2">
        <v>1970.6179657232899</v>
      </c>
      <c r="AO219" s="2">
        <v>0.12939903905202499</v>
      </c>
      <c r="AP219" s="2">
        <v>582.36358263838702</v>
      </c>
      <c r="AQ219" s="2">
        <v>77.294407107417399</v>
      </c>
      <c r="AR219" s="2">
        <v>2335.81876682645</v>
      </c>
      <c r="AS219" s="2">
        <v>30.387484404754101</v>
      </c>
      <c r="AT219" s="2">
        <v>78426.279598135094</v>
      </c>
      <c r="AU219" s="2">
        <v>1.2637519233778901E-2</v>
      </c>
      <c r="AV219" s="2">
        <v>6.2405982537301402E-4</v>
      </c>
      <c r="AW219" s="2">
        <v>0.206544217608082</v>
      </c>
      <c r="AX219" s="2">
        <v>1.0337404815833899E-3</v>
      </c>
      <c r="AY219" s="2">
        <v>5135.1827971638404</v>
      </c>
      <c r="AZ219" s="2">
        <v>6.3022607245432405E-2</v>
      </c>
      <c r="BA219" s="2">
        <v>2.75802504168538</v>
      </c>
      <c r="BB219" s="2">
        <v>922</v>
      </c>
    </row>
    <row r="220" spans="1:54" ht="13" x14ac:dyDescent="0.15">
      <c r="A220" s="1" t="s">
        <v>668</v>
      </c>
      <c r="B220" s="1" t="s">
        <v>669</v>
      </c>
      <c r="C220" s="5" t="s">
        <v>670</v>
      </c>
      <c r="D220" s="1" t="s">
        <v>304</v>
      </c>
      <c r="E220" s="2">
        <v>7953</v>
      </c>
      <c r="F220" s="2">
        <v>65764</v>
      </c>
      <c r="G220" s="2">
        <v>15618</v>
      </c>
      <c r="H220" s="2">
        <f t="shared" si="0"/>
        <v>89335</v>
      </c>
      <c r="I220" s="2">
        <v>138511</v>
      </c>
      <c r="J220" s="2">
        <v>1408493</v>
      </c>
      <c r="K220" s="2">
        <f t="shared" si="1"/>
        <v>6.3425945318862073E-2</v>
      </c>
      <c r="M220" s="2">
        <v>0.393488433905822</v>
      </c>
      <c r="N220" s="2">
        <v>0.32847897151901301</v>
      </c>
      <c r="O220" s="2">
        <v>19.003748880163201</v>
      </c>
      <c r="P220" s="2">
        <v>57.853776125401602</v>
      </c>
      <c r="Q220" s="2">
        <v>70.114192571832405</v>
      </c>
      <c r="R220" s="2">
        <v>22.7647917631223</v>
      </c>
      <c r="S220" s="2">
        <v>0.50157317147752301</v>
      </c>
      <c r="T220" s="2">
        <v>3831.7118950809099</v>
      </c>
      <c r="U220" s="2">
        <v>1059</v>
      </c>
      <c r="V220" s="2">
        <v>1557</v>
      </c>
      <c r="W220" s="2">
        <v>1055.6965735113799</v>
      </c>
      <c r="X220" s="2">
        <v>116107.376037806</v>
      </c>
      <c r="Y220" s="2">
        <v>-1876.96059883468</v>
      </c>
      <c r="Z220" s="2">
        <v>189.31629400724501</v>
      </c>
      <c r="AA220" s="2">
        <v>17.184353079539601</v>
      </c>
      <c r="AB220" s="2">
        <v>0.83244241057264701</v>
      </c>
      <c r="AC220" s="2">
        <v>3.04880758055574</v>
      </c>
      <c r="AD220" s="2">
        <v>3.1220003597836001</v>
      </c>
      <c r="AE220" s="2">
        <v>0.378808366036198</v>
      </c>
      <c r="AF220" s="2">
        <v>0.29366035887516401</v>
      </c>
      <c r="AG220" s="2">
        <v>0.99254213766553701</v>
      </c>
      <c r="AH220" s="2">
        <v>0.941776523953752</v>
      </c>
      <c r="AI220" s="2">
        <v>-0.207125708000856</v>
      </c>
      <c r="AJ220" s="2">
        <v>0.919415041664009</v>
      </c>
      <c r="AK220" s="2">
        <v>3.8701519038532401E-3</v>
      </c>
      <c r="AL220" s="2">
        <v>8.5727950897752798</v>
      </c>
      <c r="AM220" s="2">
        <v>7.6015973171425504</v>
      </c>
      <c r="AN220" s="2">
        <v>1239.0455174148101</v>
      </c>
      <c r="AO220" s="2">
        <v>0.15579599112470899</v>
      </c>
      <c r="AP220" s="2">
        <v>305.07971834527899</v>
      </c>
      <c r="AQ220" s="2">
        <v>60.897335058608299</v>
      </c>
      <c r="AR220" s="2">
        <v>1006.62416698101</v>
      </c>
      <c r="AS220" s="2">
        <v>18.201810637495299</v>
      </c>
      <c r="AT220" s="2">
        <v>22363.891361750299</v>
      </c>
      <c r="AU220" s="2">
        <v>2.0420957307537801E-2</v>
      </c>
      <c r="AV220" s="2">
        <v>1.7977550835539501E-3</v>
      </c>
      <c r="AW220" s="2">
        <v>0.264307911589998</v>
      </c>
      <c r="AX220" s="2">
        <v>2.2890962892722399E-3</v>
      </c>
      <c r="AY220" s="2">
        <v>1574.3246105922401</v>
      </c>
      <c r="AZ220" s="2">
        <v>9.3285915474072098E-2</v>
      </c>
      <c r="BA220" s="2">
        <v>2.0734492714889501</v>
      </c>
      <c r="BB220" s="2">
        <v>496</v>
      </c>
    </row>
    <row r="221" spans="1:54" ht="13" x14ac:dyDescent="0.15">
      <c r="A221" s="1" t="s">
        <v>671</v>
      </c>
      <c r="B221" s="1" t="s">
        <v>672</v>
      </c>
      <c r="C221" s="5" t="s">
        <v>673</v>
      </c>
      <c r="D221" s="1" t="s">
        <v>304</v>
      </c>
      <c r="E221" s="2">
        <v>22750</v>
      </c>
      <c r="F221" s="2">
        <v>39176</v>
      </c>
      <c r="G221" s="2">
        <v>10918</v>
      </c>
      <c r="H221" s="2">
        <f t="shared" si="0"/>
        <v>72844</v>
      </c>
      <c r="I221" s="2">
        <v>100114</v>
      </c>
      <c r="J221" s="2">
        <v>1543431</v>
      </c>
      <c r="K221" s="2">
        <f t="shared" si="1"/>
        <v>4.7196149358150773E-2</v>
      </c>
      <c r="M221" s="2">
        <v>0.77701349150458898</v>
      </c>
      <c r="N221" s="2">
        <v>0.49449674163347002</v>
      </c>
      <c r="O221" s="2">
        <v>21.7829490948236</v>
      </c>
      <c r="P221" s="2">
        <v>44.050743434361301</v>
      </c>
      <c r="Q221" s="2">
        <v>45.880278987817803</v>
      </c>
      <c r="R221" s="2">
        <v>34.228021959305899</v>
      </c>
      <c r="S221" s="2">
        <v>0.75960593829781498</v>
      </c>
      <c r="T221" s="2">
        <v>5102.2036452686298</v>
      </c>
      <c r="U221" s="2">
        <v>1333</v>
      </c>
      <c r="V221" s="2">
        <v>1982</v>
      </c>
      <c r="W221" s="2">
        <v>5229.5935195629099</v>
      </c>
      <c r="X221" s="2">
        <v>4021698.6257213699</v>
      </c>
      <c r="Y221" s="2">
        <v>-39768.574852370097</v>
      </c>
      <c r="Z221" s="2">
        <v>630.05138990101204</v>
      </c>
      <c r="AA221" s="2">
        <v>29.557705198044498</v>
      </c>
      <c r="AB221" s="2">
        <v>0.91026380753297698</v>
      </c>
      <c r="AC221" s="2">
        <v>3.0924975267557402</v>
      </c>
      <c r="AD221" s="2">
        <v>3.16150388561298</v>
      </c>
      <c r="AE221" s="2">
        <v>0.48599858906610099</v>
      </c>
      <c r="AF221" s="2">
        <v>0.43315034969712501</v>
      </c>
      <c r="AG221" s="2">
        <v>0.99615729603632497</v>
      </c>
      <c r="AH221" s="2">
        <v>0.96745455669220604</v>
      </c>
      <c r="AI221" s="2">
        <v>-0.28287680217362998</v>
      </c>
      <c r="AJ221" s="2">
        <v>0.96200045286638203</v>
      </c>
      <c r="AK221" s="2">
        <v>1.5027850890570099E-2</v>
      </c>
      <c r="AL221" s="2">
        <v>8.1599783460295505</v>
      </c>
      <c r="AM221" s="2">
        <v>8.2783551027498792</v>
      </c>
      <c r="AN221" s="2">
        <v>1778.71991208791</v>
      </c>
      <c r="AO221" s="2">
        <v>7.8185490641226901E-2</v>
      </c>
      <c r="AP221" s="2">
        <v>1341.2043956043999</v>
      </c>
      <c r="AQ221" s="2">
        <v>173.27584692476799</v>
      </c>
      <c r="AR221" s="2">
        <v>5141.6604835164799</v>
      </c>
      <c r="AS221" s="2">
        <v>79.1314285714286</v>
      </c>
      <c r="AT221" s="2">
        <v>475380.78707692301</v>
      </c>
      <c r="AU221" s="2">
        <v>2.00705214675591E-2</v>
      </c>
      <c r="AV221" s="2">
        <v>7.0408476590991004E-4</v>
      </c>
      <c r="AW221" s="2">
        <v>0.14309065720452299</v>
      </c>
      <c r="AX221" s="2">
        <v>7.3372693088277199E-4</v>
      </c>
      <c r="AY221" s="2">
        <v>7421.9812426963599</v>
      </c>
      <c r="AZ221" s="2">
        <v>8.9417714870840603E-2</v>
      </c>
      <c r="BA221" s="2">
        <v>6.0840389281525997</v>
      </c>
      <c r="BB221" s="2">
        <v>1451</v>
      </c>
    </row>
    <row r="222" spans="1:54" ht="13" x14ac:dyDescent="0.15">
      <c r="A222" s="1" t="s">
        <v>674</v>
      </c>
      <c r="B222" s="1" t="s">
        <v>675</v>
      </c>
      <c r="C222" s="5" t="s">
        <v>676</v>
      </c>
      <c r="D222" s="1" t="s">
        <v>304</v>
      </c>
      <c r="E222" s="2">
        <v>3629</v>
      </c>
      <c r="F222" s="2">
        <v>4729</v>
      </c>
      <c r="G222" s="2">
        <v>11118</v>
      </c>
      <c r="H222" s="2">
        <f t="shared" si="0"/>
        <v>19476</v>
      </c>
      <c r="I222" s="2">
        <v>97834</v>
      </c>
      <c r="J222" s="2">
        <v>1234346</v>
      </c>
      <c r="K222" s="2">
        <f t="shared" si="1"/>
        <v>1.5778396008898639E-2</v>
      </c>
      <c r="M222" s="2">
        <v>0.20621288763930401</v>
      </c>
      <c r="N222" s="2">
        <v>0.163905883340215</v>
      </c>
      <c r="O222" s="2">
        <v>14.736658216994501</v>
      </c>
      <c r="P222" s="2">
        <v>89.9092693726313</v>
      </c>
      <c r="Q222" s="2">
        <v>22.472205054244199</v>
      </c>
      <c r="R222" s="2">
        <v>18.540450062870299</v>
      </c>
      <c r="S222" s="2">
        <v>0.55100930269548898</v>
      </c>
      <c r="T222" s="2">
        <v>2055.3718130116799</v>
      </c>
      <c r="U222" s="2">
        <v>466</v>
      </c>
      <c r="V222" s="2">
        <v>816</v>
      </c>
      <c r="W222" s="2">
        <v>635.47306859715798</v>
      </c>
      <c r="X222" s="2">
        <v>56219.417802069504</v>
      </c>
      <c r="Y222" s="2">
        <v>-1045.47223925563</v>
      </c>
      <c r="Z222" s="2">
        <v>114.422979744619</v>
      </c>
      <c r="AA222" s="2">
        <v>13.6173936849173</v>
      </c>
      <c r="AB222" s="2">
        <v>0.78632774539586603</v>
      </c>
      <c r="AC222" s="2">
        <v>2.6041397825071302</v>
      </c>
      <c r="AD222" s="2">
        <v>2.9314886583486301</v>
      </c>
      <c r="AE222" s="2">
        <v>0.42009356836952999</v>
      </c>
      <c r="AF222" s="2">
        <v>0.34334938020912897</v>
      </c>
      <c r="AG222" s="2">
        <v>0.99062619399861895</v>
      </c>
      <c r="AH222" s="2">
        <v>0.93786277222297798</v>
      </c>
      <c r="AI222" s="2">
        <v>-0.20472501987914099</v>
      </c>
      <c r="AJ222" s="2">
        <v>0.90414895078850899</v>
      </c>
      <c r="AK222" s="2">
        <v>5.87739650809778E-3</v>
      </c>
      <c r="AL222" s="2">
        <v>7.9773131189169098</v>
      </c>
      <c r="AM222" s="2">
        <v>7.4285941068537102</v>
      </c>
      <c r="AN222" s="2">
        <v>483.83769633507899</v>
      </c>
      <c r="AO222" s="2">
        <v>0.13332535032655801</v>
      </c>
      <c r="AP222" s="2">
        <v>192.620281069165</v>
      </c>
      <c r="AQ222" s="2">
        <v>33.946790652835602</v>
      </c>
      <c r="AR222" s="2">
        <v>623.38330118489898</v>
      </c>
      <c r="AS222" s="2">
        <v>22.756957839625201</v>
      </c>
      <c r="AT222" s="2">
        <v>15088.1984017636</v>
      </c>
      <c r="AU222" s="2">
        <v>6.1275142523241802E-2</v>
      </c>
      <c r="AV222" s="2">
        <v>3.59200569160206E-3</v>
      </c>
      <c r="AW222" s="2">
        <v>0.231816847569454</v>
      </c>
      <c r="AX222" s="2">
        <v>4.1206812433448098E-3</v>
      </c>
      <c r="AY222" s="2">
        <v>877.64211184296005</v>
      </c>
      <c r="AZ222" s="2">
        <v>7.6519217998690103E-2</v>
      </c>
      <c r="BA222" s="2">
        <v>2.3880083197577502</v>
      </c>
      <c r="BB222" s="2">
        <v>36</v>
      </c>
    </row>
    <row r="223" spans="1:54" ht="13" x14ac:dyDescent="0.15">
      <c r="A223" s="1" t="s">
        <v>677</v>
      </c>
      <c r="B223" s="1" t="s">
        <v>678</v>
      </c>
      <c r="C223" s="5" t="s">
        <v>679</v>
      </c>
      <c r="D223" s="1" t="s">
        <v>304</v>
      </c>
      <c r="E223" s="2">
        <v>16966</v>
      </c>
      <c r="F223" s="2">
        <v>116633</v>
      </c>
      <c r="G223" s="2">
        <v>50097</v>
      </c>
      <c r="H223" s="2">
        <f t="shared" si="0"/>
        <v>183696</v>
      </c>
      <c r="I223" s="2">
        <v>272937</v>
      </c>
      <c r="J223" s="2">
        <v>1502828</v>
      </c>
      <c r="K223" s="2">
        <f t="shared" si="1"/>
        <v>0.12223354901558928</v>
      </c>
      <c r="M223" s="2">
        <v>0.87571564564535798</v>
      </c>
      <c r="N223" s="2">
        <v>0.62330997880714001</v>
      </c>
      <c r="O223" s="2">
        <v>27.669385818016998</v>
      </c>
      <c r="P223" s="2">
        <v>44.391052219265497</v>
      </c>
      <c r="Q223" s="2">
        <v>65.192024052026497</v>
      </c>
      <c r="R223" s="2">
        <v>38.873938955070997</v>
      </c>
      <c r="S223" s="2">
        <v>0.43526695121956099</v>
      </c>
      <c r="T223" s="2">
        <v>7297.4578744399696</v>
      </c>
      <c r="U223" s="2">
        <v>924</v>
      </c>
      <c r="V223" s="2">
        <v>1377</v>
      </c>
      <c r="W223" s="2">
        <v>1462.3157359008901</v>
      </c>
      <c r="X223" s="2">
        <v>265312.535722517</v>
      </c>
      <c r="Y223" s="2">
        <v>-5747.0367775285904</v>
      </c>
      <c r="Z223" s="2">
        <v>178.58056037178901</v>
      </c>
      <c r="AA223" s="2">
        <v>6.29256140877935</v>
      </c>
      <c r="AB223" s="2">
        <v>0.93015281742544298</v>
      </c>
      <c r="AC223" s="2">
        <v>1.3675734010096301</v>
      </c>
      <c r="AD223" s="2">
        <v>2.2080847050675199</v>
      </c>
      <c r="AE223" s="2">
        <v>0.624970559024289</v>
      </c>
      <c r="AF223" s="2">
        <v>0.59279910817926695</v>
      </c>
      <c r="AG223" s="2">
        <v>0.99703871071779104</v>
      </c>
      <c r="AH223" s="2">
        <v>0.97224920428487005</v>
      </c>
      <c r="AI223" s="2">
        <v>-0.31118214101998498</v>
      </c>
      <c r="AJ223" s="2">
        <v>0.93075475542100095</v>
      </c>
      <c r="AK223" s="2">
        <v>6.6383417555495303E-2</v>
      </c>
      <c r="AL223" s="2">
        <v>5.6921815023095403</v>
      </c>
      <c r="AM223" s="2">
        <v>7.3453052169188799</v>
      </c>
      <c r="AN223" s="2">
        <v>889.91135211599703</v>
      </c>
      <c r="AO223" s="2">
        <v>5.2452631858776202E-2</v>
      </c>
      <c r="AP223" s="2">
        <v>2666.5413179299799</v>
      </c>
      <c r="AQ223" s="2">
        <v>60.999861091982403</v>
      </c>
      <c r="AR223" s="2">
        <v>1408.2870446775901</v>
      </c>
      <c r="AS223" s="2">
        <v>130.343156902039</v>
      </c>
      <c r="AT223" s="2">
        <v>214108.31097489101</v>
      </c>
      <c r="AU223" s="2">
        <v>8.4629252032550895E-2</v>
      </c>
      <c r="AV223" s="2">
        <v>1.28997896328857E-3</v>
      </c>
      <c r="AW223" s="2">
        <v>0.47166698372264498</v>
      </c>
      <c r="AX223" s="2">
        <v>7.8362924609087098E-4</v>
      </c>
      <c r="AY223" s="2">
        <v>922.95785283587895</v>
      </c>
      <c r="AZ223" s="2">
        <v>5.3018767387175897E-2</v>
      </c>
      <c r="BA223" s="2">
        <v>2.5738815595920701</v>
      </c>
      <c r="BB223" s="2">
        <v>395</v>
      </c>
    </row>
    <row r="224" spans="1:54" ht="13" x14ac:dyDescent="0.15">
      <c r="A224" s="1" t="s">
        <v>680</v>
      </c>
      <c r="B224" s="1" t="s">
        <v>681</v>
      </c>
      <c r="C224" s="1" t="s">
        <v>682</v>
      </c>
      <c r="D224" s="1" t="s">
        <v>304</v>
      </c>
      <c r="E224" s="2">
        <v>2063</v>
      </c>
      <c r="F224" s="2">
        <v>10911</v>
      </c>
      <c r="G224" s="2">
        <v>3611</v>
      </c>
      <c r="H224" s="2">
        <f t="shared" si="0"/>
        <v>16585</v>
      </c>
      <c r="I224" s="2">
        <v>20949</v>
      </c>
      <c r="J224" s="2">
        <v>1382192</v>
      </c>
      <c r="K224" s="2">
        <f t="shared" si="1"/>
        <v>1.1999056571011841E-2</v>
      </c>
      <c r="M224" s="2">
        <v>0.74547165779509506</v>
      </c>
      <c r="N224" s="2">
        <v>0.66791857239352703</v>
      </c>
      <c r="O224" s="2">
        <v>12.322052838360699</v>
      </c>
      <c r="P224" s="2">
        <v>18.4484357040768</v>
      </c>
      <c r="Q224" s="2">
        <v>20.124611797498101</v>
      </c>
      <c r="R224" s="2">
        <v>13.7527859480443</v>
      </c>
      <c r="S224" s="2">
        <v>0.70996600133437604</v>
      </c>
      <c r="T224" s="2">
        <v>1090.1399646674899</v>
      </c>
      <c r="U224" s="2">
        <v>557.20000000000005</v>
      </c>
      <c r="V224" s="2">
        <v>1163</v>
      </c>
      <c r="W224" s="2">
        <v>575.02667784559605</v>
      </c>
      <c r="X224" s="2">
        <v>176231.66603048201</v>
      </c>
      <c r="Y224" s="2">
        <v>-208.67130896010201</v>
      </c>
      <c r="Z224" s="2">
        <v>276.76431778222701</v>
      </c>
      <c r="AA224" s="2">
        <v>27.935213012815499</v>
      </c>
      <c r="AB224" s="2">
        <v>0.81675723955802404</v>
      </c>
      <c r="AC224" s="2">
        <v>4.0525931632616201</v>
      </c>
      <c r="AD224" s="2">
        <v>3.4502325717972799</v>
      </c>
      <c r="AE224" s="2">
        <v>0.318908880840232</v>
      </c>
      <c r="AF224" s="2">
        <v>0.22701109324999599</v>
      </c>
      <c r="AG224" s="2">
        <v>0.985662808396785</v>
      </c>
      <c r="AH224" s="2">
        <v>0.91827687218475995</v>
      </c>
      <c r="AI224" s="2">
        <v>-0.21494811117825499</v>
      </c>
      <c r="AJ224" s="2">
        <v>0.93471676252329206</v>
      </c>
      <c r="AK224" s="2">
        <v>2.2541893114118999E-3</v>
      </c>
      <c r="AL224" s="2">
        <v>9.1174876184119</v>
      </c>
      <c r="AM224" s="2">
        <v>7.4188328828683003</v>
      </c>
      <c r="AN224" s="2">
        <v>417.27920504120198</v>
      </c>
      <c r="AO224" s="2">
        <v>0.202268155618615</v>
      </c>
      <c r="AP224" s="2">
        <v>66.094522539990294</v>
      </c>
      <c r="AQ224" s="2">
        <v>75.086066651331393</v>
      </c>
      <c r="AR224" s="2">
        <v>544.52350945225396</v>
      </c>
      <c r="AS224" s="2">
        <v>10.936984973339801</v>
      </c>
      <c r="AT224" s="2">
        <v>7105.4299563742097</v>
      </c>
      <c r="AU224" s="2">
        <v>5.7004626068515397E-2</v>
      </c>
      <c r="AV224" s="2">
        <v>6.5306986386548197E-3</v>
      </c>
      <c r="AW224" s="2">
        <v>0.16312100230054899</v>
      </c>
      <c r="AX224" s="2">
        <v>8.1617481930074398E-3</v>
      </c>
      <c r="AY224" s="2">
        <v>1361.73597562691</v>
      </c>
      <c r="AZ224" s="2">
        <v>0.164648693521245</v>
      </c>
      <c r="BA224" s="2">
        <v>4.8252743207726603</v>
      </c>
      <c r="BB224" s="2">
        <v>336</v>
      </c>
    </row>
    <row r="225" spans="1:54" ht="13" x14ac:dyDescent="0.15">
      <c r="A225" s="1" t="s">
        <v>683</v>
      </c>
      <c r="B225" s="1" t="s">
        <v>684</v>
      </c>
      <c r="C225" s="5" t="s">
        <v>685</v>
      </c>
      <c r="D225" s="1" t="s">
        <v>304</v>
      </c>
      <c r="E225" s="2">
        <v>84</v>
      </c>
      <c r="F225" s="2">
        <v>16530</v>
      </c>
      <c r="G225" s="2">
        <v>442</v>
      </c>
      <c r="H225" s="2">
        <f t="shared" si="0"/>
        <v>17056</v>
      </c>
      <c r="I225" s="2">
        <v>61096</v>
      </c>
      <c r="J225" s="2">
        <v>1567958</v>
      </c>
      <c r="K225" s="2">
        <f t="shared" si="1"/>
        <v>1.0877842391186499E-2</v>
      </c>
      <c r="M225" s="2">
        <v>0.62891606413905599</v>
      </c>
      <c r="N225" s="2">
        <v>0.416757540446205</v>
      </c>
      <c r="O225" s="2">
        <v>3.4728916323947598</v>
      </c>
      <c r="P225" s="2">
        <v>8.3331224881413792</v>
      </c>
      <c r="Q225" s="2">
        <v>8.6023252670426302</v>
      </c>
      <c r="R225" s="2">
        <v>5.2408345972305401</v>
      </c>
      <c r="S225" s="2">
        <v>0.72097884747118302</v>
      </c>
      <c r="T225" s="2">
        <v>121.400949829845</v>
      </c>
      <c r="U225" s="2">
        <v>997.1</v>
      </c>
      <c r="V225" s="2">
        <v>1160.4000000000001</v>
      </c>
      <c r="W225" s="2">
        <v>54.401389167524201</v>
      </c>
      <c r="X225" s="2">
        <v>597.96000135415397</v>
      </c>
      <c r="Y225" s="2">
        <v>-15.294918692559801</v>
      </c>
      <c r="Z225" s="2">
        <v>15.6153006711881</v>
      </c>
      <c r="AA225" s="2">
        <v>5.3942885627064801</v>
      </c>
      <c r="AB225" s="2">
        <v>0.48848995602231698</v>
      </c>
      <c r="AC225" s="2">
        <v>1.8720161313549699</v>
      </c>
      <c r="AD225" s="2">
        <v>2.17480279745546</v>
      </c>
      <c r="AE225" s="2">
        <v>0.453480761395609</v>
      </c>
      <c r="AF225" s="2">
        <v>0.37879247974661201</v>
      </c>
      <c r="AG225" s="2">
        <v>0.96569045159449995</v>
      </c>
      <c r="AH225" s="2">
        <v>0.87323818627123395</v>
      </c>
      <c r="AI225" s="2">
        <v>-0.34915535246600998</v>
      </c>
      <c r="AJ225" s="2">
        <v>0.93956581078241497</v>
      </c>
      <c r="AK225" s="2">
        <v>3.1184226613738101E-2</v>
      </c>
      <c r="AL225" s="2">
        <v>5.24657936333631</v>
      </c>
      <c r="AM225" s="2">
        <v>4.9946972987756801</v>
      </c>
      <c r="AN225" s="2">
        <v>17.261904761904798</v>
      </c>
      <c r="AO225" s="2">
        <v>0.205498866213152</v>
      </c>
      <c r="AP225" s="2">
        <v>10.3095238095238</v>
      </c>
      <c r="AQ225" s="2">
        <v>5.6704931972789101</v>
      </c>
      <c r="AR225" s="2">
        <v>50.273809523809497</v>
      </c>
      <c r="AS225" s="2">
        <v>11.6666666666667</v>
      </c>
      <c r="AT225" s="2">
        <v>582.46428571428601</v>
      </c>
      <c r="AU225" s="2">
        <v>0.34070068694337502</v>
      </c>
      <c r="AV225" s="2">
        <v>5.0620176407868402E-2</v>
      </c>
      <c r="AW225" s="2">
        <v>0.143820360882259</v>
      </c>
      <c r="AX225" s="2">
        <v>0.101505378351378</v>
      </c>
      <c r="AY225" s="2">
        <v>58.235664034367502</v>
      </c>
      <c r="AZ225" s="2">
        <v>0.10067830319682899</v>
      </c>
      <c r="BA225" s="2">
        <v>4.2959121909830804</v>
      </c>
      <c r="BB225" s="2">
        <v>744</v>
      </c>
    </row>
    <row r="226" spans="1:54" ht="13" x14ac:dyDescent="0.15">
      <c r="A226" s="1" t="s">
        <v>686</v>
      </c>
      <c r="B226" s="1" t="s">
        <v>687</v>
      </c>
      <c r="C226" s="5" t="s">
        <v>688</v>
      </c>
      <c r="D226" s="1" t="s">
        <v>304</v>
      </c>
      <c r="E226" s="2">
        <v>35661</v>
      </c>
      <c r="F226" s="2">
        <v>14747</v>
      </c>
      <c r="G226" s="2">
        <v>32372</v>
      </c>
      <c r="H226" s="2">
        <f t="shared" si="0"/>
        <v>82780</v>
      </c>
      <c r="I226" s="2">
        <v>146688</v>
      </c>
      <c r="J226" s="2">
        <v>1587113</v>
      </c>
      <c r="K226" s="2">
        <f t="shared" si="1"/>
        <v>5.2157596844081049E-2</v>
      </c>
      <c r="M226" s="2">
        <v>0.74980725718196195</v>
      </c>
      <c r="N226" s="2">
        <v>0.61739919572402902</v>
      </c>
      <c r="O226" s="2">
        <v>33.131219751023401</v>
      </c>
      <c r="P226" s="2">
        <v>53.662557354274099</v>
      </c>
      <c r="Q226" s="2">
        <v>57.384666941614299</v>
      </c>
      <c r="R226" s="2">
        <v>40.236574943177999</v>
      </c>
      <c r="S226" s="2">
        <v>0.21819251358052399</v>
      </c>
      <c r="T226" s="2">
        <v>23375.723745470001</v>
      </c>
      <c r="U226" s="2">
        <v>482</v>
      </c>
      <c r="V226" s="2">
        <v>982</v>
      </c>
      <c r="W226" s="2">
        <v>749.76495497381097</v>
      </c>
      <c r="X226" s="2">
        <v>133420.38883752501</v>
      </c>
      <c r="Y226" s="2">
        <v>1976.0375685684901</v>
      </c>
      <c r="Z226" s="2">
        <v>217.011260325481</v>
      </c>
      <c r="AA226" s="2">
        <v>18.141302369305699</v>
      </c>
      <c r="AB226" s="2">
        <v>0.84561413075334702</v>
      </c>
      <c r="AC226" s="2">
        <v>3.06975194244662</v>
      </c>
      <c r="AD226" s="2">
        <v>3.1568833394712899</v>
      </c>
      <c r="AE226" s="2">
        <v>0.388053881481977</v>
      </c>
      <c r="AF226" s="2">
        <v>0.30648075985780698</v>
      </c>
      <c r="AG226" s="2">
        <v>0.99397393238510201</v>
      </c>
      <c r="AH226" s="2">
        <v>0.94854516364275299</v>
      </c>
      <c r="AI226" s="2">
        <v>-0.20245867216300401</v>
      </c>
      <c r="AJ226" s="2">
        <v>0.91708041066235602</v>
      </c>
      <c r="AK226" s="2">
        <v>3.7847400013233902E-3</v>
      </c>
      <c r="AL226" s="2">
        <v>8.7795135250333303</v>
      </c>
      <c r="AM226" s="2">
        <v>7.8217872420411299</v>
      </c>
      <c r="AN226" s="2">
        <v>5333.7552788760804</v>
      </c>
      <c r="AO226" s="2">
        <v>0.14956830371767699</v>
      </c>
      <c r="AP226" s="2">
        <v>1434.4721404335301</v>
      </c>
      <c r="AQ226" s="2">
        <v>60.296950282933899</v>
      </c>
      <c r="AR226" s="2">
        <v>706.38978155407904</v>
      </c>
      <c r="AS226" s="2">
        <v>18.609938027537101</v>
      </c>
      <c r="AT226" s="2">
        <v>12382.9830907714</v>
      </c>
      <c r="AU226" s="2">
        <v>3.6735856785640501E-2</v>
      </c>
      <c r="AV226" s="2">
        <v>2.1439732654082899E-3</v>
      </c>
      <c r="AW226" s="2">
        <v>1.48595693058307</v>
      </c>
      <c r="AX226" s="2">
        <v>4.68750192336498E-4</v>
      </c>
      <c r="AY226" s="2">
        <v>2004.8453984719799</v>
      </c>
      <c r="AZ226" s="2">
        <v>7.3216370406731804E-2</v>
      </c>
      <c r="BA226" s="2">
        <v>0.53624369695558105</v>
      </c>
      <c r="BB226" s="2">
        <v>411</v>
      </c>
    </row>
    <row r="227" spans="1:54" ht="13" x14ac:dyDescent="0.15">
      <c r="A227" s="1" t="s">
        <v>689</v>
      </c>
      <c r="B227" s="1" t="s">
        <v>690</v>
      </c>
      <c r="C227" s="5" t="s">
        <v>691</v>
      </c>
      <c r="D227" s="1" t="s">
        <v>304</v>
      </c>
      <c r="E227" s="2">
        <v>8617</v>
      </c>
      <c r="F227" s="2">
        <v>66240</v>
      </c>
      <c r="G227" s="2">
        <v>27487</v>
      </c>
      <c r="H227" s="2">
        <f t="shared" si="0"/>
        <v>102344</v>
      </c>
      <c r="I227" s="2">
        <v>205710</v>
      </c>
      <c r="J227" s="2">
        <v>1547530</v>
      </c>
      <c r="K227" s="2">
        <f t="shared" si="1"/>
        <v>6.6133774466407766E-2</v>
      </c>
      <c r="M227" s="2">
        <v>0.46204536802093199</v>
      </c>
      <c r="N227" s="2">
        <v>0.34446576051487499</v>
      </c>
      <c r="O227" s="2">
        <v>21.3687646043516</v>
      </c>
      <c r="P227" s="2">
        <v>62.034509823012897</v>
      </c>
      <c r="Q227" s="2">
        <v>57.140178508646599</v>
      </c>
      <c r="R227" s="2">
        <v>28.662757921172201</v>
      </c>
      <c r="S227" s="2">
        <v>0.32453613953304</v>
      </c>
      <c r="T227" s="2">
        <v>6171.6634050877201</v>
      </c>
      <c r="U227" s="2">
        <v>473</v>
      </c>
      <c r="V227" s="2">
        <v>1160</v>
      </c>
      <c r="W227" s="2">
        <v>750.211898815616</v>
      </c>
      <c r="X227" s="2">
        <v>307208.69307283399</v>
      </c>
      <c r="Y227" s="2">
        <v>3045.0683065981898</v>
      </c>
      <c r="Z227" s="2">
        <v>399.27589624663102</v>
      </c>
      <c r="AA227" s="2">
        <v>12.454899990809</v>
      </c>
      <c r="AB227" s="2">
        <v>0.93957884382116597</v>
      </c>
      <c r="AC227" s="2">
        <v>2.5285712122691701</v>
      </c>
      <c r="AD227" s="2">
        <v>2.9496280741426499</v>
      </c>
      <c r="AE227" s="2">
        <v>0.44039324383421402</v>
      </c>
      <c r="AF227" s="2">
        <v>0.36729146139593899</v>
      </c>
      <c r="AG227" s="2">
        <v>0.99426845108437001</v>
      </c>
      <c r="AH227" s="2">
        <v>0.95017619255340202</v>
      </c>
      <c r="AI227" s="2">
        <v>-0.29953289502652702</v>
      </c>
      <c r="AJ227" s="2">
        <v>0.97217028592647303</v>
      </c>
      <c r="AK227" s="2">
        <v>5.7708855749500701E-3</v>
      </c>
      <c r="AL227" s="2">
        <v>8.4672161185769603</v>
      </c>
      <c r="AM227" s="2">
        <v>8.0024705337365596</v>
      </c>
      <c r="AN227" s="2">
        <v>1105.2759661135001</v>
      </c>
      <c r="AO227" s="2">
        <v>0.128266910306777</v>
      </c>
      <c r="AP227" s="2">
        <v>310.15863989787601</v>
      </c>
      <c r="AQ227" s="2">
        <v>99.074407985413202</v>
      </c>
      <c r="AR227" s="2">
        <v>719.91516769177201</v>
      </c>
      <c r="AS227" s="2">
        <v>37.730416618312603</v>
      </c>
      <c r="AT227" s="2">
        <v>47978.850528026</v>
      </c>
      <c r="AU227" s="2">
        <v>5.7060431861497903E-2</v>
      </c>
      <c r="AV227" s="2">
        <v>3.4095747767644699E-3</v>
      </c>
      <c r="AW227" s="2">
        <v>0.33832798945606501</v>
      </c>
      <c r="AX227" s="2">
        <v>2.6325401406235801E-3</v>
      </c>
      <c r="AY227" s="2">
        <v>1161.7259337231001</v>
      </c>
      <c r="AZ227" s="2">
        <v>0.13746461204173299</v>
      </c>
      <c r="BA227" s="2">
        <v>2.06186854008702</v>
      </c>
      <c r="BB227" s="2">
        <v>443</v>
      </c>
    </row>
    <row r="228" spans="1:54" ht="13" x14ac:dyDescent="0.15">
      <c r="A228" s="1" t="s">
        <v>692</v>
      </c>
      <c r="B228" s="1" t="s">
        <v>693</v>
      </c>
      <c r="C228" s="5" t="s">
        <v>694</v>
      </c>
      <c r="D228" s="1" t="s">
        <v>304</v>
      </c>
      <c r="E228" s="2">
        <v>46351</v>
      </c>
      <c r="F228" s="2">
        <v>52947</v>
      </c>
      <c r="G228" s="2">
        <v>60292</v>
      </c>
      <c r="H228" s="2">
        <f t="shared" si="0"/>
        <v>159590</v>
      </c>
      <c r="I228" s="2">
        <v>279988</v>
      </c>
      <c r="J228" s="2">
        <v>1415377</v>
      </c>
      <c r="K228" s="2">
        <f t="shared" si="1"/>
        <v>0.11275441101558101</v>
      </c>
      <c r="M228" s="2">
        <v>0.87735872413576199</v>
      </c>
      <c r="N228" s="2">
        <v>0.70946856577828599</v>
      </c>
      <c r="O228" s="2">
        <v>40.0893148677781</v>
      </c>
      <c r="P228" s="2">
        <v>56.506118525209203</v>
      </c>
      <c r="Q228" s="2">
        <v>65.391130897087294</v>
      </c>
      <c r="R228" s="2">
        <v>49.576136055141802</v>
      </c>
      <c r="S228" s="2">
        <v>0.45043893313593097</v>
      </c>
      <c r="T228" s="2">
        <v>13827.0690798537</v>
      </c>
      <c r="U228" s="2">
        <v>353</v>
      </c>
      <c r="V228" s="2">
        <v>1171</v>
      </c>
      <c r="W228" s="2">
        <v>1305.8231043595499</v>
      </c>
      <c r="X228" s="2">
        <v>1232445.6367247701</v>
      </c>
      <c r="Y228" s="2">
        <v>-12930.887405547701</v>
      </c>
      <c r="Z228" s="2">
        <v>604.23392934815695</v>
      </c>
      <c r="AA228" s="2">
        <v>21.862661931132301</v>
      </c>
      <c r="AB228" s="2">
        <v>0.93029378140063901</v>
      </c>
      <c r="AC228" s="2">
        <v>3.4165383974867098</v>
      </c>
      <c r="AD228" s="2">
        <v>3.2951953770665301</v>
      </c>
      <c r="AE228" s="2">
        <v>0.36453260980205299</v>
      </c>
      <c r="AF228" s="2">
        <v>0.27951248550508101</v>
      </c>
      <c r="AG228" s="2">
        <v>0.99586917660698004</v>
      </c>
      <c r="AH228" s="2">
        <v>0.95630072637319097</v>
      </c>
      <c r="AI228" s="2">
        <v>-0.25834701831971502</v>
      </c>
      <c r="AJ228" s="2">
        <v>0.96591208740057399</v>
      </c>
      <c r="AK228" s="2">
        <v>2.1376482683599699E-3</v>
      </c>
      <c r="AL228" s="2">
        <v>9.5327807903728203</v>
      </c>
      <c r="AM228" s="2">
        <v>8.2989721952318902</v>
      </c>
      <c r="AN228" s="2">
        <v>7077.13660978188</v>
      </c>
      <c r="AO228" s="2">
        <v>0.15268573730408999</v>
      </c>
      <c r="AP228" s="2">
        <v>1295.6867597247101</v>
      </c>
      <c r="AQ228" s="2">
        <v>148.85689172704801</v>
      </c>
      <c r="AR228" s="2">
        <v>1308.83312118401</v>
      </c>
      <c r="AS228" s="2">
        <v>19.2638562274816</v>
      </c>
      <c r="AT228" s="2">
        <v>22456.392656037598</v>
      </c>
      <c r="AU228" s="2">
        <v>0.39100512987137498</v>
      </c>
      <c r="AV228" s="2">
        <v>6.2062422982155103E-3</v>
      </c>
      <c r="AW228" s="2">
        <v>0.77146462004949801</v>
      </c>
      <c r="AX228" s="2">
        <v>4.5978567676733802E-4</v>
      </c>
      <c r="AY228" s="2">
        <v>3479.7503809064901</v>
      </c>
      <c r="AZ228" s="2">
        <v>0.114359126022721</v>
      </c>
      <c r="BA228" s="2">
        <v>0.90951185003123103</v>
      </c>
      <c r="BB228" s="2">
        <v>223</v>
      </c>
    </row>
    <row r="229" spans="1:54" ht="13" x14ac:dyDescent="0.15">
      <c r="A229" s="1" t="s">
        <v>695</v>
      </c>
      <c r="B229" s="1" t="s">
        <v>696</v>
      </c>
      <c r="C229" s="5" t="s">
        <v>697</v>
      </c>
      <c r="D229" s="1" t="s">
        <v>304</v>
      </c>
      <c r="E229" s="2">
        <v>17692</v>
      </c>
      <c r="F229" s="2">
        <v>25256</v>
      </c>
      <c r="G229" s="2">
        <v>22274</v>
      </c>
      <c r="H229" s="2">
        <f t="shared" si="0"/>
        <v>65222</v>
      </c>
      <c r="I229" s="2">
        <v>95363</v>
      </c>
      <c r="J229" s="2">
        <v>1466546</v>
      </c>
      <c r="K229" s="2">
        <f t="shared" si="1"/>
        <v>4.4473204386360876E-2</v>
      </c>
      <c r="M229" s="2">
        <v>0.78397109184680802</v>
      </c>
      <c r="N229" s="2">
        <v>0.62220918790831803</v>
      </c>
      <c r="O229" s="2">
        <v>24.128071638814699</v>
      </c>
      <c r="P229" s="2">
        <v>38.7780703141432</v>
      </c>
      <c r="Q229" s="2">
        <v>49.244289008980502</v>
      </c>
      <c r="R229" s="2">
        <v>30.400886123891201</v>
      </c>
      <c r="S229" s="2">
        <v>0.591458954172011</v>
      </c>
      <c r="T229" s="2">
        <v>5537.4811888744498</v>
      </c>
      <c r="U229" s="2">
        <v>617</v>
      </c>
      <c r="V229" s="2">
        <v>1167</v>
      </c>
      <c r="W229" s="2">
        <v>1224.92704427942</v>
      </c>
      <c r="X229" s="2">
        <v>292806.61618282797</v>
      </c>
      <c r="Y229" s="2">
        <v>892.85378464498501</v>
      </c>
      <c r="Z229" s="2">
        <v>284.226883973783</v>
      </c>
      <c r="AA229" s="2">
        <v>22.387264622685901</v>
      </c>
      <c r="AB229" s="2">
        <v>0.85355115908316503</v>
      </c>
      <c r="AC229" s="2">
        <v>3.4605415676165299</v>
      </c>
      <c r="AD229" s="2">
        <v>3.3043023376727301</v>
      </c>
      <c r="AE229" s="2">
        <v>0.35995189516590198</v>
      </c>
      <c r="AF229" s="2">
        <v>0.27369641077430001</v>
      </c>
      <c r="AG229" s="2">
        <v>0.993772622057981</v>
      </c>
      <c r="AH229" s="2">
        <v>0.94692234386000995</v>
      </c>
      <c r="AI229" s="2">
        <v>-0.21032365352764401</v>
      </c>
      <c r="AJ229" s="2">
        <v>0.93168934023060301</v>
      </c>
      <c r="AK229" s="2">
        <v>2.76212245969399E-3</v>
      </c>
      <c r="AL229" s="2">
        <v>9.1483637777636808</v>
      </c>
      <c r="AM229" s="2">
        <v>7.9378895989009504</v>
      </c>
      <c r="AN229" s="2">
        <v>2805.6725073479502</v>
      </c>
      <c r="AO229" s="2">
        <v>0.158584247532668</v>
      </c>
      <c r="AP229" s="2">
        <v>621.166289848519</v>
      </c>
      <c r="AQ229" s="2">
        <v>79.093682047816102</v>
      </c>
      <c r="AR229" s="2">
        <v>1216.9851910468001</v>
      </c>
      <c r="AS229" s="2">
        <v>18.420189916346398</v>
      </c>
      <c r="AT229" s="2">
        <v>27722.2411259326</v>
      </c>
      <c r="AU229" s="2">
        <v>1.8063026500413599E-2</v>
      </c>
      <c r="AV229" s="2">
        <v>1.3968320746401801E-3</v>
      </c>
      <c r="AW229" s="2">
        <v>0.48942255815909202</v>
      </c>
      <c r="AX229" s="2">
        <v>9.1427675823164403E-4</v>
      </c>
      <c r="AY229" s="2">
        <v>2832.2975515010999</v>
      </c>
      <c r="AZ229" s="2">
        <v>9.1655803750201104E-2</v>
      </c>
      <c r="BA229" s="2">
        <v>1.28844395046669</v>
      </c>
      <c r="BB229" s="2">
        <v>136</v>
      </c>
    </row>
    <row r="230" spans="1:54" ht="13" x14ac:dyDescent="0.15">
      <c r="A230" s="1" t="s">
        <v>698</v>
      </c>
      <c r="B230" s="1" t="s">
        <v>699</v>
      </c>
      <c r="C230" s="5" t="s">
        <v>700</v>
      </c>
      <c r="D230" s="1" t="s">
        <v>304</v>
      </c>
      <c r="E230" s="2">
        <v>48292</v>
      </c>
      <c r="F230" s="2">
        <v>60071</v>
      </c>
      <c r="G230" s="2">
        <v>29114</v>
      </c>
      <c r="H230" s="2">
        <f t="shared" si="0"/>
        <v>137477</v>
      </c>
      <c r="I230" s="2">
        <v>191524</v>
      </c>
      <c r="J230" s="2">
        <v>1580158</v>
      </c>
      <c r="K230" s="2">
        <f t="shared" si="1"/>
        <v>8.7002059287742115E-2</v>
      </c>
      <c r="M230" s="2">
        <v>0.96044627841499197</v>
      </c>
      <c r="N230" s="2">
        <v>0.71469951903166495</v>
      </c>
      <c r="O230" s="2">
        <v>33.796378089616397</v>
      </c>
      <c r="P230" s="2">
        <v>47.287534396842197</v>
      </c>
      <c r="Q230" s="2">
        <v>60.539243470661198</v>
      </c>
      <c r="R230" s="2">
        <v>45.417136426867998</v>
      </c>
      <c r="S230" s="2">
        <v>0.49061866296517498</v>
      </c>
      <c r="T230" s="2">
        <v>13065.720234083799</v>
      </c>
      <c r="U230" s="2">
        <v>834</v>
      </c>
      <c r="V230" s="2">
        <v>1328</v>
      </c>
      <c r="W230" s="2">
        <v>1168.9129045741399</v>
      </c>
      <c r="X230" s="2">
        <v>175784.326634875</v>
      </c>
      <c r="Y230" s="2">
        <v>-2108.4154138376998</v>
      </c>
      <c r="Z230" s="2">
        <v>211.281463184036</v>
      </c>
      <c r="AA230" s="2">
        <v>12.6216255201481</v>
      </c>
      <c r="AB230" s="2">
        <v>0.88652634111803197</v>
      </c>
      <c r="AC230" s="2">
        <v>2.6380433439236399</v>
      </c>
      <c r="AD230" s="2">
        <v>2.9458248098830899</v>
      </c>
      <c r="AE230" s="2">
        <v>0.40695773012155501</v>
      </c>
      <c r="AF230" s="2">
        <v>0.32610215553955102</v>
      </c>
      <c r="AG230" s="2">
        <v>0.99631125877123605</v>
      </c>
      <c r="AH230" s="2">
        <v>0.95788718109839299</v>
      </c>
      <c r="AI230" s="2">
        <v>-0.236961617688912</v>
      </c>
      <c r="AJ230" s="2">
        <v>0.94319728077992604</v>
      </c>
      <c r="AK230" s="2">
        <v>4.3142902362961399E-3</v>
      </c>
      <c r="AL230" s="2">
        <v>8.5956087715528309</v>
      </c>
      <c r="AM230" s="2">
        <v>7.9696253158080399</v>
      </c>
      <c r="AN230" s="2">
        <v>6464.8743891327804</v>
      </c>
      <c r="AO230" s="2">
        <v>0.133870504206344</v>
      </c>
      <c r="AP230" s="2">
        <v>1942.1216764681501</v>
      </c>
      <c r="AQ230" s="2">
        <v>62.659289515040399</v>
      </c>
      <c r="AR230" s="2">
        <v>1144.13642011099</v>
      </c>
      <c r="AS230" s="2">
        <v>23.365360722272801</v>
      </c>
      <c r="AT230" s="2">
        <v>28933.919862503099</v>
      </c>
      <c r="AU230" s="2">
        <v>2.4808896015160498E-2</v>
      </c>
      <c r="AV230" s="2">
        <v>1.4165625433945599E-3</v>
      </c>
      <c r="AW230" s="2">
        <v>1.0377528345018601</v>
      </c>
      <c r="AX230" s="2">
        <v>3.95050814846674E-4</v>
      </c>
      <c r="AY230" s="2">
        <v>2118.92600309828</v>
      </c>
      <c r="AZ230" s="2">
        <v>5.5348690940979599E-2</v>
      </c>
      <c r="BA230" s="2">
        <v>0.58297342735242297</v>
      </c>
      <c r="BB230" s="2">
        <v>171</v>
      </c>
    </row>
    <row r="231" spans="1:54" ht="13" x14ac:dyDescent="0.15">
      <c r="A231" s="1" t="s">
        <v>701</v>
      </c>
      <c r="B231" s="1" t="s">
        <v>702</v>
      </c>
      <c r="C231" s="5" t="s">
        <v>703</v>
      </c>
      <c r="D231" s="1" t="s">
        <v>304</v>
      </c>
      <c r="E231" s="2">
        <v>13251</v>
      </c>
      <c r="F231" s="2">
        <v>147731</v>
      </c>
      <c r="G231" s="2">
        <v>70407</v>
      </c>
      <c r="H231" s="2">
        <f t="shared" si="0"/>
        <v>231389</v>
      </c>
      <c r="I231" s="2">
        <v>405978</v>
      </c>
      <c r="J231" s="2">
        <v>1670654</v>
      </c>
      <c r="K231" s="2">
        <f t="shared" si="1"/>
        <v>0.13850204770107993</v>
      </c>
      <c r="M231" s="2">
        <v>0.39845713877403799</v>
      </c>
      <c r="N231" s="2">
        <v>0.253995188312933</v>
      </c>
      <c r="O231" s="2">
        <v>27.110783399139201</v>
      </c>
      <c r="P231" s="2">
        <v>106.737389708885</v>
      </c>
      <c r="Q231" s="2">
        <v>65.192024052026497</v>
      </c>
      <c r="R231" s="2">
        <v>42.530274903611797</v>
      </c>
      <c r="S231" s="2">
        <v>0.27052576122913502</v>
      </c>
      <c r="T231" s="2">
        <v>9874.48340398254</v>
      </c>
      <c r="U231" s="2">
        <v>738</v>
      </c>
      <c r="V231" s="2">
        <v>1180</v>
      </c>
      <c r="W231" s="2">
        <v>793.753610115122</v>
      </c>
      <c r="X231" s="2">
        <v>114835.78579604899</v>
      </c>
      <c r="Y231" s="2">
        <v>241.30866085771601</v>
      </c>
      <c r="Z231" s="2">
        <v>178.67805555168999</v>
      </c>
      <c r="AA231" s="2">
        <v>9.3235715236184298</v>
      </c>
      <c r="AB231" s="2">
        <v>0.89991402913376595</v>
      </c>
      <c r="AC231" s="2">
        <v>2.1639381892565499</v>
      </c>
      <c r="AD231" s="2">
        <v>2.7211545365603098</v>
      </c>
      <c r="AE231" s="2">
        <v>0.45951540055787898</v>
      </c>
      <c r="AF231" s="2">
        <v>0.390172772709174</v>
      </c>
      <c r="AG231" s="2">
        <v>0.99635805173652103</v>
      </c>
      <c r="AH231" s="2">
        <v>0.96003077629295697</v>
      </c>
      <c r="AI231" s="2">
        <v>-0.28097044146033001</v>
      </c>
      <c r="AJ231" s="2">
        <v>0.96121388363378002</v>
      </c>
      <c r="AK231" s="2">
        <v>5.2721994076817798E-3</v>
      </c>
      <c r="AL231" s="2">
        <v>8.2146836328250892</v>
      </c>
      <c r="AM231" s="2">
        <v>8.0774193230063709</v>
      </c>
      <c r="AN231" s="2">
        <v>1584.53362010414</v>
      </c>
      <c r="AO231" s="2">
        <v>0.119578418240445</v>
      </c>
      <c r="AP231" s="2">
        <v>549.99343445777697</v>
      </c>
      <c r="AQ231" s="2">
        <v>53.043495235786402</v>
      </c>
      <c r="AR231" s="2">
        <v>757.70538072598299</v>
      </c>
      <c r="AS231" s="2">
        <v>29.246170100369799</v>
      </c>
      <c r="AT231" s="2">
        <v>23080.595728624299</v>
      </c>
      <c r="AU231" s="2">
        <v>5.69118770834071E-2</v>
      </c>
      <c r="AV231" s="2">
        <v>2.2823841399856998E-3</v>
      </c>
      <c r="AW231" s="2">
        <v>0.436584310404043</v>
      </c>
      <c r="AX231" s="2">
        <v>1.5268611370289099E-3</v>
      </c>
      <c r="AY231" s="2">
        <v>1333.4281440913601</v>
      </c>
      <c r="AZ231" s="2">
        <v>5.5101234162612103E-2</v>
      </c>
      <c r="BA231" s="2">
        <v>1.5560643381213299</v>
      </c>
      <c r="BB231" s="2">
        <v>381</v>
      </c>
    </row>
    <row r="232" spans="1:54" ht="13" x14ac:dyDescent="0.15">
      <c r="A232" s="1" t="s">
        <v>704</v>
      </c>
      <c r="B232" s="1" t="s">
        <v>705</v>
      </c>
      <c r="C232" s="5" t="s">
        <v>706</v>
      </c>
      <c r="D232" s="1" t="s">
        <v>304</v>
      </c>
      <c r="E232" s="2">
        <v>23188</v>
      </c>
      <c r="F232" s="2">
        <v>93963</v>
      </c>
      <c r="G232" s="2">
        <v>31592</v>
      </c>
      <c r="H232" s="2">
        <f t="shared" si="0"/>
        <v>148743</v>
      </c>
      <c r="I232" s="2">
        <v>227722</v>
      </c>
      <c r="J232" s="2">
        <v>1536550</v>
      </c>
      <c r="K232" s="2">
        <f t="shared" si="1"/>
        <v>9.6803228010803419E-2</v>
      </c>
      <c r="M232" s="2">
        <v>0.624352153742329</v>
      </c>
      <c r="N232" s="2">
        <v>0.39583667433884701</v>
      </c>
      <c r="O232" s="2">
        <v>25.160875682376201</v>
      </c>
      <c r="P232" s="2">
        <v>63.563781007410597</v>
      </c>
      <c r="Q232" s="2">
        <v>63.0713881248859</v>
      </c>
      <c r="R232" s="2">
        <v>39.686183571982603</v>
      </c>
      <c r="S232" s="2">
        <v>0.28253100002204001</v>
      </c>
      <c r="T232" s="2">
        <v>13774.5366877693</v>
      </c>
      <c r="U232" s="2">
        <v>822</v>
      </c>
      <c r="V232" s="2">
        <v>1376</v>
      </c>
      <c r="W232" s="2">
        <v>1296.19274755116</v>
      </c>
      <c r="X232" s="2">
        <v>366570.09941738099</v>
      </c>
      <c r="Y232" s="2">
        <v>1669.05406851366</v>
      </c>
      <c r="Z232" s="2">
        <v>298.26005398365498</v>
      </c>
      <c r="AA232" s="2">
        <v>20.323051285182501</v>
      </c>
      <c r="AB232" s="2">
        <v>0.87181822289504096</v>
      </c>
      <c r="AC232" s="2">
        <v>3.1874914764631299</v>
      </c>
      <c r="AD232" s="2">
        <v>3.2166043951068</v>
      </c>
      <c r="AE232" s="2">
        <v>0.38290408230293699</v>
      </c>
      <c r="AF232" s="2">
        <v>0.30096641825739301</v>
      </c>
      <c r="AG232" s="2">
        <v>0.99617687862800897</v>
      </c>
      <c r="AH232" s="2">
        <v>0.95919413695467703</v>
      </c>
      <c r="AI232" s="2">
        <v>-0.23261566477051299</v>
      </c>
      <c r="AJ232" s="2">
        <v>0.94776275143254096</v>
      </c>
      <c r="AK232" s="2">
        <v>3.2869658294235201E-3</v>
      </c>
      <c r="AL232" s="2">
        <v>9.09540421669581</v>
      </c>
      <c r="AM232" s="2">
        <v>8.08653712730354</v>
      </c>
      <c r="AN232" s="2">
        <v>3451.0981542177001</v>
      </c>
      <c r="AO232" s="2">
        <v>0.14883121244685599</v>
      </c>
      <c r="AP232" s="2">
        <v>804.21278247369298</v>
      </c>
      <c r="AQ232" s="2">
        <v>84.333473748072805</v>
      </c>
      <c r="AR232" s="2">
        <v>1245.2183888218001</v>
      </c>
      <c r="AS232" s="2">
        <v>18.705537346903601</v>
      </c>
      <c r="AT232" s="2">
        <v>22304.7992927376</v>
      </c>
      <c r="AU232" s="2">
        <v>2.0134039075746301E-2</v>
      </c>
      <c r="AV232" s="2">
        <v>1.3249110013119601E-3</v>
      </c>
      <c r="AW232" s="2">
        <v>0.38869516987437303</v>
      </c>
      <c r="AX232" s="2">
        <v>8.4264408348388303E-4</v>
      </c>
      <c r="AY232" s="2">
        <v>3809.39520293143</v>
      </c>
      <c r="AZ232" s="2">
        <v>5.6789958066645801E-2</v>
      </c>
      <c r="BA232" s="2">
        <v>1.8839056570200901</v>
      </c>
      <c r="BB232" s="2">
        <v>781</v>
      </c>
    </row>
    <row r="233" spans="1:54" ht="13" x14ac:dyDescent="0.15">
      <c r="A233" s="1" t="s">
        <v>707</v>
      </c>
      <c r="B233" s="1" t="s">
        <v>708</v>
      </c>
      <c r="C233" s="5" t="s">
        <v>709</v>
      </c>
      <c r="D233" s="1" t="s">
        <v>304</v>
      </c>
      <c r="E233" s="2">
        <v>2391</v>
      </c>
      <c r="F233" s="2">
        <v>113263</v>
      </c>
      <c r="G233" s="2">
        <v>27668</v>
      </c>
      <c r="H233" s="2">
        <f t="shared" si="0"/>
        <v>143322</v>
      </c>
      <c r="I233" s="2">
        <v>192292</v>
      </c>
      <c r="J233" s="2">
        <v>1310581</v>
      </c>
      <c r="K233" s="2">
        <f t="shared" si="1"/>
        <v>0.10935760551999457</v>
      </c>
      <c r="M233" s="2">
        <v>0.50693895268415201</v>
      </c>
      <c r="N233" s="2">
        <v>0.39508727916491498</v>
      </c>
      <c r="O233" s="2">
        <v>15.9104934744537</v>
      </c>
      <c r="P233" s="2">
        <v>40.270832075594299</v>
      </c>
      <c r="Q233" s="2">
        <v>42.107006542854599</v>
      </c>
      <c r="R233" s="2">
        <v>20.414853436121099</v>
      </c>
      <c r="S233" s="2">
        <v>0.40278292168281299</v>
      </c>
      <c r="T233" s="2">
        <v>2090.5754304007901</v>
      </c>
      <c r="U233" s="2">
        <v>679</v>
      </c>
      <c r="V233" s="2">
        <v>1088</v>
      </c>
      <c r="W233" s="2">
        <v>742.77379118063902</v>
      </c>
      <c r="X233" s="2">
        <v>45920.335725949401</v>
      </c>
      <c r="Y233" s="2">
        <v>-1134.8882640561201</v>
      </c>
      <c r="Z233" s="2">
        <v>131.758522163685</v>
      </c>
      <c r="AA233" s="2">
        <v>9.00293391066681</v>
      </c>
      <c r="AB233" s="2">
        <v>0.87230663164753997</v>
      </c>
      <c r="AC233" s="2">
        <v>2.07677942118125</v>
      </c>
      <c r="AD233" s="2">
        <v>2.6439395044184399</v>
      </c>
      <c r="AE233" s="2">
        <v>0.47478321590947198</v>
      </c>
      <c r="AF233" s="2">
        <v>0.40625669599551401</v>
      </c>
      <c r="AG233" s="2">
        <v>0.99407262131415197</v>
      </c>
      <c r="AH233" s="2">
        <v>0.95064311022689396</v>
      </c>
      <c r="AI233" s="2">
        <v>-0.29745005760128101</v>
      </c>
      <c r="AJ233" s="2">
        <v>0.95725836441076195</v>
      </c>
      <c r="AK233" s="2">
        <v>9.7813988658716593E-3</v>
      </c>
      <c r="AL233" s="2">
        <v>7.4036198343623596</v>
      </c>
      <c r="AM233" s="2">
        <v>7.40260179794981</v>
      </c>
      <c r="AN233" s="2">
        <v>282.22375575073198</v>
      </c>
      <c r="AO233" s="2">
        <v>0.118035866060532</v>
      </c>
      <c r="AP233" s="2">
        <v>124.70723546633199</v>
      </c>
      <c r="AQ233" s="2">
        <v>34.910187565562403</v>
      </c>
      <c r="AR233" s="2">
        <v>705.96068590547895</v>
      </c>
      <c r="AS233" s="2">
        <v>36.562526139690497</v>
      </c>
      <c r="AT233" s="2">
        <v>33412.763697197799</v>
      </c>
      <c r="AU233" s="2">
        <v>4.9480204535301199E-2</v>
      </c>
      <c r="AV233" s="2">
        <v>2.3761917884247501E-3</v>
      </c>
      <c r="AW233" s="2">
        <v>0.14176199626118499</v>
      </c>
      <c r="AX233" s="2">
        <v>7.1011564238881997E-3</v>
      </c>
      <c r="AY233" s="2">
        <v>652.32184645717496</v>
      </c>
      <c r="AZ233" s="2">
        <v>8.1767588331361094E-2</v>
      </c>
      <c r="BA233" s="2">
        <v>3.48694368748968</v>
      </c>
      <c r="BB233" s="2">
        <v>170</v>
      </c>
    </row>
    <row r="234" spans="1:54" ht="13" x14ac:dyDescent="0.15">
      <c r="A234" s="1" t="s">
        <v>710</v>
      </c>
      <c r="B234" s="1" t="s">
        <v>711</v>
      </c>
      <c r="C234" s="5" t="s">
        <v>712</v>
      </c>
      <c r="D234" s="1" t="s">
        <v>304</v>
      </c>
      <c r="E234" s="2">
        <v>4449</v>
      </c>
      <c r="F234" s="2">
        <v>104016</v>
      </c>
      <c r="G234" s="2">
        <v>13105</v>
      </c>
      <c r="H234" s="2">
        <f t="shared" si="0"/>
        <v>121570</v>
      </c>
      <c r="I234" s="2">
        <v>206047</v>
      </c>
      <c r="J234" s="2">
        <v>1350652</v>
      </c>
      <c r="K234" s="2">
        <f t="shared" si="1"/>
        <v>9.0008381137406224E-2</v>
      </c>
      <c r="M234" s="2">
        <v>0.56733590295996394</v>
      </c>
      <c r="N234" s="2">
        <v>0.35812950204556598</v>
      </c>
      <c r="O234" s="2">
        <v>14.4321968659206</v>
      </c>
      <c r="P234" s="2">
        <v>40.298821469570797</v>
      </c>
      <c r="Q234" s="2">
        <v>40.792156108742297</v>
      </c>
      <c r="R234" s="2">
        <v>22.862968266661301</v>
      </c>
      <c r="S234" s="2">
        <v>0.33197738085440598</v>
      </c>
      <c r="T234" s="2">
        <v>3831.58283719877</v>
      </c>
      <c r="U234" s="2">
        <v>723</v>
      </c>
      <c r="V234" s="2">
        <v>1109</v>
      </c>
      <c r="W234" s="2">
        <v>610.01849526102205</v>
      </c>
      <c r="X234" s="2">
        <v>43634.381880532703</v>
      </c>
      <c r="Y234" s="2">
        <v>-301.56919454454902</v>
      </c>
      <c r="Z234" s="2">
        <v>117.906930077749</v>
      </c>
      <c r="AA234" s="2">
        <v>16.861784315045899</v>
      </c>
      <c r="AB234" s="2">
        <v>0.74935756099961603</v>
      </c>
      <c r="AC234" s="2">
        <v>3.08386197172742</v>
      </c>
      <c r="AD234" s="2">
        <v>3.1163907489155802</v>
      </c>
      <c r="AE234" s="2">
        <v>0.37306432092408898</v>
      </c>
      <c r="AF234" s="2">
        <v>0.28638265534326302</v>
      </c>
      <c r="AG234" s="2">
        <v>0.99122565421556896</v>
      </c>
      <c r="AH234" s="2">
        <v>0.93607023201546802</v>
      </c>
      <c r="AI234" s="2">
        <v>-0.17216134151253301</v>
      </c>
      <c r="AJ234" s="2">
        <v>0.87543027562513298</v>
      </c>
      <c r="AK234" s="2">
        <v>4.4617563023535301E-3</v>
      </c>
      <c r="AL234" s="2">
        <v>8.3368575510784293</v>
      </c>
      <c r="AM234" s="2">
        <v>7.1834613342674896</v>
      </c>
      <c r="AN234" s="2">
        <v>782.78197347718606</v>
      </c>
      <c r="AO234" s="2">
        <v>0.17594559979257901</v>
      </c>
      <c r="AP234" s="2">
        <v>217.894133513149</v>
      </c>
      <c r="AQ234" s="2">
        <v>35.483301598329703</v>
      </c>
      <c r="AR234" s="2">
        <v>578.39739267251105</v>
      </c>
      <c r="AS234" s="2">
        <v>13.4369521240728</v>
      </c>
      <c r="AT234" s="2">
        <v>8609.9082939986492</v>
      </c>
      <c r="AU234" s="2">
        <v>3.0283134141460898E-2</v>
      </c>
      <c r="AV234" s="2">
        <v>3.1690186133193701E-3</v>
      </c>
      <c r="AW234" s="2">
        <v>0.30789247781277501</v>
      </c>
      <c r="AX234" s="2">
        <v>2.8358705857213398E-3</v>
      </c>
      <c r="AY234" s="2">
        <v>1345.27217295132</v>
      </c>
      <c r="AZ234" s="2">
        <v>7.4559462696927703E-2</v>
      </c>
      <c r="BA234" s="2">
        <v>1.9469034484827901</v>
      </c>
      <c r="BB234" s="2">
        <v>270</v>
      </c>
    </row>
    <row r="235" spans="1:54" ht="13" x14ac:dyDescent="0.15">
      <c r="A235" s="1" t="s">
        <v>713</v>
      </c>
      <c r="B235" s="1" t="s">
        <v>714</v>
      </c>
      <c r="C235" s="5" t="s">
        <v>715</v>
      </c>
      <c r="D235" s="1" t="s">
        <v>304</v>
      </c>
      <c r="E235" s="2">
        <v>460</v>
      </c>
      <c r="F235" s="2">
        <v>43273</v>
      </c>
      <c r="G235" s="2">
        <v>8105</v>
      </c>
      <c r="H235" s="2">
        <f t="shared" si="0"/>
        <v>51838</v>
      </c>
      <c r="I235" s="2">
        <v>220189</v>
      </c>
      <c r="J235" s="2">
        <v>1363565</v>
      </c>
      <c r="K235" s="2">
        <f t="shared" si="1"/>
        <v>3.8016522864696589E-2</v>
      </c>
      <c r="M235" s="2">
        <v>0.76373010637738803</v>
      </c>
      <c r="N235" s="2">
        <v>0.57851904853678804</v>
      </c>
      <c r="O235" s="2">
        <v>9.3430616877017805</v>
      </c>
      <c r="P235" s="2">
        <v>16.149963793469801</v>
      </c>
      <c r="Q235" s="2">
        <v>19.697715603592201</v>
      </c>
      <c r="R235" s="2">
        <v>12.3342135659777</v>
      </c>
      <c r="S235" s="2">
        <v>0.40531249413099402</v>
      </c>
      <c r="T235" s="2">
        <v>665.96514982818496</v>
      </c>
      <c r="U235" s="2">
        <v>656</v>
      </c>
      <c r="V235" s="2">
        <v>825.2</v>
      </c>
      <c r="W235" s="2">
        <v>245.509048315309</v>
      </c>
      <c r="X235" s="2">
        <v>3451.9579320663101</v>
      </c>
      <c r="Y235" s="2">
        <v>89.871899307436607</v>
      </c>
      <c r="Z235" s="2">
        <v>34.234829513797699</v>
      </c>
      <c r="AA235" s="2">
        <v>5.7963578782240797</v>
      </c>
      <c r="AB235" s="2">
        <v>0.71377179292956405</v>
      </c>
      <c r="AC235" s="2">
        <v>1.6988740366972299</v>
      </c>
      <c r="AD235" s="2">
        <v>2.40174249897583</v>
      </c>
      <c r="AE235" s="2">
        <v>0.524490978446289</v>
      </c>
      <c r="AF235" s="2">
        <v>0.46772525263588899</v>
      </c>
      <c r="AG235" s="2">
        <v>0.99035791742330204</v>
      </c>
      <c r="AH235" s="2">
        <v>0.93769725088589795</v>
      </c>
      <c r="AI235" s="2">
        <v>-0.26854147653435201</v>
      </c>
      <c r="AJ235" s="2">
        <v>0.91478292610605405</v>
      </c>
      <c r="AK235" s="2">
        <v>2.3121213402854501E-2</v>
      </c>
      <c r="AL235" s="2">
        <v>6.1129126840975099</v>
      </c>
      <c r="AM235" s="2">
        <v>6.1832580811541504</v>
      </c>
      <c r="AN235" s="2">
        <v>54.726086956521698</v>
      </c>
      <c r="AO235" s="2">
        <v>0.118969754253308</v>
      </c>
      <c r="AP235" s="2">
        <v>57.343478260869603</v>
      </c>
      <c r="AQ235" s="2">
        <v>8.8607561436673006</v>
      </c>
      <c r="AR235" s="2">
        <v>217.72608695652201</v>
      </c>
      <c r="AS235" s="2">
        <v>29.2130434782609</v>
      </c>
      <c r="AT235" s="2">
        <v>5888.2260869565198</v>
      </c>
      <c r="AU235" s="2">
        <v>0.15844733647333101</v>
      </c>
      <c r="AV235" s="2">
        <v>7.5714110975249804E-3</v>
      </c>
      <c r="AW235" s="2">
        <v>0.13561691980708401</v>
      </c>
      <c r="AX235" s="2">
        <v>2.1908148286664798E-2</v>
      </c>
      <c r="AY235" s="2">
        <v>172.273568221875</v>
      </c>
      <c r="AZ235" s="2">
        <v>4.3867854260046302E-2</v>
      </c>
      <c r="BA235" s="2">
        <v>4.5920745124264597</v>
      </c>
      <c r="BB235" s="2">
        <v>363</v>
      </c>
    </row>
    <row r="236" spans="1:54" ht="13" x14ac:dyDescent="0.15">
      <c r="A236" s="1" t="s">
        <v>716</v>
      </c>
      <c r="B236" s="1" t="s">
        <v>717</v>
      </c>
      <c r="C236" s="5" t="s">
        <v>718</v>
      </c>
      <c r="D236" s="1" t="s">
        <v>304</v>
      </c>
      <c r="E236" s="2">
        <v>0</v>
      </c>
      <c r="F236" s="2">
        <v>50924</v>
      </c>
      <c r="G236" s="2">
        <v>22</v>
      </c>
      <c r="H236" s="2">
        <f t="shared" si="0"/>
        <v>50946</v>
      </c>
      <c r="I236" s="2">
        <v>61519</v>
      </c>
      <c r="J236" s="2">
        <v>1475581</v>
      </c>
      <c r="K236" s="2">
        <f t="shared" si="1"/>
        <v>3.452606125993761E-2</v>
      </c>
      <c r="M236" s="2">
        <v>0.67660360181254597</v>
      </c>
      <c r="N236" s="2">
        <v>0.56412460752939497</v>
      </c>
      <c r="O236" s="2">
        <v>33.5685187596685</v>
      </c>
      <c r="P236" s="2">
        <v>59.505503414720899</v>
      </c>
      <c r="Q236" s="2">
        <v>55.946402922797503</v>
      </c>
      <c r="R236" s="2">
        <v>40.261637938068901</v>
      </c>
      <c r="S236" s="2">
        <v>0.67476872088331097</v>
      </c>
      <c r="T236" s="2">
        <v>9839.5035363364004</v>
      </c>
      <c r="U236" s="2">
        <v>633</v>
      </c>
      <c r="V236" s="2">
        <v>1094</v>
      </c>
      <c r="W236" s="2">
        <v>405.608684686841</v>
      </c>
      <c r="X236" s="2">
        <v>84037.811426147397</v>
      </c>
      <c r="Y236" s="2">
        <v>790.25096578722696</v>
      </c>
      <c r="Z236" s="2">
        <v>177.85970977036899</v>
      </c>
      <c r="AA236" s="2">
        <v>11.5297505485303</v>
      </c>
      <c r="AB236" s="2">
        <v>0.87800135253560097</v>
      </c>
      <c r="AC236" s="2">
        <v>2.3885995912813698</v>
      </c>
      <c r="AD236" s="2">
        <v>2.8404797125026402</v>
      </c>
      <c r="AE236" s="2">
        <v>0.44050047371517098</v>
      </c>
      <c r="AF236" s="2">
        <v>0.367751208619716</v>
      </c>
      <c r="AG236" s="2">
        <v>0.99552402225417702</v>
      </c>
      <c r="AH236" s="2">
        <v>0.95626175542644898</v>
      </c>
      <c r="AI236" s="2">
        <v>-0.24894613697760001</v>
      </c>
      <c r="AJ236" s="2">
        <v>0.94642678961558202</v>
      </c>
      <c r="AK236" s="2">
        <v>4.31740344889217E-3</v>
      </c>
      <c r="AL236" s="2">
        <v>8.40241178472907</v>
      </c>
      <c r="AM236" s="2">
        <v>8.1988604749418101</v>
      </c>
      <c r="AN236" s="2">
        <v>5649.4935197549303</v>
      </c>
      <c r="AO236" s="2">
        <v>0.110939704653109</v>
      </c>
      <c r="AP236" s="2">
        <v>2008.6673081454701</v>
      </c>
      <c r="AQ236" s="2">
        <v>49.644305618857402</v>
      </c>
      <c r="AR236" s="2">
        <v>401.79763961982599</v>
      </c>
      <c r="AS236" s="2">
        <v>33.5609928520933</v>
      </c>
      <c r="AT236" s="2">
        <v>14347.1385005106</v>
      </c>
      <c r="AU236" s="2">
        <v>0.14036952028190899</v>
      </c>
      <c r="AV236" s="2">
        <v>5.0887531410258703E-3</v>
      </c>
      <c r="AW236" s="2">
        <v>2.1567679351992899</v>
      </c>
      <c r="AX236" s="2">
        <v>4.5254344577495001E-4</v>
      </c>
      <c r="AY236" s="2">
        <v>1428.1925441794999</v>
      </c>
      <c r="AZ236" s="2">
        <v>4.9829947274100998E-2</v>
      </c>
      <c r="BA236" s="2">
        <v>0.48429865777032999</v>
      </c>
      <c r="BB236" s="2">
        <v>360</v>
      </c>
    </row>
    <row r="237" spans="1:54" ht="13" x14ac:dyDescent="0.15">
      <c r="A237" s="1" t="s">
        <v>719</v>
      </c>
      <c r="B237" s="1" t="s">
        <v>720</v>
      </c>
      <c r="C237" s="5" t="s">
        <v>721</v>
      </c>
      <c r="D237" s="1" t="s">
        <v>304</v>
      </c>
      <c r="E237" s="2">
        <v>4816</v>
      </c>
      <c r="F237" s="2">
        <v>56136</v>
      </c>
      <c r="G237" s="2">
        <v>29507</v>
      </c>
      <c r="H237" s="2">
        <f t="shared" si="0"/>
        <v>90459</v>
      </c>
      <c r="I237" s="2">
        <v>111803</v>
      </c>
      <c r="J237" s="2">
        <v>1258577</v>
      </c>
      <c r="K237" s="2">
        <f t="shared" si="1"/>
        <v>7.1874029161505412E-2</v>
      </c>
      <c r="M237" s="2">
        <v>0.83182309529424303</v>
      </c>
      <c r="N237" s="2">
        <v>0.40059685188928901</v>
      </c>
      <c r="O237" s="2">
        <v>14.495002218992999</v>
      </c>
      <c r="P237" s="2">
        <v>36.183515049187001</v>
      </c>
      <c r="Q237" s="2">
        <v>36.138621999185297</v>
      </c>
      <c r="R237" s="2">
        <v>30.098283486840501</v>
      </c>
      <c r="S237" s="2">
        <v>0.344610132051486</v>
      </c>
      <c r="T237" s="2">
        <v>3952.6187028299801</v>
      </c>
      <c r="U237" s="2">
        <v>526</v>
      </c>
      <c r="V237" s="2">
        <v>1054</v>
      </c>
      <c r="W237" s="2">
        <v>698.92900868875699</v>
      </c>
      <c r="X237" s="2">
        <v>262442.51349815901</v>
      </c>
      <c r="Y237" s="2">
        <v>2286.4332680309799</v>
      </c>
      <c r="Z237" s="2">
        <v>263.34088831335998</v>
      </c>
      <c r="AA237" s="2">
        <v>30.3065728567591</v>
      </c>
      <c r="AB237" s="2">
        <v>0.79327497020933002</v>
      </c>
      <c r="AC237" s="2">
        <v>4.17405436076145</v>
      </c>
      <c r="AD237" s="2">
        <v>3.5141993528990598</v>
      </c>
      <c r="AE237" s="2">
        <v>0.31720501042101801</v>
      </c>
      <c r="AF237" s="2">
        <v>0.22648978638655001</v>
      </c>
      <c r="AG237" s="2">
        <v>0.99067697264129195</v>
      </c>
      <c r="AH237" s="2">
        <v>0.93372573273398096</v>
      </c>
      <c r="AI237" s="2">
        <v>-0.18258514613939</v>
      </c>
      <c r="AJ237" s="2">
        <v>0.906996519468943</v>
      </c>
      <c r="AK237" s="2">
        <v>2.2242464459110199E-3</v>
      </c>
      <c r="AL237" s="2">
        <v>9.2234510233079803</v>
      </c>
      <c r="AM237" s="2">
        <v>7.4185045636121503</v>
      </c>
      <c r="AN237" s="2">
        <v>1039.2450166112999</v>
      </c>
      <c r="AO237" s="2">
        <v>0.21579007820002</v>
      </c>
      <c r="AP237" s="2">
        <v>163.641196013289</v>
      </c>
      <c r="AQ237" s="2">
        <v>74.914962609063394</v>
      </c>
      <c r="AR237" s="2">
        <v>713.74688538205999</v>
      </c>
      <c r="AS237" s="2">
        <v>9.3625415282392002</v>
      </c>
      <c r="AT237" s="2">
        <v>6996.3710548172803</v>
      </c>
      <c r="AU237" s="2">
        <v>2.16819509393354E-2</v>
      </c>
      <c r="AV237" s="2">
        <v>2.78478503323705E-3</v>
      </c>
      <c r="AW237" s="2">
        <v>0.23709344035164201</v>
      </c>
      <c r="AX237" s="2">
        <v>2.8169086871234201E-3</v>
      </c>
      <c r="AY237" s="2">
        <v>3149.4860870401399</v>
      </c>
      <c r="AZ237" s="2">
        <v>0.115373466006995</v>
      </c>
      <c r="BA237" s="2">
        <v>3.39826999579939</v>
      </c>
      <c r="BB237" s="2">
        <v>93</v>
      </c>
    </row>
    <row r="238" spans="1:54" ht="13" x14ac:dyDescent="0.15">
      <c r="A238" s="1" t="s">
        <v>722</v>
      </c>
      <c r="B238" s="1" t="s">
        <v>723</v>
      </c>
      <c r="C238" s="5" t="s">
        <v>724</v>
      </c>
      <c r="D238" s="1" t="s">
        <v>304</v>
      </c>
      <c r="E238" s="2">
        <v>36356</v>
      </c>
      <c r="F238" s="2">
        <v>38560</v>
      </c>
      <c r="G238" s="2">
        <v>31586</v>
      </c>
      <c r="H238" s="2">
        <f t="shared" si="0"/>
        <v>106502</v>
      </c>
      <c r="I238" s="2">
        <v>139721</v>
      </c>
      <c r="J238" s="2">
        <v>1681607</v>
      </c>
      <c r="K238" s="2">
        <f t="shared" si="1"/>
        <v>6.3333466142802691E-2</v>
      </c>
      <c r="M238" s="2">
        <v>0.67969564350607004</v>
      </c>
      <c r="N238" s="2">
        <v>0.63097553131616702</v>
      </c>
      <c r="O238" s="2">
        <v>38.062074449693398</v>
      </c>
      <c r="P238" s="2">
        <v>60.322583936494098</v>
      </c>
      <c r="Q238" s="2">
        <v>69.289248805279996</v>
      </c>
      <c r="R238" s="2">
        <v>41.000997506664199</v>
      </c>
      <c r="S238" s="2">
        <v>0.17638556547616699</v>
      </c>
      <c r="T238" s="2">
        <v>29585.0775217017</v>
      </c>
      <c r="U238" s="2">
        <v>741</v>
      </c>
      <c r="V238" s="2">
        <v>1138</v>
      </c>
      <c r="W238" s="2">
        <v>649.67291640649501</v>
      </c>
      <c r="X238" s="2">
        <v>113749.39371602501</v>
      </c>
      <c r="Y238" s="2">
        <v>1894.0504912613701</v>
      </c>
      <c r="Z238" s="2">
        <v>169.63499290052201</v>
      </c>
      <c r="AA238" s="2">
        <v>14.2139659349582</v>
      </c>
      <c r="AB238" s="2">
        <v>0.84572035348153396</v>
      </c>
      <c r="AC238" s="2">
        <v>2.4737149052294201</v>
      </c>
      <c r="AD238" s="2">
        <v>2.9055084924757799</v>
      </c>
      <c r="AE238" s="2">
        <v>0.45110480635908001</v>
      </c>
      <c r="AF238" s="2">
        <v>0.38300484000974699</v>
      </c>
      <c r="AG238" s="2">
        <v>0.99664438416283596</v>
      </c>
      <c r="AH238" s="2">
        <v>0.96437458378568797</v>
      </c>
      <c r="AI238" s="2">
        <v>-0.23790557901537099</v>
      </c>
      <c r="AJ238" s="2">
        <v>0.93805584631261096</v>
      </c>
      <c r="AK238" s="2">
        <v>6.1550192296506304E-3</v>
      </c>
      <c r="AL238" s="2">
        <v>8.2766840687338608</v>
      </c>
      <c r="AM238" s="2">
        <v>7.8909627980817501</v>
      </c>
      <c r="AN238" s="2">
        <v>4315.6790626031498</v>
      </c>
      <c r="AO238" s="2">
        <v>0.118706102503112</v>
      </c>
      <c r="AP238" s="2">
        <v>1797.60919793157</v>
      </c>
      <c r="AQ238" s="2">
        <v>43.740881419073098</v>
      </c>
      <c r="AR238" s="2">
        <v>628.87616899548902</v>
      </c>
      <c r="AS238" s="2">
        <v>28.434591264165501</v>
      </c>
      <c r="AT238" s="2">
        <v>15686.2600946199</v>
      </c>
      <c r="AU238" s="2">
        <v>6.1573581646895102E-2</v>
      </c>
      <c r="AV238" s="2">
        <v>2.1733642310172098E-3</v>
      </c>
      <c r="AW238" s="2">
        <v>1.0464286440421</v>
      </c>
      <c r="AX238" s="2">
        <v>4.8935511120677395E-4</v>
      </c>
      <c r="AY238" s="2">
        <v>2431.6212339101398</v>
      </c>
      <c r="AZ238" s="2">
        <v>3.2973474869075502E-2</v>
      </c>
      <c r="BA238" s="2">
        <v>1.02829451587481</v>
      </c>
      <c r="BB238" s="2">
        <v>123</v>
      </c>
    </row>
    <row r="239" spans="1:54" ht="13" x14ac:dyDescent="0.15">
      <c r="A239" s="1" t="s">
        <v>725</v>
      </c>
      <c r="B239" s="1" t="s">
        <v>726</v>
      </c>
      <c r="C239" s="5" t="s">
        <v>727</v>
      </c>
      <c r="D239" s="1" t="s">
        <v>304</v>
      </c>
      <c r="E239" s="2">
        <v>31119</v>
      </c>
      <c r="F239" s="2">
        <v>107584</v>
      </c>
      <c r="G239" s="2">
        <v>68230</v>
      </c>
      <c r="H239" s="2">
        <f t="shared" si="0"/>
        <v>206933</v>
      </c>
      <c r="I239" s="2">
        <v>327763</v>
      </c>
      <c r="J239" s="2">
        <v>1684220</v>
      </c>
      <c r="K239" s="2">
        <f t="shared" si="1"/>
        <v>0.12286577763000082</v>
      </c>
      <c r="M239" s="2">
        <v>0.70389449086181</v>
      </c>
      <c r="N239" s="2">
        <v>0.43894053946668099</v>
      </c>
      <c r="O239" s="2">
        <v>25.884054548706501</v>
      </c>
      <c r="P239" s="2">
        <v>58.969387015735698</v>
      </c>
      <c r="Q239" s="2">
        <v>72.034713853808</v>
      </c>
      <c r="R239" s="2">
        <v>41.508226649874302</v>
      </c>
      <c r="S239" s="2">
        <v>0.32467922925922199</v>
      </c>
      <c r="T239" s="2">
        <v>14654.848780910301</v>
      </c>
      <c r="U239" s="2">
        <v>873</v>
      </c>
      <c r="V239" s="2">
        <v>2334</v>
      </c>
      <c r="W239" s="2">
        <v>3432.2905385448198</v>
      </c>
      <c r="X239" s="2">
        <v>6296399.8960197698</v>
      </c>
      <c r="Y239" s="2">
        <v>24540.231863304602</v>
      </c>
      <c r="Z239" s="2">
        <v>1918.42092496338</v>
      </c>
      <c r="AA239" s="2">
        <v>58.175798330175297</v>
      </c>
      <c r="AB239" s="2">
        <v>0.94117386059480301</v>
      </c>
      <c r="AC239" s="2">
        <v>5.4737806325765099</v>
      </c>
      <c r="AD239" s="2">
        <v>3.9466022870070701</v>
      </c>
      <c r="AE239" s="2">
        <v>0.290233604672472</v>
      </c>
      <c r="AF239" s="2">
        <v>0.20364205478563699</v>
      </c>
      <c r="AG239" s="2">
        <v>0.99456219270707702</v>
      </c>
      <c r="AH239" s="2">
        <v>0.95121664802234596</v>
      </c>
      <c r="AI239" s="2">
        <v>-0.25393327357669099</v>
      </c>
      <c r="AJ239" s="2">
        <v>0.97576015162381502</v>
      </c>
      <c r="AK239" s="2">
        <v>8.6584896609461198E-4</v>
      </c>
      <c r="AL239" s="2">
        <v>10.8354665106397</v>
      </c>
      <c r="AM239" s="2">
        <v>8.5725372201073107</v>
      </c>
      <c r="AN239" s="2">
        <v>6533.5183328513103</v>
      </c>
      <c r="AO239" s="2">
        <v>0.20995270840487501</v>
      </c>
      <c r="AP239" s="2">
        <v>479.56441402358701</v>
      </c>
      <c r="AQ239" s="2">
        <v>481.80411426936399</v>
      </c>
      <c r="AR239" s="2">
        <v>3246.2543140846401</v>
      </c>
      <c r="AS239" s="2">
        <v>10.993765866512399</v>
      </c>
      <c r="AT239" s="2">
        <v>32304.9835148944</v>
      </c>
      <c r="AU239" s="2">
        <v>8.6097923592978205E-3</v>
      </c>
      <c r="AV239" s="2">
        <v>6.45667651064661E-4</v>
      </c>
      <c r="AW239" s="2">
        <v>0.409435016319673</v>
      </c>
      <c r="AX239" s="2">
        <v>7.9361123457295205E-4</v>
      </c>
      <c r="AY239" s="2">
        <v>9860.9639304981101</v>
      </c>
      <c r="AZ239" s="2">
        <v>0.316059329772366</v>
      </c>
      <c r="BA239" s="2">
        <v>2.6014252821457999</v>
      </c>
      <c r="BB239" s="2">
        <v>451</v>
      </c>
    </row>
    <row r="240" spans="1:54" ht="13" x14ac:dyDescent="0.15">
      <c r="A240" s="1" t="s">
        <v>728</v>
      </c>
      <c r="B240" s="1" t="s">
        <v>729</v>
      </c>
      <c r="C240" s="5" t="s">
        <v>730</v>
      </c>
      <c r="D240" s="1" t="s">
        <v>304</v>
      </c>
      <c r="E240" s="2">
        <v>9752</v>
      </c>
      <c r="F240" s="2">
        <v>164048</v>
      </c>
      <c r="G240" s="2">
        <v>15211</v>
      </c>
      <c r="H240" s="2">
        <f t="shared" si="0"/>
        <v>189011</v>
      </c>
      <c r="I240" s="2">
        <v>272195</v>
      </c>
      <c r="J240" s="2">
        <v>1394557</v>
      </c>
      <c r="K240" s="2">
        <f t="shared" si="1"/>
        <v>0.13553479707175828</v>
      </c>
      <c r="M240" s="2">
        <v>0.71916001063912505</v>
      </c>
      <c r="N240" s="2">
        <v>0.36065151743058799</v>
      </c>
      <c r="O240" s="2">
        <v>17.0094915899532</v>
      </c>
      <c r="P240" s="2">
        <v>47.163233115266003</v>
      </c>
      <c r="Q240" s="2">
        <v>47.801673610868498</v>
      </c>
      <c r="R240" s="2">
        <v>33.917911228950302</v>
      </c>
      <c r="S240" s="2">
        <v>0.25762411079629</v>
      </c>
      <c r="T240" s="2">
        <v>8436.2904439885006</v>
      </c>
      <c r="U240" s="2">
        <v>628</v>
      </c>
      <c r="V240" s="2">
        <v>1118</v>
      </c>
      <c r="W240" s="2">
        <v>1339.5086164182901</v>
      </c>
      <c r="X240" s="2">
        <v>80983.634936763599</v>
      </c>
      <c r="Y240" s="2">
        <v>-996.19813654979896</v>
      </c>
      <c r="Z240" s="2">
        <v>188.38466124145799</v>
      </c>
      <c r="AA240" s="2">
        <v>8.0024166240664591</v>
      </c>
      <c r="AB240" s="2">
        <v>0.91823340069408899</v>
      </c>
      <c r="AC240" s="2">
        <v>1.9772162014331001</v>
      </c>
      <c r="AD240" s="2">
        <v>2.6176037234145699</v>
      </c>
      <c r="AE240" s="2">
        <v>0.48351696870594302</v>
      </c>
      <c r="AF240" s="2">
        <v>0.41899497373598998</v>
      </c>
      <c r="AG240" s="2">
        <v>0.99674037214105804</v>
      </c>
      <c r="AH240" s="2">
        <v>0.96261710650036403</v>
      </c>
      <c r="AI240" s="2">
        <v>-0.30791578018983801</v>
      </c>
      <c r="AJ240" s="2">
        <v>0.96907227225477</v>
      </c>
      <c r="AK240" s="2">
        <v>5.37672783700346E-3</v>
      </c>
      <c r="AL240" s="2">
        <v>7.9936034319585403</v>
      </c>
      <c r="AM240" s="2">
        <v>8.0329950668146903</v>
      </c>
      <c r="AN240" s="2">
        <v>1095.3552091878601</v>
      </c>
      <c r="AO240" s="2">
        <v>0.11232108379694999</v>
      </c>
      <c r="AP240" s="2">
        <v>374.03506972928602</v>
      </c>
      <c r="AQ240" s="2">
        <v>52.598665274526098</v>
      </c>
      <c r="AR240" s="2">
        <v>1256.1023379819501</v>
      </c>
      <c r="AS240" s="2">
        <v>34.331624282198497</v>
      </c>
      <c r="AT240" s="2">
        <v>49821.946882690703</v>
      </c>
      <c r="AU240" s="2">
        <v>2.9930689845442799E-2</v>
      </c>
      <c r="AV240" s="2">
        <v>1.08338175583904E-3</v>
      </c>
      <c r="AW240" s="2">
        <v>0.26575927396599602</v>
      </c>
      <c r="AX240" s="2">
        <v>2.3295030035582198E-3</v>
      </c>
      <c r="AY240" s="2">
        <v>1149.33998180193</v>
      </c>
      <c r="AZ240" s="2">
        <v>6.24311884683144E-2</v>
      </c>
      <c r="BA240" s="2">
        <v>2.2853529397551302</v>
      </c>
      <c r="BB240" s="2">
        <v>173</v>
      </c>
    </row>
    <row r="241" spans="1:54" ht="13" x14ac:dyDescent="0.15">
      <c r="A241" s="1" t="s">
        <v>731</v>
      </c>
      <c r="B241" s="1" t="s">
        <v>732</v>
      </c>
      <c r="C241" s="1" t="s">
        <v>733</v>
      </c>
      <c r="D241" s="1" t="s">
        <v>304</v>
      </c>
      <c r="E241" s="2">
        <v>3279</v>
      </c>
      <c r="F241" s="2">
        <v>24445</v>
      </c>
      <c r="G241" s="2">
        <v>4466</v>
      </c>
      <c r="H241" s="2">
        <f t="shared" si="0"/>
        <v>32190</v>
      </c>
      <c r="I241" s="2">
        <v>100193</v>
      </c>
      <c r="J241" s="2">
        <v>1499805</v>
      </c>
      <c r="K241" s="2">
        <f t="shared" si="1"/>
        <v>2.1462790162721155E-2</v>
      </c>
      <c r="M241" s="2">
        <v>0.848614060554022</v>
      </c>
      <c r="N241" s="2">
        <v>0.59780047524454405</v>
      </c>
      <c r="O241" s="2">
        <v>13.379117849160201</v>
      </c>
      <c r="P241" s="2">
        <v>22.380574126655201</v>
      </c>
      <c r="Q241" s="2">
        <v>24.413111231467401</v>
      </c>
      <c r="R241" s="2">
        <v>18.992469887151199</v>
      </c>
      <c r="S241" s="2">
        <v>0.50585849732511501</v>
      </c>
      <c r="T241" s="2">
        <v>2085.7108601110099</v>
      </c>
      <c r="U241" s="2">
        <v>642</v>
      </c>
      <c r="V241" s="2">
        <v>1099.5999999999999</v>
      </c>
      <c r="W241" s="2">
        <v>238.431612864958</v>
      </c>
      <c r="X241" s="2">
        <v>65663.635053559206</v>
      </c>
      <c r="Y241" s="2">
        <v>1307.9489270933</v>
      </c>
      <c r="Z241" s="2">
        <v>177.819377368528</v>
      </c>
      <c r="AA241" s="2">
        <v>8.6068294572321307</v>
      </c>
      <c r="AB241" s="2">
        <v>0.90764228572272698</v>
      </c>
      <c r="AC241" s="2">
        <v>2.10980911866017</v>
      </c>
      <c r="AD241" s="2">
        <v>2.6658935161556299</v>
      </c>
      <c r="AE241" s="2">
        <v>0.46830796444209399</v>
      </c>
      <c r="AF241" s="2">
        <v>0.40092464912593601</v>
      </c>
      <c r="AG241" s="2">
        <v>0.99083102611246598</v>
      </c>
      <c r="AH241" s="2">
        <v>0.93776216336399598</v>
      </c>
      <c r="AI241" s="2">
        <v>-0.29217601505311103</v>
      </c>
      <c r="AJ241" s="2">
        <v>0.95825100760175796</v>
      </c>
      <c r="AK241" s="2">
        <v>7.4059330766512001E-3</v>
      </c>
      <c r="AL241" s="2">
        <v>7.72629580916312</v>
      </c>
      <c r="AM241" s="2">
        <v>7.6902220804581498</v>
      </c>
      <c r="AN241" s="2">
        <v>353.194571515706</v>
      </c>
      <c r="AO241" s="2">
        <v>0.107714111471701</v>
      </c>
      <c r="AP241" s="2">
        <v>164.99085086916699</v>
      </c>
      <c r="AQ241" s="2">
        <v>46.078057143888202</v>
      </c>
      <c r="AR241" s="2">
        <v>232.17291857273599</v>
      </c>
      <c r="AS241" s="2">
        <v>33.727050930161603</v>
      </c>
      <c r="AT241" s="2">
        <v>6484.7273559011901</v>
      </c>
      <c r="AU241" s="2">
        <v>0.51307301900536795</v>
      </c>
      <c r="AV241" s="2">
        <v>1.71162446180286E-2</v>
      </c>
      <c r="AW241" s="2">
        <v>0.58470806238163697</v>
      </c>
      <c r="AX241" s="2">
        <v>6.0606972242490198E-3</v>
      </c>
      <c r="AY241" s="2">
        <v>378.49141295130698</v>
      </c>
      <c r="AZ241" s="2">
        <v>0.118394819046536</v>
      </c>
      <c r="BA241" s="2">
        <v>2.0373727812360198</v>
      </c>
      <c r="BB241" s="2">
        <v>524</v>
      </c>
    </row>
    <row r="242" spans="1:54" ht="13" x14ac:dyDescent="0.15">
      <c r="A242" s="1" t="s">
        <v>734</v>
      </c>
      <c r="B242" s="1" t="s">
        <v>735</v>
      </c>
      <c r="C242" s="5" t="s">
        <v>736</v>
      </c>
      <c r="D242" s="1" t="s">
        <v>304</v>
      </c>
      <c r="E242" s="2">
        <v>1264</v>
      </c>
      <c r="F242" s="2">
        <v>110060</v>
      </c>
      <c r="G242" s="2">
        <v>14981</v>
      </c>
      <c r="H242" s="2">
        <f t="shared" si="0"/>
        <v>126305</v>
      </c>
      <c r="I242" s="2">
        <v>169774</v>
      </c>
      <c r="J242" s="2">
        <v>1568701</v>
      </c>
      <c r="K242" s="2">
        <f t="shared" si="1"/>
        <v>8.0515662321882883E-2</v>
      </c>
      <c r="M242" s="2">
        <v>0.67567558800530603</v>
      </c>
      <c r="N242" s="2">
        <v>0.48458391527370698</v>
      </c>
      <c r="O242" s="2">
        <v>10.709851583839001</v>
      </c>
      <c r="P242" s="2">
        <v>22.1011289196212</v>
      </c>
      <c r="Q242" s="2">
        <v>21.587033144922898</v>
      </c>
      <c r="R242" s="2">
        <v>14.933193278346099</v>
      </c>
      <c r="S242" s="2">
        <v>0.43901719945582701</v>
      </c>
      <c r="T242" s="2">
        <v>1262.3025702668799</v>
      </c>
      <c r="U242" s="2">
        <v>874</v>
      </c>
      <c r="V242" s="2">
        <v>1281.7</v>
      </c>
      <c r="W242" s="2">
        <v>298.88910719567502</v>
      </c>
      <c r="X242" s="2">
        <v>46057.597274041997</v>
      </c>
      <c r="Y242" s="2">
        <v>825.38859903440402</v>
      </c>
      <c r="Z242" s="2">
        <v>134.35915549961999</v>
      </c>
      <c r="AA242" s="2">
        <v>11.741852685790001</v>
      </c>
      <c r="AB242" s="2">
        <v>0.83802983692029698</v>
      </c>
      <c r="AC242" s="2">
        <v>2.5544792047353799</v>
      </c>
      <c r="AD242" s="2">
        <v>2.8629897919513398</v>
      </c>
      <c r="AE242" s="2">
        <v>0.41316981104109202</v>
      </c>
      <c r="AF242" s="2">
        <v>0.33305872033166301</v>
      </c>
      <c r="AG242" s="2">
        <v>0.99027524867946004</v>
      </c>
      <c r="AH242" s="2">
        <v>0.93346529968631897</v>
      </c>
      <c r="AI242" s="2">
        <v>-0.26594035569485802</v>
      </c>
      <c r="AJ242" s="2">
        <v>0.94782510861704194</v>
      </c>
      <c r="AK242" s="2">
        <v>6.6201563646549498E-3</v>
      </c>
      <c r="AL242" s="2">
        <v>7.8136672708881703</v>
      </c>
      <c r="AM242" s="2">
        <v>7.1558394232338696</v>
      </c>
      <c r="AN242" s="2">
        <v>197.976265822785</v>
      </c>
      <c r="AO242" s="2">
        <v>0.15662679258131701</v>
      </c>
      <c r="AP242" s="2">
        <v>63.466772151898702</v>
      </c>
      <c r="AQ242" s="2">
        <v>39.410956151858699</v>
      </c>
      <c r="AR242" s="2">
        <v>314.04193037974699</v>
      </c>
      <c r="AS242" s="2">
        <v>17.0712025316456</v>
      </c>
      <c r="AT242" s="2">
        <v>4544.49446202532</v>
      </c>
      <c r="AU242" s="2">
        <v>0.10104485086147599</v>
      </c>
      <c r="AV242" s="2">
        <v>7.3030254070838001E-3</v>
      </c>
      <c r="AW242" s="2">
        <v>0.178820654382392</v>
      </c>
      <c r="AX242" s="2">
        <v>1.16118611688588E-2</v>
      </c>
      <c r="AY242" s="2">
        <v>695.49806294758696</v>
      </c>
      <c r="AZ242" s="2">
        <v>0.109648118313616</v>
      </c>
      <c r="BA242" s="2">
        <v>4.7056312463991103</v>
      </c>
      <c r="BB242" s="2">
        <v>738</v>
      </c>
    </row>
    <row r="243" spans="1:54" ht="13" x14ac:dyDescent="0.15">
      <c r="A243" s="1" t="s">
        <v>737</v>
      </c>
      <c r="B243" s="1" t="s">
        <v>738</v>
      </c>
      <c r="C243" s="1" t="s">
        <v>739</v>
      </c>
      <c r="D243" s="1" t="s">
        <v>304</v>
      </c>
      <c r="E243" s="2">
        <v>10225</v>
      </c>
      <c r="F243" s="2">
        <v>15560</v>
      </c>
      <c r="G243" s="2">
        <v>32673</v>
      </c>
      <c r="H243" s="2">
        <f t="shared" si="0"/>
        <v>58458</v>
      </c>
      <c r="I243" s="2">
        <v>128293</v>
      </c>
      <c r="J243" s="2">
        <v>1560466</v>
      </c>
      <c r="K243" s="2">
        <f t="shared" si="1"/>
        <v>3.7461886385220827E-2</v>
      </c>
      <c r="M243" s="2">
        <v>0.43176286856891</v>
      </c>
      <c r="N243" s="2">
        <v>0.334276254881887</v>
      </c>
      <c r="O243" s="2">
        <v>24.295554657921301</v>
      </c>
      <c r="P243" s="2">
        <v>72.681066342884094</v>
      </c>
      <c r="Q243" s="2">
        <v>65.375836514724597</v>
      </c>
      <c r="R243" s="2">
        <v>31.380985694850899</v>
      </c>
      <c r="S243" s="2">
        <v>0.26887658958212901</v>
      </c>
      <c r="T243" s="2">
        <v>8284.0519530708807</v>
      </c>
      <c r="U243" s="2">
        <v>720</v>
      </c>
      <c r="V243" s="2">
        <v>1357.6</v>
      </c>
      <c r="W243" s="2">
        <v>1085.32957029155</v>
      </c>
      <c r="X243" s="2">
        <v>299341.46566279302</v>
      </c>
      <c r="Y243" s="2">
        <v>-339.72886191633501</v>
      </c>
      <c r="Z243" s="2">
        <v>329.57466423293602</v>
      </c>
      <c r="AA243" s="2">
        <v>25.772698768683899</v>
      </c>
      <c r="AB243" s="2">
        <v>0.85414165170993905</v>
      </c>
      <c r="AC243" s="2">
        <v>3.7548167804631598</v>
      </c>
      <c r="AD243" s="2">
        <v>3.4092114739574502</v>
      </c>
      <c r="AE243" s="2">
        <v>0.342213999554276</v>
      </c>
      <c r="AF243" s="2">
        <v>0.25408542817172503</v>
      </c>
      <c r="AG243" s="2">
        <v>0.99406211406766398</v>
      </c>
      <c r="AH243" s="2">
        <v>0.947566124301359</v>
      </c>
      <c r="AI243" s="2">
        <v>-0.21697865380489101</v>
      </c>
      <c r="AJ243" s="2">
        <v>0.94101411748147801</v>
      </c>
      <c r="AK243" s="2">
        <v>2.03192721698124E-3</v>
      </c>
      <c r="AL243" s="2">
        <v>9.3984802447983</v>
      </c>
      <c r="AM243" s="2">
        <v>7.8765370400835897</v>
      </c>
      <c r="AN243" s="2">
        <v>1962.1450366748199</v>
      </c>
      <c r="AO243" s="2">
        <v>0.191896825102672</v>
      </c>
      <c r="AP243" s="2">
        <v>288.25535452322703</v>
      </c>
      <c r="AQ243" s="2">
        <v>96.718532538662501</v>
      </c>
      <c r="AR243" s="2">
        <v>1006.38542787286</v>
      </c>
      <c r="AS243" s="2">
        <v>11.670904645476799</v>
      </c>
      <c r="AT243" s="2">
        <v>11844.736919315401</v>
      </c>
      <c r="AU243" s="2">
        <v>1.9603617925743499E-2</v>
      </c>
      <c r="AV243" s="2">
        <v>1.9646663349544399E-3</v>
      </c>
      <c r="AW243" s="2">
        <v>0.30548533746707901</v>
      </c>
      <c r="AX243" s="2">
        <v>1.70954987201166E-3</v>
      </c>
      <c r="AY243" s="2">
        <v>3337.1060920364298</v>
      </c>
      <c r="AZ243" s="2">
        <v>0.107326736376276</v>
      </c>
      <c r="BA243" s="2">
        <v>2.47158001161168</v>
      </c>
      <c r="BB243" s="2">
        <v>200</v>
      </c>
    </row>
    <row r="244" spans="1:54" ht="13" x14ac:dyDescent="0.15">
      <c r="A244" s="1" t="s">
        <v>740</v>
      </c>
      <c r="B244" s="1" t="s">
        <v>741</v>
      </c>
      <c r="C244" s="5" t="s">
        <v>742</v>
      </c>
      <c r="D244" s="1" t="s">
        <v>304</v>
      </c>
      <c r="E244" s="2">
        <v>58</v>
      </c>
      <c r="F244" s="2">
        <v>97087</v>
      </c>
      <c r="G244" s="2">
        <v>42422</v>
      </c>
      <c r="H244" s="2">
        <f t="shared" si="0"/>
        <v>139567</v>
      </c>
      <c r="I244" s="2">
        <v>293899</v>
      </c>
      <c r="J244" s="2">
        <v>1723303</v>
      </c>
      <c r="K244" s="2">
        <f t="shared" si="1"/>
        <v>8.0988079287275652E-2</v>
      </c>
      <c r="M244" s="2">
        <v>0.44308969851817998</v>
      </c>
      <c r="N244" s="2">
        <v>0.28063070588800498</v>
      </c>
      <c r="O244" s="2">
        <v>10.497463758696901</v>
      </c>
      <c r="P244" s="2">
        <v>37.406682656053697</v>
      </c>
      <c r="Q244" s="2">
        <v>12.369316876853</v>
      </c>
      <c r="R244" s="2">
        <v>16.574515740635999</v>
      </c>
      <c r="S244" s="2">
        <v>0.54947114485418602</v>
      </c>
      <c r="T244" s="2">
        <v>111.485036373296</v>
      </c>
      <c r="U244" s="2">
        <v>355.1</v>
      </c>
      <c r="V244" s="2">
        <v>448.6</v>
      </c>
      <c r="W244" s="2">
        <v>52.033914594720102</v>
      </c>
      <c r="X244" s="2">
        <v>115.175151398422</v>
      </c>
      <c r="Y244" s="2">
        <v>-11.0033746111243</v>
      </c>
      <c r="Z244" s="2">
        <v>5.2698772813702801</v>
      </c>
      <c r="AA244" s="2">
        <v>2.6583918973978999</v>
      </c>
      <c r="AB244" s="2">
        <v>0.31070798416110601</v>
      </c>
      <c r="AC244" s="2">
        <v>1.2206647820357199</v>
      </c>
      <c r="AD244" s="2">
        <v>1.73154252179803</v>
      </c>
      <c r="AE244" s="2">
        <v>0.56829409815937804</v>
      </c>
      <c r="AF244" s="2">
        <v>0.52426730973690805</v>
      </c>
      <c r="AG244" s="2">
        <v>0.97553257539110305</v>
      </c>
      <c r="AH244" s="2">
        <v>0.89894107956197</v>
      </c>
      <c r="AI244" s="2">
        <v>-0.33867796009092299</v>
      </c>
      <c r="AJ244" s="2">
        <v>0.87628175804696695</v>
      </c>
      <c r="AK244" s="2">
        <v>9.3247138792909703E-2</v>
      </c>
      <c r="AL244" s="2">
        <v>3.8165849695278302</v>
      </c>
      <c r="AM244" s="2">
        <v>4.1941276595410502</v>
      </c>
      <c r="AN244" s="2">
        <v>9.5517241379310303</v>
      </c>
      <c r="AO244" s="2">
        <v>0.164684898929845</v>
      </c>
      <c r="AP244" s="2">
        <v>13.689655172413801</v>
      </c>
      <c r="AQ244" s="2">
        <v>2.8635552913198601</v>
      </c>
      <c r="AR244" s="2">
        <v>48.775862068965502</v>
      </c>
      <c r="AS244" s="2">
        <v>16.724137931034502</v>
      </c>
      <c r="AT244" s="2">
        <v>892.87931034482801</v>
      </c>
      <c r="AU244" s="2">
        <v>0.35828475100129498</v>
      </c>
      <c r="AV244" s="2">
        <v>4.5790316765275701E-2</v>
      </c>
      <c r="AW244" s="2">
        <v>0.116743346702548</v>
      </c>
      <c r="AX244" s="2">
        <v>0.10143248691597601</v>
      </c>
      <c r="AY244" s="2">
        <v>37.373464754935</v>
      </c>
      <c r="AZ244" s="2">
        <v>5.56153129126533E-2</v>
      </c>
      <c r="BA244" s="2">
        <v>5.0270953336349899</v>
      </c>
      <c r="BB244" s="2">
        <v>376</v>
      </c>
    </row>
    <row r="245" spans="1:54" ht="13" x14ac:dyDescent="0.15">
      <c r="A245" s="1" t="s">
        <v>743</v>
      </c>
      <c r="B245" s="1" t="s">
        <v>744</v>
      </c>
      <c r="C245" s="5" t="s">
        <v>745</v>
      </c>
      <c r="D245" s="1" t="s">
        <v>304</v>
      </c>
      <c r="E245" s="2">
        <v>3714</v>
      </c>
      <c r="F245" s="2">
        <v>52227</v>
      </c>
      <c r="G245" s="2">
        <v>10911</v>
      </c>
      <c r="H245" s="2">
        <f t="shared" si="0"/>
        <v>66852</v>
      </c>
      <c r="I245" s="2">
        <v>126672</v>
      </c>
      <c r="J245" s="2">
        <v>1431130</v>
      </c>
      <c r="K245" s="2">
        <f t="shared" si="1"/>
        <v>4.6712737487160497E-2</v>
      </c>
      <c r="M245" s="2">
        <v>0.67073786197589902</v>
      </c>
      <c r="N245" s="2">
        <v>0.530934264500319</v>
      </c>
      <c r="O245" s="2">
        <v>15.6211738528401</v>
      </c>
      <c r="P245" s="2">
        <v>29.422048824710402</v>
      </c>
      <c r="Q245" s="2">
        <v>42.059481689626203</v>
      </c>
      <c r="R245" s="2">
        <v>19.734482123636798</v>
      </c>
      <c r="S245" s="2">
        <v>0.52694129827280201</v>
      </c>
      <c r="T245" s="2">
        <v>2177.4446970546801</v>
      </c>
      <c r="U245" s="2">
        <v>786.3</v>
      </c>
      <c r="V245" s="2">
        <v>1097</v>
      </c>
      <c r="W245" s="2">
        <v>413.466551200803</v>
      </c>
      <c r="X245" s="2">
        <v>34671.855290698797</v>
      </c>
      <c r="Y245" s="2">
        <v>-488.15911994523901</v>
      </c>
      <c r="Z245" s="2">
        <v>85.294243530090498</v>
      </c>
      <c r="AA245" s="2">
        <v>7.1853170721666499</v>
      </c>
      <c r="AB245" s="2">
        <v>0.84302385347077102</v>
      </c>
      <c r="AC245" s="2">
        <v>2.00990285312729</v>
      </c>
      <c r="AD245" s="2">
        <v>2.5806503299395098</v>
      </c>
      <c r="AE245" s="2">
        <v>0.46103696263920602</v>
      </c>
      <c r="AF245" s="2">
        <v>0.39039358446871097</v>
      </c>
      <c r="AG245" s="2">
        <v>0.99427190738090698</v>
      </c>
      <c r="AH245" s="2">
        <v>0.94774173750285895</v>
      </c>
      <c r="AI245" s="2">
        <v>-0.23429673517441801</v>
      </c>
      <c r="AJ245" s="2">
        <v>0.920063971585105</v>
      </c>
      <c r="AK245" s="2">
        <v>8.8966252312583198E-3</v>
      </c>
      <c r="AL245" s="2">
        <v>7.4554397423350203</v>
      </c>
      <c r="AM245" s="2">
        <v>7.4158481190527796</v>
      </c>
      <c r="AN245" s="2">
        <v>448.02584814216499</v>
      </c>
      <c r="AO245" s="2">
        <v>0.12063162308620499</v>
      </c>
      <c r="AP245" s="2">
        <v>231.18901453958</v>
      </c>
      <c r="AQ245" s="2">
        <v>27.737147627817599</v>
      </c>
      <c r="AR245" s="2">
        <v>397.921378567582</v>
      </c>
      <c r="AS245" s="2">
        <v>28.540656973613402</v>
      </c>
      <c r="AT245" s="2">
        <v>11501.092622509401</v>
      </c>
      <c r="AU245" s="2">
        <v>0.14069501916316901</v>
      </c>
      <c r="AV245" s="2">
        <v>6.4296042603014499E-3</v>
      </c>
      <c r="AW245" s="2">
        <v>0.29163566846018302</v>
      </c>
      <c r="AX245" s="2">
        <v>4.2099564570760297E-3</v>
      </c>
      <c r="AY245" s="2">
        <v>596.59271631829699</v>
      </c>
      <c r="AZ245" s="2">
        <v>5.5112010939343599E-2</v>
      </c>
      <c r="BA245" s="2">
        <v>2.0928462337537401</v>
      </c>
      <c r="BB245" s="2">
        <v>288</v>
      </c>
    </row>
    <row r="246" spans="1:54" ht="13" x14ac:dyDescent="0.15">
      <c r="A246" s="1" t="s">
        <v>746</v>
      </c>
      <c r="B246" s="1" t="s">
        <v>747</v>
      </c>
      <c r="C246" s="5" t="s">
        <v>748</v>
      </c>
      <c r="D246" s="1" t="s">
        <v>304</v>
      </c>
      <c r="E246" s="2">
        <v>471</v>
      </c>
      <c r="F246" s="2">
        <v>13150</v>
      </c>
      <c r="G246" s="2">
        <v>3865</v>
      </c>
      <c r="H246" s="2">
        <f t="shared" si="0"/>
        <v>17486</v>
      </c>
      <c r="I246" s="2">
        <v>32232</v>
      </c>
      <c r="J246" s="2">
        <v>1560090</v>
      </c>
      <c r="K246" s="2">
        <f t="shared" si="1"/>
        <v>1.1208327724682551E-2</v>
      </c>
      <c r="M246" s="2">
        <v>0.796930568039105</v>
      </c>
      <c r="N246" s="2">
        <v>0.62367201632668401</v>
      </c>
      <c r="O246" s="2">
        <v>8.8681628922252198</v>
      </c>
      <c r="P246" s="2">
        <v>14.219273368167199</v>
      </c>
      <c r="Q246" s="2">
        <v>18.248287590894702</v>
      </c>
      <c r="R246" s="2">
        <v>11.331773602396799</v>
      </c>
      <c r="S246" s="2">
        <v>0.56735726497452499</v>
      </c>
      <c r="T246" s="2">
        <v>488.19396752085402</v>
      </c>
      <c r="U246" s="2">
        <v>961</v>
      </c>
      <c r="V246" s="2">
        <v>1762</v>
      </c>
      <c r="W246" s="2">
        <v>1708.0620344178501</v>
      </c>
      <c r="X246" s="2">
        <v>458799.82750996802</v>
      </c>
      <c r="Y246" s="2">
        <v>-7042.8734390734799</v>
      </c>
      <c r="Z246" s="2">
        <v>201.977517028568</v>
      </c>
      <c r="AA246" s="2">
        <v>30.666066529491498</v>
      </c>
      <c r="AB246" s="2">
        <v>0.70383680825529005</v>
      </c>
      <c r="AC246" s="2">
        <v>4.1789210012798401</v>
      </c>
      <c r="AD246" s="2">
        <v>3.49201705505945</v>
      </c>
      <c r="AE246" s="2">
        <v>0.32338289581994301</v>
      </c>
      <c r="AF246" s="2">
        <v>0.235852290313565</v>
      </c>
      <c r="AG246" s="2">
        <v>0.98870468267182698</v>
      </c>
      <c r="AH246" s="2">
        <v>0.92800079616853304</v>
      </c>
      <c r="AI246" s="2">
        <v>-0.25145258594703102</v>
      </c>
      <c r="AJ246" s="2">
        <v>0.94127754177752598</v>
      </c>
      <c r="AK246" s="2">
        <v>6.2925082246571597E-3</v>
      </c>
      <c r="AL246" s="2">
        <v>7.7718776929787801</v>
      </c>
      <c r="AM246" s="2">
        <v>6.6896218871153401</v>
      </c>
      <c r="AN246" s="2">
        <v>109.22080679405499</v>
      </c>
      <c r="AO246" s="2">
        <v>0.23189130954151899</v>
      </c>
      <c r="AP246" s="2">
        <v>19.798301486199598</v>
      </c>
      <c r="AQ246" s="2">
        <v>130.57185101040801</v>
      </c>
      <c r="AR246" s="2">
        <v>1490.78768577495</v>
      </c>
      <c r="AS246" s="2">
        <v>10.549893842887499</v>
      </c>
      <c r="AT246" s="2">
        <v>20237.9554140127</v>
      </c>
      <c r="AU246" s="2">
        <v>1.59283785515827E-2</v>
      </c>
      <c r="AV246" s="2">
        <v>5.3157148191560798E-3</v>
      </c>
      <c r="AW246" s="2">
        <v>2.3455796288103702E-2</v>
      </c>
      <c r="AX246" s="2">
        <v>2.0897848287887801E-2</v>
      </c>
      <c r="AY246" s="2">
        <v>2845.27459633746</v>
      </c>
      <c r="AZ246" s="2">
        <v>0.37649543691049397</v>
      </c>
      <c r="BA246" s="2">
        <v>29.956771085041101</v>
      </c>
      <c r="BB246" s="2">
        <v>63</v>
      </c>
    </row>
    <row r="247" spans="1:54" ht="13" x14ac:dyDescent="0.15">
      <c r="A247" s="1" t="s">
        <v>749</v>
      </c>
      <c r="B247" s="1" t="s">
        <v>750</v>
      </c>
      <c r="C247" s="5" t="s">
        <v>751</v>
      </c>
      <c r="D247" s="1" t="s">
        <v>304</v>
      </c>
      <c r="E247" s="2">
        <v>856</v>
      </c>
      <c r="F247" s="2">
        <v>173008</v>
      </c>
      <c r="G247" s="2">
        <v>2252</v>
      </c>
      <c r="H247" s="2">
        <f t="shared" si="0"/>
        <v>176116</v>
      </c>
      <c r="I247" s="2">
        <v>278949</v>
      </c>
      <c r="J247" s="2">
        <v>1501996</v>
      </c>
      <c r="K247" s="2">
        <f t="shared" si="1"/>
        <v>0.11725463982593828</v>
      </c>
      <c r="M247" s="2">
        <v>0.79696458605262599</v>
      </c>
      <c r="N247" s="2">
        <v>0.404733954078831</v>
      </c>
      <c r="O247" s="2">
        <v>6.7424168032373197</v>
      </c>
      <c r="P247" s="2">
        <v>16.658886004716202</v>
      </c>
      <c r="Q247" s="2">
        <v>19.723082923315999</v>
      </c>
      <c r="R247" s="2">
        <v>13.2765421888465</v>
      </c>
      <c r="S247" s="2">
        <v>0.65607406251682399</v>
      </c>
      <c r="T247" s="2">
        <v>654.52826129545394</v>
      </c>
      <c r="U247" s="2">
        <v>483.5</v>
      </c>
      <c r="V247" s="2">
        <v>735.5</v>
      </c>
      <c r="W247" s="2">
        <v>408.90185846855502</v>
      </c>
      <c r="X247" s="2">
        <v>10990.124519823999</v>
      </c>
      <c r="Y247" s="2">
        <v>-145.18628551352501</v>
      </c>
      <c r="Z247" s="2">
        <v>51.591877711799398</v>
      </c>
      <c r="AA247" s="2">
        <v>17.595129770445102</v>
      </c>
      <c r="AB247" s="2">
        <v>0.49141084104086402</v>
      </c>
      <c r="AC247" s="2">
        <v>3.1722448127459599</v>
      </c>
      <c r="AD247" s="2">
        <v>3.1360492568720701</v>
      </c>
      <c r="AE247" s="2">
        <v>0.366662061896942</v>
      </c>
      <c r="AF247" s="2">
        <v>0.27879061220776502</v>
      </c>
      <c r="AG247" s="2">
        <v>0.98289259285489405</v>
      </c>
      <c r="AH247" s="2">
        <v>0.91251217065025303</v>
      </c>
      <c r="AI247" s="2">
        <v>-0.13861325077615</v>
      </c>
      <c r="AJ247" s="2">
        <v>0.80396609247792294</v>
      </c>
      <c r="AK247" s="2">
        <v>7.3682697103823096E-3</v>
      </c>
      <c r="AL247" s="2">
        <v>7.5171165259872801</v>
      </c>
      <c r="AM247" s="2">
        <v>6.44205879318437</v>
      </c>
      <c r="AN247" s="2">
        <v>156.00700934579399</v>
      </c>
      <c r="AO247" s="2">
        <v>0.182251179142283</v>
      </c>
      <c r="AP247" s="2">
        <v>60.8341121495327</v>
      </c>
      <c r="AQ247" s="2">
        <v>17.651791368241799</v>
      </c>
      <c r="AR247" s="2">
        <v>400.59462616822401</v>
      </c>
      <c r="AS247" s="2">
        <v>13.752336448598101</v>
      </c>
      <c r="AT247" s="2">
        <v>5555.7745327102803</v>
      </c>
      <c r="AU247" s="2">
        <v>4.09546524252236E-2</v>
      </c>
      <c r="AV247" s="2">
        <v>4.4348026070239101E-3</v>
      </c>
      <c r="AW247" s="2">
        <v>0.14824715148643799</v>
      </c>
      <c r="AX247" s="2">
        <v>1.11431618091948E-2</v>
      </c>
      <c r="AY247" s="2">
        <v>627.20189100181904</v>
      </c>
      <c r="AZ247" s="2">
        <v>8.7833469974214096E-2</v>
      </c>
      <c r="BA247" s="2">
        <v>3.23195838253889</v>
      </c>
      <c r="BB247" s="2">
        <v>147</v>
      </c>
    </row>
    <row r="248" spans="1:54" ht="13" x14ac:dyDescent="0.15">
      <c r="A248" s="1" t="s">
        <v>752</v>
      </c>
      <c r="B248" s="1" t="s">
        <v>753</v>
      </c>
      <c r="C248" s="5" t="s">
        <v>754</v>
      </c>
      <c r="D248" s="1" t="s">
        <v>304</v>
      </c>
      <c r="E248" s="2">
        <v>5402</v>
      </c>
      <c r="F248" s="2">
        <v>9461</v>
      </c>
      <c r="G248" s="2">
        <v>18772</v>
      </c>
      <c r="H248" s="2">
        <f t="shared" si="0"/>
        <v>33635</v>
      </c>
      <c r="I248" s="2">
        <v>37049</v>
      </c>
      <c r="J248" s="2">
        <v>1546777</v>
      </c>
      <c r="K248" s="2">
        <f t="shared" si="1"/>
        <v>2.1745216020150285E-2</v>
      </c>
      <c r="M248" s="2">
        <v>0.90914184021002598</v>
      </c>
      <c r="N248" s="2">
        <v>0.72868769182556903</v>
      </c>
      <c r="O248" s="2">
        <v>20.153137509886701</v>
      </c>
      <c r="P248" s="2">
        <v>27.656755748676598</v>
      </c>
      <c r="Q248" s="2">
        <v>30.083217912982601</v>
      </c>
      <c r="R248" s="2">
        <v>25.143913815590999</v>
      </c>
      <c r="S248" s="2">
        <v>0.41952795099810197</v>
      </c>
      <c r="T248" s="2">
        <v>3518.6451422107298</v>
      </c>
      <c r="U248" s="2">
        <v>713.1</v>
      </c>
      <c r="V248" s="2">
        <v>1349</v>
      </c>
      <c r="W248" s="2">
        <v>800.64281352386297</v>
      </c>
      <c r="X248" s="2">
        <v>341967.05050197802</v>
      </c>
      <c r="Y248" s="2">
        <v>4775.1725061397101</v>
      </c>
      <c r="Z248" s="2">
        <v>365.28304727866902</v>
      </c>
      <c r="AA248" s="2">
        <v>17.972834332403401</v>
      </c>
      <c r="AB248" s="2">
        <v>0.90624796062984203</v>
      </c>
      <c r="AC248" s="2">
        <v>3.0480766200401099</v>
      </c>
      <c r="AD248" s="2">
        <v>3.14142316739072</v>
      </c>
      <c r="AE248" s="2">
        <v>0.389969215919096</v>
      </c>
      <c r="AF248" s="2">
        <v>0.30878590973291797</v>
      </c>
      <c r="AG248" s="2">
        <v>0.994027197433898</v>
      </c>
      <c r="AH248" s="2">
        <v>0.94889881550259902</v>
      </c>
      <c r="AI248" s="2">
        <v>-0.26702264834668199</v>
      </c>
      <c r="AJ248" s="2">
        <v>0.96292447522951896</v>
      </c>
      <c r="AK248" s="2">
        <v>3.5391270372560099E-3</v>
      </c>
      <c r="AL248" s="2">
        <v>8.9097483832424906</v>
      </c>
      <c r="AM248" s="2">
        <v>7.8719067681071504</v>
      </c>
      <c r="AN248" s="2">
        <v>823.00296186597598</v>
      </c>
      <c r="AO248" s="2">
        <v>0.15235152940873301</v>
      </c>
      <c r="AP248" s="2">
        <v>198.46353202517599</v>
      </c>
      <c r="AQ248" s="2">
        <v>90.666408741616806</v>
      </c>
      <c r="AR248" s="2">
        <v>766.83968900407297</v>
      </c>
      <c r="AS248" s="2">
        <v>18.535727508330201</v>
      </c>
      <c r="AT248" s="2">
        <v>12811.433913365399</v>
      </c>
      <c r="AU248" s="2">
        <v>4.2271203385889099E-2</v>
      </c>
      <c r="AV248" s="2">
        <v>2.5960907761957402E-3</v>
      </c>
      <c r="AW248" s="2">
        <v>0.234396983721914</v>
      </c>
      <c r="AX248" s="2">
        <v>3.5367700365996702E-3</v>
      </c>
      <c r="AY248" s="2">
        <v>1859.9816812609199</v>
      </c>
      <c r="AZ248" s="2">
        <v>0.107639446406121</v>
      </c>
      <c r="BA248" s="2">
        <v>3.9530736406670801</v>
      </c>
      <c r="BB248" s="2">
        <v>827</v>
      </c>
    </row>
    <row r="249" spans="1:54" ht="13" x14ac:dyDescent="0.15">
      <c r="A249" s="1" t="s">
        <v>755</v>
      </c>
      <c r="B249" s="1" t="s">
        <v>756</v>
      </c>
      <c r="C249" s="5" t="s">
        <v>757</v>
      </c>
      <c r="D249" s="1" t="s">
        <v>304</v>
      </c>
      <c r="E249" s="2">
        <v>4375</v>
      </c>
      <c r="F249" s="2">
        <v>81792</v>
      </c>
      <c r="G249" s="2">
        <v>7884</v>
      </c>
      <c r="H249" s="2">
        <f t="shared" si="0"/>
        <v>94051</v>
      </c>
      <c r="I249" s="2">
        <v>282016</v>
      </c>
      <c r="J249" s="2">
        <v>1529406</v>
      </c>
      <c r="K249" s="2">
        <f t="shared" si="1"/>
        <v>6.1495116404669523E-2</v>
      </c>
      <c r="M249" s="2">
        <v>0.87449578832666697</v>
      </c>
      <c r="N249" s="2">
        <v>0.60333642423988998</v>
      </c>
      <c r="O249" s="2">
        <v>15.117134177941301</v>
      </c>
      <c r="P249" s="2">
        <v>25.055895136758199</v>
      </c>
      <c r="Q249" s="2">
        <v>29.2061637330205</v>
      </c>
      <c r="R249" s="2">
        <v>21.911274769849602</v>
      </c>
      <c r="S249" s="2">
        <v>0.52853564012043397</v>
      </c>
      <c r="T249" s="2">
        <v>2426.30601038645</v>
      </c>
      <c r="U249" s="2">
        <v>103</v>
      </c>
      <c r="V249" s="2">
        <v>1006</v>
      </c>
      <c r="W249" s="2">
        <v>585.63314153327701</v>
      </c>
      <c r="X249" s="2">
        <v>990275.16656692198</v>
      </c>
      <c r="Y249" s="2">
        <v>6710.7433773878001</v>
      </c>
      <c r="Z249" s="2">
        <v>646.52319625984103</v>
      </c>
      <c r="AA249" s="2">
        <v>36.348898254421201</v>
      </c>
      <c r="AB249" s="2">
        <v>0.89318317080555998</v>
      </c>
      <c r="AC249" s="2">
        <v>4.4838414100090302</v>
      </c>
      <c r="AD249" s="2">
        <v>3.6472116240991999</v>
      </c>
      <c r="AE249" s="2">
        <v>0.312145293430235</v>
      </c>
      <c r="AF249" s="2">
        <v>0.222992519392639</v>
      </c>
      <c r="AG249" s="2">
        <v>0.98967074520253195</v>
      </c>
      <c r="AH249" s="2">
        <v>0.93179323826420901</v>
      </c>
      <c r="AI249" s="2">
        <v>-0.246009190518864</v>
      </c>
      <c r="AJ249" s="2">
        <v>0.96381649901662103</v>
      </c>
      <c r="AK249" s="2">
        <v>1.6349058864013599E-3</v>
      </c>
      <c r="AL249" s="2">
        <v>9.7496257116036205</v>
      </c>
      <c r="AM249" s="2">
        <v>7.9303137008204203</v>
      </c>
      <c r="AN249" s="2">
        <v>874.67771428571405</v>
      </c>
      <c r="AO249" s="2">
        <v>0.19992633469387799</v>
      </c>
      <c r="AP249" s="2">
        <v>97.051199999999994</v>
      </c>
      <c r="AQ249" s="2">
        <v>175.62260030693901</v>
      </c>
      <c r="AR249" s="2">
        <v>656.57005714285697</v>
      </c>
      <c r="AS249" s="2">
        <v>11.8726857142857</v>
      </c>
      <c r="AT249" s="2">
        <v>5077.5113142857099</v>
      </c>
      <c r="AU249" s="2">
        <v>1.44485791095296</v>
      </c>
      <c r="AV249" s="2">
        <v>2.9304328526153299E-2</v>
      </c>
      <c r="AW249" s="2">
        <v>0.26481814319254499</v>
      </c>
      <c r="AX249" s="2">
        <v>4.3937053207027399E-3</v>
      </c>
      <c r="AY249" s="2">
        <v>3225.4057408706799</v>
      </c>
      <c r="AZ249" s="2">
        <v>0.25930215045975002</v>
      </c>
      <c r="BA249" s="2">
        <v>5.5749680223448603</v>
      </c>
      <c r="BB249" s="2">
        <v>428</v>
      </c>
    </row>
    <row r="250" spans="1:54" ht="13" x14ac:dyDescent="0.15">
      <c r="A250" s="1" t="s">
        <v>758</v>
      </c>
      <c r="B250" s="1" t="s">
        <v>759</v>
      </c>
      <c r="C250" s="1" t="s">
        <v>760</v>
      </c>
      <c r="D250" s="1" t="s">
        <v>761</v>
      </c>
      <c r="E250" s="2">
        <v>18043</v>
      </c>
      <c r="F250" s="2">
        <v>13945</v>
      </c>
      <c r="G250" s="2">
        <v>12998</v>
      </c>
      <c r="H250" s="2">
        <f t="shared" si="0"/>
        <v>44986</v>
      </c>
      <c r="I250" s="2">
        <v>78651</v>
      </c>
      <c r="J250" s="2">
        <v>1542719</v>
      </c>
      <c r="K250" s="2">
        <f t="shared" si="1"/>
        <v>2.9160203510814348E-2</v>
      </c>
      <c r="M250" s="2">
        <v>0.75488745741896801</v>
      </c>
      <c r="N250" s="2">
        <v>0.56270171168642802</v>
      </c>
      <c r="O250" s="2">
        <v>22.390113515257699</v>
      </c>
      <c r="P250" s="2">
        <v>39.790377477534399</v>
      </c>
      <c r="Q250" s="2">
        <v>42.449970553582297</v>
      </c>
      <c r="R250" s="2">
        <v>30.0372568837569</v>
      </c>
      <c r="S250" s="2">
        <v>0.71903553287210697</v>
      </c>
      <c r="T250" s="2">
        <v>4615.6698052009897</v>
      </c>
      <c r="U250" s="2">
        <v>668</v>
      </c>
      <c r="V250" s="2">
        <v>782</v>
      </c>
      <c r="W250" s="2">
        <v>265.30857077177399</v>
      </c>
      <c r="X250" s="2">
        <v>2210.1928837058499</v>
      </c>
      <c r="Y250" s="2">
        <v>-122.36988861765801</v>
      </c>
      <c r="Z250" s="2">
        <v>13.2751932545314</v>
      </c>
      <c r="AA250" s="2">
        <v>2.3396025780458398</v>
      </c>
      <c r="AB250" s="2">
        <v>0.69605520259393705</v>
      </c>
      <c r="AC250" s="2">
        <v>0.786738265822014</v>
      </c>
      <c r="AD250" s="2">
        <v>1.7084924461684801</v>
      </c>
      <c r="AE250" s="2">
        <v>0.73859160514708999</v>
      </c>
      <c r="AF250" s="2">
        <v>0.72033853857774499</v>
      </c>
      <c r="AG250" s="2">
        <v>0.994538005609517</v>
      </c>
      <c r="AH250" s="2">
        <v>0.96543473395228097</v>
      </c>
      <c r="AI250" s="2">
        <v>-0.26880573470181901</v>
      </c>
      <c r="AJ250" s="2">
        <v>0.85465325635442102</v>
      </c>
      <c r="AK250" s="2">
        <v>0.104123066730244</v>
      </c>
      <c r="AL250" s="2">
        <v>4.3523490582261104</v>
      </c>
      <c r="AM250" s="2">
        <v>6.9139450385999899</v>
      </c>
      <c r="AN250" s="2">
        <v>710.13196253394699</v>
      </c>
      <c r="AO250" s="2">
        <v>3.93577543941665E-2</v>
      </c>
      <c r="AP250" s="2">
        <v>3838.8161059690701</v>
      </c>
      <c r="AQ250" s="2">
        <v>5.5596177714706903</v>
      </c>
      <c r="AR250" s="2">
        <v>258.98032477969298</v>
      </c>
      <c r="AS250" s="2">
        <v>257.71695394335802</v>
      </c>
      <c r="AT250" s="2">
        <v>73011.206562101695</v>
      </c>
      <c r="AU250" s="2">
        <v>0.92688907438573698</v>
      </c>
      <c r="AV250" s="2">
        <v>5.4739828512140902E-3</v>
      </c>
      <c r="AW250" s="2">
        <v>3.0949101784820399</v>
      </c>
      <c r="AX250" s="2">
        <v>6.4598171669456698E-4</v>
      </c>
      <c r="AY250" s="2">
        <v>125.734396337094</v>
      </c>
      <c r="AZ250" s="2">
        <v>1.8327224122214599E-2</v>
      </c>
      <c r="BA250" s="2">
        <v>0.24131565551686901</v>
      </c>
      <c r="BB250" s="2">
        <v>591</v>
      </c>
    </row>
    <row r="251" spans="1:54" ht="13" x14ac:dyDescent="0.15">
      <c r="A251" s="1" t="s">
        <v>762</v>
      </c>
      <c r="B251" s="1" t="s">
        <v>763</v>
      </c>
      <c r="C251" s="1" t="s">
        <v>764</v>
      </c>
      <c r="D251" s="1" t="s">
        <v>761</v>
      </c>
      <c r="E251" s="2">
        <v>6329</v>
      </c>
      <c r="F251" s="2">
        <v>62808</v>
      </c>
      <c r="G251" s="2">
        <v>34918</v>
      </c>
      <c r="H251" s="2">
        <f t="shared" si="0"/>
        <v>104055</v>
      </c>
      <c r="I251" s="2">
        <v>135064</v>
      </c>
      <c r="J251" s="2">
        <v>1455586</v>
      </c>
      <c r="K251" s="2">
        <f t="shared" si="1"/>
        <v>7.1486672721501859E-2</v>
      </c>
      <c r="M251" s="2">
        <v>0.64920713964667698</v>
      </c>
      <c r="N251" s="2">
        <v>0.434515713171235</v>
      </c>
      <c r="O251" s="2">
        <v>17.439983703354699</v>
      </c>
      <c r="P251" s="2">
        <v>40.136600759664397</v>
      </c>
      <c r="Q251" s="2">
        <v>48.041648597857296</v>
      </c>
      <c r="R251" s="2">
        <v>26.056967774322398</v>
      </c>
      <c r="S251" s="2">
        <v>0.45576905882504398</v>
      </c>
      <c r="T251" s="2">
        <v>3594.7681624484799</v>
      </c>
      <c r="U251" s="2">
        <v>1533</v>
      </c>
      <c r="V251" s="2">
        <v>2631</v>
      </c>
      <c r="W251" s="2">
        <v>2054.0716689736601</v>
      </c>
      <c r="X251" s="2">
        <v>2070323.60399916</v>
      </c>
      <c r="Y251" s="2">
        <v>-19659.9693207362</v>
      </c>
      <c r="Z251" s="2">
        <v>917.96887026869103</v>
      </c>
      <c r="AA251" s="2">
        <v>26.798524915573701</v>
      </c>
      <c r="AB251" s="2">
        <v>0.94291640009617295</v>
      </c>
      <c r="AC251" s="2">
        <v>3.41026242510365</v>
      </c>
      <c r="AD251" s="2">
        <v>3.3075963951321601</v>
      </c>
      <c r="AE251" s="2">
        <v>0.39864167680266299</v>
      </c>
      <c r="AF251" s="2">
        <v>0.32403233968971401</v>
      </c>
      <c r="AG251" s="2">
        <v>0.99458372570138198</v>
      </c>
      <c r="AH251" s="2">
        <v>0.95538776509004197</v>
      </c>
      <c r="AI251" s="2">
        <v>-0.33216675880541502</v>
      </c>
      <c r="AJ251" s="2">
        <v>0.986713737134568</v>
      </c>
      <c r="AK251" s="2">
        <v>2.48427769507731E-3</v>
      </c>
      <c r="AL251" s="2">
        <v>9.4812935319112004</v>
      </c>
      <c r="AM251" s="2">
        <v>8.6496136486921404</v>
      </c>
      <c r="AN251" s="2">
        <v>819.15452678148199</v>
      </c>
      <c r="AO251" s="2">
        <v>0.12942874494888301</v>
      </c>
      <c r="AP251" s="2">
        <v>128.620793174277</v>
      </c>
      <c r="AQ251" s="2">
        <v>256.80080315075003</v>
      </c>
      <c r="AR251" s="2">
        <v>1902.62916732501</v>
      </c>
      <c r="AS251" s="2">
        <v>26.161004898088201</v>
      </c>
      <c r="AT251" s="2">
        <v>64322.831726971097</v>
      </c>
      <c r="AU251" s="2">
        <v>3.8202601836597003E-2</v>
      </c>
      <c r="AV251" s="2">
        <v>1.8642205637104E-3</v>
      </c>
      <c r="AW251" s="2">
        <v>8.1638142484335999E-2</v>
      </c>
      <c r="AX251" s="2">
        <v>4.4951900645662296E-3</v>
      </c>
      <c r="AY251" s="2">
        <v>3250.15139618478</v>
      </c>
      <c r="AZ251" s="2">
        <v>0.21512467553304099</v>
      </c>
      <c r="BA251" s="2">
        <v>7.5446496742982196</v>
      </c>
      <c r="BB251" s="2">
        <v>738</v>
      </c>
    </row>
    <row r="252" spans="1:54" ht="13" x14ac:dyDescent="0.15">
      <c r="A252" s="1" t="s">
        <v>765</v>
      </c>
      <c r="B252" s="1" t="s">
        <v>766</v>
      </c>
      <c r="C252" s="1" t="s">
        <v>767</v>
      </c>
      <c r="D252" s="1" t="s">
        <v>761</v>
      </c>
      <c r="E252" s="2">
        <v>9</v>
      </c>
      <c r="F252" s="2">
        <v>3716</v>
      </c>
      <c r="G252" s="2">
        <v>16741</v>
      </c>
      <c r="H252" s="2">
        <f t="shared" si="0"/>
        <v>20466</v>
      </c>
      <c r="I252" s="2">
        <v>29681</v>
      </c>
      <c r="J252" s="2">
        <v>1628889</v>
      </c>
      <c r="K252" s="2">
        <f t="shared" si="1"/>
        <v>1.256439204881364E-2</v>
      </c>
      <c r="M252" s="2">
        <v>0.17399304735725199</v>
      </c>
      <c r="N252" s="2">
        <v>0.11462421305890499</v>
      </c>
      <c r="O252" s="2">
        <v>7.6853049821791304</v>
      </c>
      <c r="P252" s="2">
        <v>67.047832016344003</v>
      </c>
      <c r="Q252" s="2">
        <v>35.510561809129399</v>
      </c>
      <c r="R252" s="2">
        <v>11.6658566112208</v>
      </c>
      <c r="S252" s="2">
        <v>0.124677715749042</v>
      </c>
      <c r="T252" s="2">
        <v>18.647235306258999</v>
      </c>
      <c r="U252" s="2">
        <v>134.6</v>
      </c>
      <c r="V252" s="2">
        <v>231.6</v>
      </c>
      <c r="W252" s="2">
        <v>1.6666666666666701</v>
      </c>
      <c r="X252" s="2">
        <v>0</v>
      </c>
      <c r="Y252" s="2">
        <v>0</v>
      </c>
      <c r="Z252" s="2">
        <v>0</v>
      </c>
      <c r="AA252" s="2">
        <v>1.3333333333333299</v>
      </c>
      <c r="AB252" s="2">
        <v>0.33333333333333298</v>
      </c>
      <c r="AC252" s="2">
        <v>0.66666666666666696</v>
      </c>
      <c r="AD252" s="41">
        <v>-3.2034265038149201E-16</v>
      </c>
      <c r="AE252" s="2">
        <v>0.77777777777777801</v>
      </c>
      <c r="AF252" s="2">
        <v>0.73333333333333295</v>
      </c>
      <c r="AG252" s="2">
        <v>0.95402298850574696</v>
      </c>
      <c r="AH252" s="2">
        <v>0.90476190476190499</v>
      </c>
      <c r="AI252" s="2">
        <v>-0.33333333333333298</v>
      </c>
      <c r="AJ252" s="2">
        <v>0.30995783167739799</v>
      </c>
      <c r="AK252" s="2">
        <v>0.83333333333333304</v>
      </c>
      <c r="AL252" s="2">
        <v>0.33333333333333298</v>
      </c>
      <c r="AM252" s="2">
        <v>1.83659166810898</v>
      </c>
      <c r="AN252" s="2">
        <v>4.5555555555555598</v>
      </c>
      <c r="AO252" s="2">
        <v>0.50617283950617298</v>
      </c>
      <c r="AP252" s="2">
        <v>3.2222222222222201</v>
      </c>
      <c r="AQ252" s="2">
        <v>2.1728395061728398</v>
      </c>
      <c r="AR252" s="2">
        <v>9.8888888888888893</v>
      </c>
      <c r="AS252" s="2">
        <v>2.5555555555555598</v>
      </c>
      <c r="AT252" s="2">
        <v>11.4444444444444</v>
      </c>
      <c r="AU252" s="2">
        <v>1.9471604938271601</v>
      </c>
      <c r="AV252" s="2">
        <v>0.39160493827160497</v>
      </c>
      <c r="AW252" s="2">
        <v>0.30555555555555602</v>
      </c>
      <c r="AX252" s="2">
        <v>0.81818181818181801</v>
      </c>
      <c r="AY252" s="2">
        <v>1.8243386243386199</v>
      </c>
      <c r="AZ252" s="2">
        <v>0.24142661179698199</v>
      </c>
      <c r="BA252" s="2">
        <v>9.7777777777777803</v>
      </c>
      <c r="BB252" s="2">
        <v>363</v>
      </c>
    </row>
    <row r="253" spans="1:54" ht="13" x14ac:dyDescent="0.15">
      <c r="A253" s="1" t="s">
        <v>768</v>
      </c>
      <c r="B253" s="1" t="s">
        <v>769</v>
      </c>
      <c r="C253" s="1" t="s">
        <v>770</v>
      </c>
      <c r="D253" s="1" t="s">
        <v>761</v>
      </c>
      <c r="E253" s="2">
        <v>9616</v>
      </c>
      <c r="F253" s="2">
        <v>103199</v>
      </c>
      <c r="G253" s="2">
        <v>40256</v>
      </c>
      <c r="H253" s="2">
        <f t="shared" si="0"/>
        <v>153071</v>
      </c>
      <c r="I253" s="2">
        <v>269849</v>
      </c>
      <c r="J253" s="2">
        <v>1547799</v>
      </c>
      <c r="K253" s="2">
        <f t="shared" si="1"/>
        <v>9.8895916071789686E-2</v>
      </c>
      <c r="M253" s="2">
        <v>0.48058678325929799</v>
      </c>
      <c r="N253" s="2">
        <v>0.353246141536882</v>
      </c>
      <c r="O253" s="2">
        <v>24.628296452069101</v>
      </c>
      <c r="P253" s="2">
        <v>69.719930541683397</v>
      </c>
      <c r="Q253" s="2">
        <v>51.6236379965612</v>
      </c>
      <c r="R253" s="2">
        <v>33.506477148089303</v>
      </c>
      <c r="S253" s="2">
        <v>0.31613973780802601</v>
      </c>
      <c r="T253" s="2">
        <v>6803.1196110171004</v>
      </c>
      <c r="U253" s="2">
        <v>1234</v>
      </c>
      <c r="V253" s="2">
        <v>2053</v>
      </c>
      <c r="W253" s="2">
        <v>1721.9075173168301</v>
      </c>
      <c r="X253" s="2">
        <v>727871.93021176802</v>
      </c>
      <c r="Y253" s="2">
        <v>4216.5056348609996</v>
      </c>
      <c r="Z253" s="2">
        <v>599.02256540782696</v>
      </c>
      <c r="AA253" s="2">
        <v>25.860066487191801</v>
      </c>
      <c r="AB253" s="2">
        <v>0.91720725435319905</v>
      </c>
      <c r="AC253" s="2">
        <v>3.6700996783257298</v>
      </c>
      <c r="AD253" s="2">
        <v>3.3890158392438101</v>
      </c>
      <c r="AE253" s="2">
        <v>0.35151940685454802</v>
      </c>
      <c r="AF253" s="2">
        <v>0.26511856121064498</v>
      </c>
      <c r="AG253" s="2">
        <v>0.99472402633403301</v>
      </c>
      <c r="AH253" s="2">
        <v>0.95155109220716205</v>
      </c>
      <c r="AI253" s="2">
        <v>-0.26707091015524997</v>
      </c>
      <c r="AJ253" s="2">
        <v>0.97068021504111102</v>
      </c>
      <c r="AK253" s="2">
        <v>1.8680851767161599E-3</v>
      </c>
      <c r="AL253" s="2">
        <v>9.5982843210905209</v>
      </c>
      <c r="AM253" s="2">
        <v>8.1465088999179702</v>
      </c>
      <c r="AN253" s="2">
        <v>1699.8440099833599</v>
      </c>
      <c r="AO253" s="2">
        <v>0.17677246360059901</v>
      </c>
      <c r="AP253" s="2">
        <v>227.95673876871899</v>
      </c>
      <c r="AQ253" s="2">
        <v>156.02385434936201</v>
      </c>
      <c r="AR253" s="2">
        <v>1638.8904950083199</v>
      </c>
      <c r="AS253" s="2">
        <v>13.4685940099834</v>
      </c>
      <c r="AT253" s="2">
        <v>21280.559588186399</v>
      </c>
      <c r="AU253" s="2">
        <v>1.36206159825736E-2</v>
      </c>
      <c r="AV253" s="2">
        <v>1.05865867164112E-3</v>
      </c>
      <c r="AW253" s="2">
        <v>0.24805463274320699</v>
      </c>
      <c r="AX253" s="2">
        <v>2.1984995066488201E-3</v>
      </c>
      <c r="AY253" s="2">
        <v>3433.71346702357</v>
      </c>
      <c r="AZ253" s="2">
        <v>0.160243030681818</v>
      </c>
      <c r="BA253" s="2">
        <v>3.2987096481212901</v>
      </c>
      <c r="BB253" s="2">
        <v>79</v>
      </c>
    </row>
    <row r="254" spans="1:54" ht="13" x14ac:dyDescent="0.15">
      <c r="A254" s="1" t="s">
        <v>771</v>
      </c>
      <c r="B254" s="1" t="s">
        <v>772</v>
      </c>
      <c r="C254" s="1" t="s">
        <v>773</v>
      </c>
      <c r="D254" s="1" t="s">
        <v>761</v>
      </c>
      <c r="E254" s="2">
        <v>27339</v>
      </c>
      <c r="F254" s="2">
        <v>114385</v>
      </c>
      <c r="G254" s="2">
        <v>74521</v>
      </c>
      <c r="H254" s="2">
        <f t="shared" si="0"/>
        <v>216245</v>
      </c>
      <c r="I254" s="2">
        <v>315679</v>
      </c>
      <c r="J254" s="2">
        <v>1538269</v>
      </c>
      <c r="K254" s="2">
        <f t="shared" si="1"/>
        <v>0.14057684319192548</v>
      </c>
      <c r="M254" s="2">
        <v>0.54237681008433503</v>
      </c>
      <c r="N254" s="2">
        <v>0.428247862919442</v>
      </c>
      <c r="O254" s="2">
        <v>29.396366428443098</v>
      </c>
      <c r="P254" s="2">
        <v>68.643346467727397</v>
      </c>
      <c r="Q254" s="2">
        <v>72.8010988928052</v>
      </c>
      <c r="R254" s="2">
        <v>37.2305592906798</v>
      </c>
      <c r="S254" s="2">
        <v>0.29277124246988301</v>
      </c>
      <c r="T254" s="2">
        <v>14934.839522165599</v>
      </c>
      <c r="U254" s="2">
        <v>3919</v>
      </c>
      <c r="V254" s="2">
        <v>5306</v>
      </c>
      <c r="W254" s="2">
        <v>8060.34316454076</v>
      </c>
      <c r="X254" s="2">
        <v>8266983.4556037299</v>
      </c>
      <c r="Y254" s="2">
        <v>-14269.6343243458</v>
      </c>
      <c r="Z254" s="2">
        <v>1704.55941183666</v>
      </c>
      <c r="AA254" s="2">
        <v>209.10225919295999</v>
      </c>
      <c r="AB254" s="2">
        <v>0.78135693705352605</v>
      </c>
      <c r="AC254" s="2">
        <v>10.8126800244876</v>
      </c>
      <c r="AD254" s="2">
        <v>4.8366068113424197</v>
      </c>
      <c r="AE254" s="2">
        <v>0.179023594752105</v>
      </c>
      <c r="AF254" s="2">
        <v>9.9559782165387106E-2</v>
      </c>
      <c r="AG254" s="2">
        <v>0.99151775040721801</v>
      </c>
      <c r="AH254" s="2">
        <v>0.93731624424332305</v>
      </c>
      <c r="AI254" s="2">
        <v>-0.14894975319312101</v>
      </c>
      <c r="AJ254" s="2">
        <v>0.91262476194685305</v>
      </c>
      <c r="AK254" s="2">
        <v>3.3832622485837E-4</v>
      </c>
      <c r="AL254" s="2">
        <v>12.004937059706799</v>
      </c>
      <c r="AM254" s="2">
        <v>8.1023211797279604</v>
      </c>
      <c r="AN254" s="2">
        <v>10316.394345074799</v>
      </c>
      <c r="AO254" s="2">
        <v>0.37735083013551302</v>
      </c>
      <c r="AP254" s="2">
        <v>354.85149420242101</v>
      </c>
      <c r="AQ254" s="2">
        <v>471.50137531405801</v>
      </c>
      <c r="AR254" s="2">
        <v>7990.0196056915001</v>
      </c>
      <c r="AS254" s="2">
        <v>3.8849628735506099</v>
      </c>
      <c r="AT254" s="2">
        <v>32322.220125095999</v>
      </c>
      <c r="AU254" s="2">
        <v>6.8296961169787005E-4</v>
      </c>
      <c r="AV254" s="2">
        <v>2.2648464740257301E-4</v>
      </c>
      <c r="AW254" s="2">
        <v>0.146766992461765</v>
      </c>
      <c r="AX254" s="2">
        <v>4.6342767787237898E-4</v>
      </c>
      <c r="AY254" s="2">
        <v>63487.354079213001</v>
      </c>
      <c r="AZ254" s="2">
        <v>0.28235200660680998</v>
      </c>
      <c r="BA254" s="2">
        <v>3.9769774250210199</v>
      </c>
      <c r="BB254" s="2">
        <v>291</v>
      </c>
    </row>
    <row r="255" spans="1:54" ht="13" x14ac:dyDescent="0.15">
      <c r="A255" s="1" t="s">
        <v>774</v>
      </c>
      <c r="B255" s="1" t="s">
        <v>775</v>
      </c>
      <c r="C255" s="1" t="s">
        <v>776</v>
      </c>
      <c r="D255" s="1" t="s">
        <v>761</v>
      </c>
      <c r="E255" s="2">
        <v>12971</v>
      </c>
      <c r="F255" s="2">
        <v>52785</v>
      </c>
      <c r="G255" s="2">
        <v>23747</v>
      </c>
      <c r="H255" s="2">
        <f t="shared" si="0"/>
        <v>89503</v>
      </c>
      <c r="I255" s="2">
        <v>123455</v>
      </c>
      <c r="J255" s="2">
        <v>1406245</v>
      </c>
      <c r="K255" s="2">
        <f t="shared" si="1"/>
        <v>6.3646804077525612E-2</v>
      </c>
      <c r="M255" s="2">
        <v>0.67890867864878701</v>
      </c>
      <c r="N255" s="2">
        <v>0.46756764722254901</v>
      </c>
      <c r="O255" s="2">
        <v>21.377610069748101</v>
      </c>
      <c r="P255" s="2">
        <v>45.720892360144198</v>
      </c>
      <c r="Q255" s="2">
        <v>43.289721643826702</v>
      </c>
      <c r="R255" s="2">
        <v>31.040310618868901</v>
      </c>
      <c r="S255" s="2">
        <v>0.39837026300637801</v>
      </c>
      <c r="T255" s="2">
        <v>6646.7947040663803</v>
      </c>
      <c r="U255" s="2">
        <v>1009</v>
      </c>
      <c r="V255" s="2">
        <v>1421</v>
      </c>
      <c r="W255" s="2">
        <v>533.05232203036701</v>
      </c>
      <c r="X255" s="2">
        <v>38511.221052855202</v>
      </c>
      <c r="Y255" s="2">
        <v>-677.48266039317298</v>
      </c>
      <c r="Z255" s="2">
        <v>125.623289613464</v>
      </c>
      <c r="AA255" s="2">
        <v>9.0693299308194995</v>
      </c>
      <c r="AB255" s="2">
        <v>0.86467603125137804</v>
      </c>
      <c r="AC255" s="2">
        <v>2.0999450581078798</v>
      </c>
      <c r="AD255" s="2">
        <v>2.7116724930557399</v>
      </c>
      <c r="AE255" s="2">
        <v>0.48012014137134601</v>
      </c>
      <c r="AF255" s="2">
        <v>0.41347218919866502</v>
      </c>
      <c r="AG255" s="2">
        <v>0.99157777677999004</v>
      </c>
      <c r="AH255" s="2">
        <v>0.94181379360789197</v>
      </c>
      <c r="AI255" s="2">
        <v>-0.26182504955493602</v>
      </c>
      <c r="AJ255" s="2">
        <v>0.941931767591767</v>
      </c>
      <c r="AK255" s="2">
        <v>8.8958007968279792E-3</v>
      </c>
      <c r="AL255" s="2">
        <v>7.6491018811106404</v>
      </c>
      <c r="AM255" s="2">
        <v>7.6683063806700096</v>
      </c>
      <c r="AN255" s="2">
        <v>1381.2326728856699</v>
      </c>
      <c r="AO255" s="2">
        <v>0.10648621331321199</v>
      </c>
      <c r="AP255" s="2">
        <v>618.89730938246896</v>
      </c>
      <c r="AQ255" s="2">
        <v>37.829561733049097</v>
      </c>
      <c r="AR255" s="2">
        <v>497.27098912959701</v>
      </c>
      <c r="AS255" s="2">
        <v>54.6316398118881</v>
      </c>
      <c r="AT255" s="2">
        <v>41237.291188034898</v>
      </c>
      <c r="AU255" s="2">
        <v>9.2682584928863096E-2</v>
      </c>
      <c r="AV255" s="2">
        <v>3.4800727990764E-3</v>
      </c>
      <c r="AW255" s="2">
        <v>0.97882027776661096</v>
      </c>
      <c r="AX255" s="2">
        <v>1.4602747900445E-3</v>
      </c>
      <c r="AY255" s="2">
        <v>517.391995180349</v>
      </c>
      <c r="AZ255" s="2">
        <v>9.3982395226467105E-2</v>
      </c>
      <c r="BA255" s="2">
        <v>0.59032963969572405</v>
      </c>
      <c r="BB255" s="2">
        <v>873</v>
      </c>
    </row>
    <row r="256" spans="1:54" ht="13" x14ac:dyDescent="0.15">
      <c r="A256" s="1" t="s">
        <v>777</v>
      </c>
      <c r="B256" s="1" t="s">
        <v>778</v>
      </c>
      <c r="C256" s="1" t="s">
        <v>779</v>
      </c>
      <c r="D256" s="1" t="s">
        <v>761</v>
      </c>
      <c r="E256" s="2">
        <v>17440</v>
      </c>
      <c r="F256" s="2">
        <v>138519</v>
      </c>
      <c r="G256" s="2">
        <v>64617</v>
      </c>
      <c r="H256" s="2">
        <f t="shared" si="0"/>
        <v>220576</v>
      </c>
      <c r="I256" s="2">
        <v>337845</v>
      </c>
      <c r="J256" s="2">
        <v>1528388</v>
      </c>
      <c r="K256" s="2">
        <f t="shared" si="1"/>
        <v>0.14431937439969431</v>
      </c>
      <c r="M256" s="2">
        <v>0.80455687769628503</v>
      </c>
      <c r="N256" s="2">
        <v>0.67678427810789399</v>
      </c>
      <c r="O256" s="2">
        <v>33.1870377818829</v>
      </c>
      <c r="P256" s="2">
        <v>49.036360411126701</v>
      </c>
      <c r="Q256" s="2">
        <v>69.231495722683903</v>
      </c>
      <c r="R256" s="2">
        <v>39.4525410259659</v>
      </c>
      <c r="S256" s="2">
        <v>0.29032528848157901</v>
      </c>
      <c r="T256" s="2">
        <v>11090.5644191558</v>
      </c>
      <c r="U256" s="2">
        <v>652</v>
      </c>
      <c r="V256" s="2">
        <v>1448.1</v>
      </c>
      <c r="W256" s="2">
        <v>1174.4234537134701</v>
      </c>
      <c r="X256" s="2">
        <v>744392.90174295695</v>
      </c>
      <c r="Y256" s="2">
        <v>378.59111938390299</v>
      </c>
      <c r="Z256" s="2">
        <v>594.03847771361302</v>
      </c>
      <c r="AA256" s="2">
        <v>29.107074181888098</v>
      </c>
      <c r="AB256" s="2">
        <v>0.90678096900028204</v>
      </c>
      <c r="AC256" s="2">
        <v>3.7643010933715302</v>
      </c>
      <c r="AD256" s="2">
        <v>3.4394656620764499</v>
      </c>
      <c r="AE256" s="2">
        <v>0.35938989723005099</v>
      </c>
      <c r="AF256" s="2">
        <v>0.27641467502407002</v>
      </c>
      <c r="AG256" s="2">
        <v>0.99177738522844505</v>
      </c>
      <c r="AH256" s="2">
        <v>0.94234966850926605</v>
      </c>
      <c r="AI256" s="2">
        <v>-0.25660089345780601</v>
      </c>
      <c r="AJ256" s="2">
        <v>0.96648826319651904</v>
      </c>
      <c r="AK256" s="2">
        <v>1.9972634850198199E-3</v>
      </c>
      <c r="AL256" s="2">
        <v>9.6901162632102906</v>
      </c>
      <c r="AM256" s="2">
        <v>8.2613699034299106</v>
      </c>
      <c r="AN256" s="2">
        <v>2856.52087155963</v>
      </c>
      <c r="AO256" s="2">
        <v>0.163791334378419</v>
      </c>
      <c r="AP256" s="2">
        <v>441.16961009174298</v>
      </c>
      <c r="AQ256" s="2">
        <v>145.13221213229099</v>
      </c>
      <c r="AR256" s="2">
        <v>1112.1211009174301</v>
      </c>
      <c r="AS256" s="2">
        <v>16.705619266054999</v>
      </c>
      <c r="AT256" s="2">
        <v>16588.8808486239</v>
      </c>
      <c r="AU256" s="2">
        <v>4.1675424942465802E-2</v>
      </c>
      <c r="AV256" s="2">
        <v>2.52806146081625E-3</v>
      </c>
      <c r="AW256" s="2">
        <v>0.63365050298949399</v>
      </c>
      <c r="AX256" s="2">
        <v>1.1522208815343E-3</v>
      </c>
      <c r="AY256" s="2">
        <v>2706.2679695448201</v>
      </c>
      <c r="AZ256" s="2">
        <v>0.18958032030365099</v>
      </c>
      <c r="BA256" s="2">
        <v>1.3182045679382499</v>
      </c>
      <c r="BB256" s="2">
        <v>1</v>
      </c>
    </row>
    <row r="257" spans="1:54" ht="13" x14ac:dyDescent="0.15">
      <c r="A257" s="1" t="s">
        <v>780</v>
      </c>
      <c r="B257" s="1" t="s">
        <v>781</v>
      </c>
      <c r="C257" s="1" t="s">
        <v>782</v>
      </c>
      <c r="D257" s="1" t="s">
        <v>761</v>
      </c>
      <c r="E257" s="2">
        <v>16459</v>
      </c>
      <c r="F257" s="2">
        <v>61457</v>
      </c>
      <c r="G257" s="2">
        <v>68524</v>
      </c>
      <c r="H257" s="2">
        <f t="shared" ref="H257:H462" si="2">SUM(E257:G257)</f>
        <v>146440</v>
      </c>
      <c r="I257" s="2">
        <v>174752</v>
      </c>
      <c r="J257" s="2">
        <v>1373800</v>
      </c>
      <c r="K257" s="2">
        <f t="shared" ref="K257:K462" si="3">H257/J257</f>
        <v>0.10659484641141359</v>
      </c>
      <c r="M257" s="2">
        <v>0.49734813135332201</v>
      </c>
      <c r="N257" s="2">
        <v>0.34494225957824998</v>
      </c>
      <c r="O257" s="2">
        <v>25.2906580033839</v>
      </c>
      <c r="P257" s="2">
        <v>73.318525930415205</v>
      </c>
      <c r="Q257" s="2">
        <v>65.551506466289496</v>
      </c>
      <c r="R257" s="2">
        <v>36.4648318650721</v>
      </c>
      <c r="S257" s="2">
        <v>0.294142545881456</v>
      </c>
      <c r="T257" s="2">
        <v>10496.5666097636</v>
      </c>
      <c r="U257" s="2">
        <v>804</v>
      </c>
      <c r="V257" s="2">
        <v>1222</v>
      </c>
      <c r="W257" s="2">
        <v>1280.9201130103199</v>
      </c>
      <c r="X257" s="2">
        <v>161577.847051013</v>
      </c>
      <c r="Y257" s="2">
        <v>-3931.16737607919</v>
      </c>
      <c r="Z257" s="2">
        <v>144.266875932255</v>
      </c>
      <c r="AA257" s="2">
        <v>9.87004685947581</v>
      </c>
      <c r="AB257" s="2">
        <v>0.86929069860659502</v>
      </c>
      <c r="AC257" s="2">
        <v>1.7935173696051401</v>
      </c>
      <c r="AD257" s="2">
        <v>2.5540233226020201</v>
      </c>
      <c r="AE257" s="2">
        <v>0.57620402166868401</v>
      </c>
      <c r="AF257" s="2">
        <v>0.53391669693251398</v>
      </c>
      <c r="AG257" s="2">
        <v>0.99516392854634095</v>
      </c>
      <c r="AH257" s="2">
        <v>0.96350335825398103</v>
      </c>
      <c r="AI257" s="2">
        <v>-0.23784910427319</v>
      </c>
      <c r="AJ257" s="2">
        <v>0.90000865849211198</v>
      </c>
      <c r="AK257" s="2">
        <v>3.9889534156855498E-2</v>
      </c>
      <c r="AL257" s="2">
        <v>6.4308996522117798</v>
      </c>
      <c r="AM257" s="2">
        <v>7.5702352638213002</v>
      </c>
      <c r="AN257" s="2">
        <v>1073.9525487575199</v>
      </c>
      <c r="AO257" s="2">
        <v>6.5250170044201902E-2</v>
      </c>
      <c r="AP257" s="2">
        <v>1805.44389088037</v>
      </c>
      <c r="AQ257" s="2">
        <v>49.822737837546001</v>
      </c>
      <c r="AR257" s="2">
        <v>1228.2904186159501</v>
      </c>
      <c r="AS257" s="2">
        <v>101.38872349474499</v>
      </c>
      <c r="AT257" s="2">
        <v>147743.50082022001</v>
      </c>
      <c r="AU257" s="2">
        <v>7.38772758490846E-2</v>
      </c>
      <c r="AV257" s="2">
        <v>1.23770963374861E-3</v>
      </c>
      <c r="AW257" s="2">
        <v>0.56991399381673302</v>
      </c>
      <c r="AX257" s="2">
        <v>7.61516387388255E-4</v>
      </c>
      <c r="AY257" s="2">
        <v>1155.5595630856601</v>
      </c>
      <c r="AZ257" s="2">
        <v>6.7626405111697194E-2</v>
      </c>
      <c r="BA257" s="2">
        <v>1.4288495040965601</v>
      </c>
      <c r="BB257" s="2">
        <v>155</v>
      </c>
    </row>
    <row r="258" spans="1:54" ht="13" x14ac:dyDescent="0.15">
      <c r="A258" s="1" t="s">
        <v>783</v>
      </c>
      <c r="B258" s="1" t="s">
        <v>784</v>
      </c>
      <c r="C258" s="1" t="s">
        <v>785</v>
      </c>
      <c r="D258" s="1" t="s">
        <v>761</v>
      </c>
      <c r="E258" s="2">
        <v>7623</v>
      </c>
      <c r="F258" s="2">
        <v>23440</v>
      </c>
      <c r="G258" s="2">
        <v>40569</v>
      </c>
      <c r="H258" s="2">
        <f t="shared" si="2"/>
        <v>71632</v>
      </c>
      <c r="I258" s="2">
        <v>82399</v>
      </c>
      <c r="J258" s="2">
        <v>1337933</v>
      </c>
      <c r="K258" s="2">
        <f t="shared" si="3"/>
        <v>5.3539302790199507E-2</v>
      </c>
      <c r="M258" s="2">
        <v>0.86324176546976905</v>
      </c>
      <c r="N258" s="2">
        <v>0.51774696519533603</v>
      </c>
      <c r="O258" s="2">
        <v>17.368001000258399</v>
      </c>
      <c r="P258" s="2">
        <v>33.545345830671899</v>
      </c>
      <c r="Q258" s="2">
        <v>36.235341863986903</v>
      </c>
      <c r="R258" s="2">
        <v>28.957743558163099</v>
      </c>
      <c r="S258" s="2">
        <v>0.47970826403418099</v>
      </c>
      <c r="T258" s="2">
        <v>3868.9184886263301</v>
      </c>
      <c r="U258" s="2">
        <v>1099</v>
      </c>
      <c r="V258" s="2">
        <v>1955</v>
      </c>
      <c r="W258" s="2">
        <v>960.21663569242401</v>
      </c>
      <c r="X258" s="2">
        <v>810618.262616202</v>
      </c>
      <c r="Y258" s="2">
        <v>1211.12436889121</v>
      </c>
      <c r="Z258" s="2">
        <v>683.84459236675104</v>
      </c>
      <c r="AA258" s="2">
        <v>17.139163858069399</v>
      </c>
      <c r="AB258" s="2">
        <v>0.95111725881192599</v>
      </c>
      <c r="AC258" s="2">
        <v>3.0835004824922501</v>
      </c>
      <c r="AD258" s="2">
        <v>3.1351656480391998</v>
      </c>
      <c r="AE258" s="2">
        <v>0.37985097665265199</v>
      </c>
      <c r="AF258" s="2">
        <v>0.29541707350381302</v>
      </c>
      <c r="AG258" s="2">
        <v>0.99405162847245399</v>
      </c>
      <c r="AH258" s="2">
        <v>0.94717073106473004</v>
      </c>
      <c r="AI258" s="2">
        <v>-0.31779833878073699</v>
      </c>
      <c r="AJ258" s="2">
        <v>0.98213775534754</v>
      </c>
      <c r="AK258" s="2">
        <v>2.32602588475824E-3</v>
      </c>
      <c r="AL258" s="2">
        <v>9.2529588713461006</v>
      </c>
      <c r="AM258" s="2">
        <v>8.2832203547620509</v>
      </c>
      <c r="AN258" s="2">
        <v>1152.6707333070999</v>
      </c>
      <c r="AO258" s="2">
        <v>0.15120959376978799</v>
      </c>
      <c r="AP258" s="2">
        <v>177.807818444182</v>
      </c>
      <c r="AQ258" s="2">
        <v>176.97807334070799</v>
      </c>
      <c r="AR258" s="2">
        <v>913.18588482224902</v>
      </c>
      <c r="AS258" s="2">
        <v>19.266824085005901</v>
      </c>
      <c r="AT258" s="2">
        <v>14345.866194411599</v>
      </c>
      <c r="AU258" s="2">
        <v>0.32881566701095999</v>
      </c>
      <c r="AV258" s="2">
        <v>7.4611597466476701E-3</v>
      </c>
      <c r="AW258" s="2">
        <v>0.27193162480438599</v>
      </c>
      <c r="AX258" s="2">
        <v>3.6227070085580199E-3</v>
      </c>
      <c r="AY258" s="2">
        <v>1619.38368542581</v>
      </c>
      <c r="AZ258" s="2">
        <v>0.21016585178265601</v>
      </c>
      <c r="BA258" s="2">
        <v>3.4924116206475202</v>
      </c>
      <c r="BB258" s="2">
        <v>721</v>
      </c>
    </row>
    <row r="259" spans="1:54" ht="13" x14ac:dyDescent="0.15">
      <c r="A259" s="1" t="s">
        <v>786</v>
      </c>
      <c r="B259" s="1" t="s">
        <v>787</v>
      </c>
      <c r="C259" s="1" t="s">
        <v>788</v>
      </c>
      <c r="D259" s="1" t="s">
        <v>761</v>
      </c>
      <c r="E259" s="2">
        <v>32119</v>
      </c>
      <c r="F259" s="2">
        <v>87094</v>
      </c>
      <c r="G259" s="2">
        <v>38201</v>
      </c>
      <c r="H259" s="2">
        <f t="shared" si="2"/>
        <v>157414</v>
      </c>
      <c r="I259" s="2">
        <v>245179</v>
      </c>
      <c r="J259" s="2">
        <v>1316623</v>
      </c>
      <c r="K259" s="2">
        <f t="shared" si="3"/>
        <v>0.11955890182687072</v>
      </c>
      <c r="M259" s="2">
        <v>0.86690758600893003</v>
      </c>
      <c r="N259" s="2">
        <v>0.64519306664172305</v>
      </c>
      <c r="O259" s="2">
        <v>29.5137538662926</v>
      </c>
      <c r="P259" s="2">
        <v>45.744065446818603</v>
      </c>
      <c r="Q259" s="2">
        <v>51.971145840745102</v>
      </c>
      <c r="R259" s="2">
        <v>39.655877350735999</v>
      </c>
      <c r="S259" s="2">
        <v>0.468087559972723</v>
      </c>
      <c r="T259" s="2">
        <v>10438.6690344947</v>
      </c>
      <c r="U259" s="2">
        <v>1384</v>
      </c>
      <c r="V259" s="2">
        <v>1870</v>
      </c>
      <c r="W259" s="2">
        <v>2218.6479052571499</v>
      </c>
      <c r="X259" s="2">
        <v>147039.30338175999</v>
      </c>
      <c r="Y259" s="2">
        <v>706.89169982570502</v>
      </c>
      <c r="Z259" s="2">
        <v>219.71019255175599</v>
      </c>
      <c r="AA259" s="2">
        <v>21.1061942129353</v>
      </c>
      <c r="AB259" s="2">
        <v>0.82462683721757801</v>
      </c>
      <c r="AC259" s="2">
        <v>3.2713614252750198</v>
      </c>
      <c r="AD259" s="2">
        <v>3.2238695077176298</v>
      </c>
      <c r="AE259" s="2">
        <v>0.37573559247282501</v>
      </c>
      <c r="AF259" s="2">
        <v>0.29215927478749298</v>
      </c>
      <c r="AG259" s="2">
        <v>0.99651683954483405</v>
      </c>
      <c r="AH259" s="2">
        <v>0.96068311894775504</v>
      </c>
      <c r="AI259" s="2">
        <v>-0.20091184681231</v>
      </c>
      <c r="AJ259" s="2">
        <v>0.916992693626969</v>
      </c>
      <c r="AK259" s="2">
        <v>3.07430107061232E-3</v>
      </c>
      <c r="AL259" s="2">
        <v>8.9718929080550804</v>
      </c>
      <c r="AM259" s="2">
        <v>7.9425377431580602</v>
      </c>
      <c r="AN259" s="2">
        <v>4657.0912855319302</v>
      </c>
      <c r="AO259" s="2">
        <v>0.14499490287779601</v>
      </c>
      <c r="AP259" s="2">
        <v>1172.10152869018</v>
      </c>
      <c r="AQ259" s="2">
        <v>61.541304494683096</v>
      </c>
      <c r="AR259" s="2">
        <v>2199.41816370373</v>
      </c>
      <c r="AS259" s="2">
        <v>19.549394439428401</v>
      </c>
      <c r="AT259" s="2">
        <v>43188.986830225098</v>
      </c>
      <c r="AU259" s="2">
        <v>9.7655950862819592E-3</v>
      </c>
      <c r="AV259" s="2">
        <v>5.4682067967672002E-4</v>
      </c>
      <c r="AW259" s="2">
        <v>0.55263394450615899</v>
      </c>
      <c r="AX259" s="2">
        <v>4.6638449036415198E-4</v>
      </c>
      <c r="AY259" s="2">
        <v>4104.24120229649</v>
      </c>
      <c r="AZ259" s="2">
        <v>5.6875353808957203E-2</v>
      </c>
      <c r="BA259" s="2">
        <v>0.93519148897809601</v>
      </c>
      <c r="BB259" s="2">
        <v>66</v>
      </c>
    </row>
    <row r="260" spans="1:54" ht="13" x14ac:dyDescent="0.15">
      <c r="A260" s="1" t="s">
        <v>789</v>
      </c>
      <c r="B260" s="1" t="s">
        <v>790</v>
      </c>
      <c r="C260" s="1" t="s">
        <v>791</v>
      </c>
      <c r="D260" s="1" t="s">
        <v>761</v>
      </c>
      <c r="E260" s="2">
        <v>10200</v>
      </c>
      <c r="F260" s="2">
        <v>37705</v>
      </c>
      <c r="G260" s="2">
        <v>35658</v>
      </c>
      <c r="H260" s="2">
        <f t="shared" si="2"/>
        <v>83563</v>
      </c>
      <c r="I260" s="2">
        <v>125471</v>
      </c>
      <c r="J260" s="2">
        <v>1621569</v>
      </c>
      <c r="K260" s="2">
        <f t="shared" si="3"/>
        <v>5.1532188886196026E-2</v>
      </c>
      <c r="M260" s="2">
        <v>0.79941861978339501</v>
      </c>
      <c r="N260" s="2">
        <v>0.616597047203717</v>
      </c>
      <c r="O260" s="2">
        <v>25.056779330926702</v>
      </c>
      <c r="P260" s="2">
        <v>40.637202926222002</v>
      </c>
      <c r="Q260" s="2">
        <v>46.840153714521499</v>
      </c>
      <c r="R260" s="2">
        <v>32.486136675138098</v>
      </c>
      <c r="S260" s="2">
        <v>0.36142995725481297</v>
      </c>
      <c r="T260" s="2">
        <v>6245.5066724039498</v>
      </c>
      <c r="U260" s="2">
        <v>1127</v>
      </c>
      <c r="V260" s="2">
        <v>1619</v>
      </c>
      <c r="W260" s="2">
        <v>987.66407377104804</v>
      </c>
      <c r="X260" s="2">
        <v>143452.332792275</v>
      </c>
      <c r="Y260" s="2">
        <v>-2018.24089836096</v>
      </c>
      <c r="Z260" s="2">
        <v>209.557012723138</v>
      </c>
      <c r="AA260" s="2">
        <v>9.1603346836048107</v>
      </c>
      <c r="AB260" s="2">
        <v>0.91562128020296296</v>
      </c>
      <c r="AC260" s="2">
        <v>2.21164217600802</v>
      </c>
      <c r="AD260" s="2">
        <v>2.7240694564597101</v>
      </c>
      <c r="AE260" s="2">
        <v>0.44857670216623402</v>
      </c>
      <c r="AF260" s="2">
        <v>0.37641242342227399</v>
      </c>
      <c r="AG260" s="2">
        <v>0.99537621182044</v>
      </c>
      <c r="AH260" s="2">
        <v>0.95392194187355095</v>
      </c>
      <c r="AI260" s="2">
        <v>-0.29038267823709502</v>
      </c>
      <c r="AJ260" s="2">
        <v>0.96472723868070998</v>
      </c>
      <c r="AK260" s="2">
        <v>4.7834914420777997E-3</v>
      </c>
      <c r="AL260" s="2">
        <v>8.2090037444222599</v>
      </c>
      <c r="AM260" s="2">
        <v>7.95202490542398</v>
      </c>
      <c r="AN260" s="2">
        <v>1245.38745098039</v>
      </c>
      <c r="AO260" s="2">
        <v>0.122096808919646</v>
      </c>
      <c r="AP260" s="2">
        <v>390.16607843137302</v>
      </c>
      <c r="AQ260" s="2">
        <v>60.104166512879701</v>
      </c>
      <c r="AR260" s="2">
        <v>947.52490196078395</v>
      </c>
      <c r="AS260" s="2">
        <v>28.260196078431399</v>
      </c>
      <c r="AT260" s="2">
        <v>32112.7854901961</v>
      </c>
      <c r="AU260" s="2">
        <v>5.3084125274298101E-2</v>
      </c>
      <c r="AV260" s="2">
        <v>2.4534382102820501E-3</v>
      </c>
      <c r="AW260" s="2">
        <v>0.35830191967202701</v>
      </c>
      <c r="AX260" s="2">
        <v>1.9835237305382901E-3</v>
      </c>
      <c r="AY260" s="2">
        <v>1171.69679001959</v>
      </c>
      <c r="AZ260" s="2">
        <v>8.6242592026822107E-2</v>
      </c>
      <c r="BA260" s="2">
        <v>1.74463548843968</v>
      </c>
      <c r="BB260" s="2">
        <v>646</v>
      </c>
    </row>
    <row r="261" spans="1:54" ht="13" x14ac:dyDescent="0.15">
      <c r="A261" s="1" t="s">
        <v>792</v>
      </c>
      <c r="B261" s="1" t="s">
        <v>793</v>
      </c>
      <c r="C261" s="4" t="s">
        <v>794</v>
      </c>
      <c r="D261" s="1" t="s">
        <v>14</v>
      </c>
      <c r="E261" s="2">
        <v>569</v>
      </c>
      <c r="F261" s="2">
        <v>3256</v>
      </c>
      <c r="G261" s="2">
        <v>9168</v>
      </c>
      <c r="H261" s="2">
        <f t="shared" si="2"/>
        <v>12993</v>
      </c>
      <c r="I261" s="2">
        <v>13625</v>
      </c>
      <c r="J261" s="2">
        <v>1742949</v>
      </c>
      <c r="K261" s="2">
        <f t="shared" si="3"/>
        <v>7.454607105543536E-3</v>
      </c>
      <c r="M261" s="2">
        <v>0.70892227309647105</v>
      </c>
      <c r="N261" s="2">
        <v>0.41608164434302702</v>
      </c>
      <c r="O261" s="2">
        <v>9.1105248480655305</v>
      </c>
      <c r="P261" s="2">
        <v>21.896002796399699</v>
      </c>
      <c r="Q261" s="2">
        <v>25.495097567963899</v>
      </c>
      <c r="R261" s="2">
        <v>15.522564074150401</v>
      </c>
      <c r="S261" s="2">
        <v>0.43341635300716902</v>
      </c>
      <c r="T261" s="2">
        <v>731.46726476931599</v>
      </c>
      <c r="U261" s="2">
        <v>533</v>
      </c>
      <c r="V261" s="2">
        <v>677.2</v>
      </c>
      <c r="W261" s="2">
        <v>51.5874838283668</v>
      </c>
      <c r="X261" s="2">
        <v>832.85828105134897</v>
      </c>
      <c r="Y261" s="2">
        <v>1.2801103076100599</v>
      </c>
      <c r="Z261" s="2">
        <v>18.585449860519802</v>
      </c>
      <c r="AA261" s="2">
        <v>3.4556702278326501</v>
      </c>
      <c r="AB261" s="2">
        <v>0.68712076488241403</v>
      </c>
      <c r="AC261" s="2">
        <v>1.39082002568591</v>
      </c>
      <c r="AD261" s="2">
        <v>2.14050775390626</v>
      </c>
      <c r="AE261" s="2">
        <v>0.54429772025733403</v>
      </c>
      <c r="AF261" s="2">
        <v>0.49173734776553701</v>
      </c>
      <c r="AG261" s="2">
        <v>0.98084762126332303</v>
      </c>
      <c r="AH261" s="2">
        <v>0.90957612835269497</v>
      </c>
      <c r="AI261" s="2">
        <v>-0.19683738441135401</v>
      </c>
      <c r="AJ261" s="2">
        <v>0.83828531103654302</v>
      </c>
      <c r="AK261" s="2">
        <v>2.2912091708501101E-2</v>
      </c>
      <c r="AL261" s="2">
        <v>5.8721244448150998</v>
      </c>
      <c r="AM261" s="2">
        <v>6.2441710502462602</v>
      </c>
      <c r="AN261" s="2">
        <v>64.718804920913897</v>
      </c>
      <c r="AO261" s="2">
        <v>0.11374130917559599</v>
      </c>
      <c r="AP261" s="2">
        <v>68.451669595782107</v>
      </c>
      <c r="AQ261" s="2">
        <v>5.2921136270273399</v>
      </c>
      <c r="AR261" s="2">
        <v>49.681898066783802</v>
      </c>
      <c r="AS261" s="2">
        <v>31.379613356766299</v>
      </c>
      <c r="AT261" s="2">
        <v>1658.25483304042</v>
      </c>
      <c r="AU261" s="2">
        <v>0.96143330219330503</v>
      </c>
      <c r="AV261" s="2">
        <v>4.4394370414373399E-2</v>
      </c>
      <c r="AW261" s="2">
        <v>0.70709488253694996</v>
      </c>
      <c r="AX261" s="2">
        <v>1.78997477062325E-2</v>
      </c>
      <c r="AY261" s="2">
        <v>58.306311235086902</v>
      </c>
      <c r="AZ261" s="2">
        <v>6.1213204170829399E-2</v>
      </c>
      <c r="BA261" s="2">
        <v>0.98284719525032205</v>
      </c>
      <c r="BB261" s="2">
        <v>15</v>
      </c>
    </row>
    <row r="262" spans="1:54" ht="13" x14ac:dyDescent="0.15">
      <c r="A262" s="1" t="s">
        <v>795</v>
      </c>
      <c r="B262" s="1" t="s">
        <v>796</v>
      </c>
      <c r="C262" s="4" t="s">
        <v>797</v>
      </c>
      <c r="D262" s="1" t="s">
        <v>14</v>
      </c>
      <c r="E262" s="2">
        <v>5819</v>
      </c>
      <c r="F262" s="2">
        <v>103161</v>
      </c>
      <c r="G262" s="2">
        <v>29651</v>
      </c>
      <c r="H262" s="2">
        <f t="shared" si="2"/>
        <v>138631</v>
      </c>
      <c r="I262" s="2">
        <v>162196</v>
      </c>
      <c r="J262" s="2">
        <v>1555840</v>
      </c>
      <c r="K262" s="2">
        <f t="shared" si="3"/>
        <v>8.9103635335252979E-2</v>
      </c>
      <c r="M262" s="2">
        <v>0.93801707529134704</v>
      </c>
      <c r="N262" s="2">
        <v>0.39312595843800302</v>
      </c>
      <c r="O262" s="2">
        <v>14.483132542086601</v>
      </c>
      <c r="P262" s="2">
        <v>36.840946854875902</v>
      </c>
      <c r="Q262" s="2">
        <v>40.706264874095197</v>
      </c>
      <c r="R262" s="2">
        <v>34.557437219774698</v>
      </c>
      <c r="S262" s="2">
        <v>0.39400267556434199</v>
      </c>
      <c r="T262" s="2">
        <v>3897.0573249861</v>
      </c>
      <c r="U262" s="2">
        <v>616</v>
      </c>
      <c r="V262" s="2">
        <v>814</v>
      </c>
      <c r="W262" s="2">
        <v>106.049758358912</v>
      </c>
      <c r="X262" s="2">
        <v>3868.29192941562</v>
      </c>
      <c r="Y262" s="2">
        <v>98.991897945727501</v>
      </c>
      <c r="Z262" s="2">
        <v>34.301978556428899</v>
      </c>
      <c r="AA262" s="2">
        <v>5.1848596924647703</v>
      </c>
      <c r="AB262" s="2">
        <v>0.73747760876514801</v>
      </c>
      <c r="AC262" s="2">
        <v>1.70149320240837</v>
      </c>
      <c r="AD262" s="2">
        <v>2.3867175429884302</v>
      </c>
      <c r="AE262" s="2">
        <v>0.498820870974307</v>
      </c>
      <c r="AF262" s="2">
        <v>0.43661317312792303</v>
      </c>
      <c r="AG262" s="2">
        <v>0.98874382199578104</v>
      </c>
      <c r="AH262" s="2">
        <v>0.92888586397873396</v>
      </c>
      <c r="AI262" s="2">
        <v>-0.172486870906149</v>
      </c>
      <c r="AJ262" s="2">
        <v>0.83065253089811997</v>
      </c>
      <c r="AK262" s="2">
        <v>1.4893590666226E-2</v>
      </c>
      <c r="AL262" s="2">
        <v>6.6909488841777698</v>
      </c>
      <c r="AM262" s="2">
        <v>6.9216673938283897</v>
      </c>
      <c r="AN262" s="2">
        <v>655.20209658016802</v>
      </c>
      <c r="AO262" s="2">
        <v>0.11259702639288</v>
      </c>
      <c r="AP262" s="2">
        <v>561.66953084722502</v>
      </c>
      <c r="AQ262" s="2">
        <v>9.6860134950894903</v>
      </c>
      <c r="AR262" s="2">
        <v>107.226671249356</v>
      </c>
      <c r="AS262" s="2">
        <v>35.317924041931597</v>
      </c>
      <c r="AT262" s="2">
        <v>3498.9073724007599</v>
      </c>
      <c r="AU262" s="2">
        <v>0.48966146819637701</v>
      </c>
      <c r="AV262" s="2">
        <v>1.5621262515739301E-2</v>
      </c>
      <c r="AW262" s="2">
        <v>2.01153688435202</v>
      </c>
      <c r="AX262" s="2">
        <v>2.2416982645081201E-3</v>
      </c>
      <c r="AY262" s="2">
        <v>169.14133928429499</v>
      </c>
      <c r="AZ262" s="2">
        <v>4.2993173758758801E-2</v>
      </c>
      <c r="BA262" s="2">
        <v>0.368701701728606</v>
      </c>
      <c r="BB262" s="2">
        <v>188</v>
      </c>
    </row>
    <row r="263" spans="1:54" ht="13" x14ac:dyDescent="0.15">
      <c r="A263" s="1" t="s">
        <v>798</v>
      </c>
      <c r="B263" s="1" t="s">
        <v>799</v>
      </c>
      <c r="C263" s="4" t="s">
        <v>800</v>
      </c>
      <c r="D263" s="1" t="s">
        <v>14</v>
      </c>
      <c r="E263" s="2">
        <v>21448</v>
      </c>
      <c r="F263" s="2">
        <v>100769</v>
      </c>
      <c r="G263" s="2">
        <v>52092</v>
      </c>
      <c r="H263" s="2">
        <f t="shared" si="2"/>
        <v>174309</v>
      </c>
      <c r="I263" s="2">
        <v>275613</v>
      </c>
      <c r="J263" s="2">
        <v>1415164</v>
      </c>
      <c r="K263" s="2">
        <f t="shared" si="3"/>
        <v>0.12317229663841081</v>
      </c>
      <c r="M263" s="2">
        <v>0.79738016314604798</v>
      </c>
      <c r="N263" s="2">
        <v>0.62966083406206197</v>
      </c>
      <c r="O263" s="2">
        <v>32.265788508378499</v>
      </c>
      <c r="P263" s="2">
        <v>51.243124493270102</v>
      </c>
      <c r="Q263" s="2">
        <v>58.694122363316801</v>
      </c>
      <c r="R263" s="2">
        <v>40.860250968556997</v>
      </c>
      <c r="S263" s="2">
        <v>0.25631741907429401</v>
      </c>
      <c r="T263" s="2">
        <v>14412.632112249001</v>
      </c>
      <c r="U263" s="2">
        <v>583</v>
      </c>
      <c r="V263" s="2">
        <v>1433</v>
      </c>
      <c r="W263" s="2">
        <v>1298.8243733300601</v>
      </c>
      <c r="X263" s="2">
        <v>854329.80556846794</v>
      </c>
      <c r="Y263" s="2">
        <v>6051.6717362969703</v>
      </c>
      <c r="Z263" s="2">
        <v>577.99208468881295</v>
      </c>
      <c r="AA263" s="2">
        <v>18.575945350279699</v>
      </c>
      <c r="AB263" s="2">
        <v>0.93767854704700104</v>
      </c>
      <c r="AC263" s="2">
        <v>2.93977533118069</v>
      </c>
      <c r="AD263" s="2">
        <v>3.1489114892788601</v>
      </c>
      <c r="AE263" s="2">
        <v>0.42075900529821703</v>
      </c>
      <c r="AF263" s="2">
        <v>0.34810984149591701</v>
      </c>
      <c r="AG263" s="2">
        <v>0.99558684401158803</v>
      </c>
      <c r="AH263" s="2">
        <v>0.95803560782573505</v>
      </c>
      <c r="AI263" s="2">
        <v>-0.30710317719611602</v>
      </c>
      <c r="AJ263" s="2">
        <v>0.98039000412272204</v>
      </c>
      <c r="AK263" s="2">
        <v>3.0011533121677399E-3</v>
      </c>
      <c r="AL263" s="2">
        <v>9.20430898305219</v>
      </c>
      <c r="AM263" s="2">
        <v>8.5200378719080199</v>
      </c>
      <c r="AN263" s="2">
        <v>2622.25951137635</v>
      </c>
      <c r="AO263" s="2">
        <v>0.122261260321538</v>
      </c>
      <c r="AP263" s="2">
        <v>581.68127564341705</v>
      </c>
      <c r="AQ263" s="2">
        <v>147.841882915626</v>
      </c>
      <c r="AR263" s="2">
        <v>1205.71083550914</v>
      </c>
      <c r="AS263" s="2">
        <v>28.4269861991794</v>
      </c>
      <c r="AT263" s="2">
        <v>30753.734147706102</v>
      </c>
      <c r="AU263" s="2">
        <v>5.4067696640592702E-2</v>
      </c>
      <c r="AV263" s="2">
        <v>1.59205717640826E-3</v>
      </c>
      <c r="AW263" s="2">
        <v>0.48395825124041397</v>
      </c>
      <c r="AX263" s="2">
        <v>1.15463505443137E-3</v>
      </c>
      <c r="AY263" s="2">
        <v>2713.4021864194401</v>
      </c>
      <c r="AZ263" s="2">
        <v>0.12130055698169299</v>
      </c>
      <c r="BA263" s="2">
        <v>1.7646490091341001</v>
      </c>
      <c r="BB263" s="2">
        <v>421</v>
      </c>
    </row>
    <row r="264" spans="1:54" ht="13" x14ac:dyDescent="0.15">
      <c r="A264" s="1" t="s">
        <v>801</v>
      </c>
      <c r="B264" s="1" t="s">
        <v>802</v>
      </c>
      <c r="C264" s="4" t="s">
        <v>803</v>
      </c>
      <c r="D264" s="1" t="s">
        <v>14</v>
      </c>
      <c r="E264" s="2">
        <v>7175</v>
      </c>
      <c r="F264" s="2">
        <v>66590</v>
      </c>
      <c r="G264" s="2">
        <v>7981</v>
      </c>
      <c r="H264" s="2">
        <f t="shared" si="2"/>
        <v>81746</v>
      </c>
      <c r="I264" s="2">
        <v>118398</v>
      </c>
      <c r="J264" s="2">
        <v>1482809</v>
      </c>
      <c r="K264" s="2">
        <f t="shared" si="3"/>
        <v>5.512915014678222E-2</v>
      </c>
      <c r="M264" s="2">
        <v>0.62495727277672997</v>
      </c>
      <c r="N264" s="2">
        <v>0.51513936471191601</v>
      </c>
      <c r="O264" s="2">
        <v>17.0640041515022</v>
      </c>
      <c r="P264" s="2">
        <v>33.1250246446319</v>
      </c>
      <c r="Q264" s="2">
        <v>35.693136595149497</v>
      </c>
      <c r="R264" s="2">
        <v>20.7017250625711</v>
      </c>
      <c r="S264" s="2">
        <v>0.59896152905761302</v>
      </c>
      <c r="T264" s="2">
        <v>2993.0868820770602</v>
      </c>
      <c r="U264" s="2">
        <v>423</v>
      </c>
      <c r="V264" s="2">
        <v>922</v>
      </c>
      <c r="W264" s="2">
        <v>594.42829645589995</v>
      </c>
      <c r="X264" s="2">
        <v>95286.137626236596</v>
      </c>
      <c r="Y264" s="2">
        <v>-754.62280293768299</v>
      </c>
      <c r="Z264" s="2">
        <v>191.85573192550299</v>
      </c>
      <c r="AA264" s="2">
        <v>22.436086768354102</v>
      </c>
      <c r="AB264" s="2">
        <v>0.79054491094941604</v>
      </c>
      <c r="AC264" s="2">
        <v>3.4230921145046702</v>
      </c>
      <c r="AD264" s="2">
        <v>3.3315028044867199</v>
      </c>
      <c r="AE264" s="2">
        <v>0.374809625130823</v>
      </c>
      <c r="AF264" s="2">
        <v>0.29326593294236503</v>
      </c>
      <c r="AG264" s="2">
        <v>0.98849175446584703</v>
      </c>
      <c r="AH264" s="2">
        <v>0.93046599589906598</v>
      </c>
      <c r="AI264" s="2">
        <v>-0.182033102862309</v>
      </c>
      <c r="AJ264" s="2">
        <v>0.90475786154360105</v>
      </c>
      <c r="AK264" s="2">
        <v>3.3469536889525601E-3</v>
      </c>
      <c r="AL264" s="2">
        <v>8.82236999239516</v>
      </c>
      <c r="AM264" s="2">
        <v>7.7265716406593796</v>
      </c>
      <c r="AN264" s="2">
        <v>1047.47080139373</v>
      </c>
      <c r="AO264" s="2">
        <v>0.145988961866722</v>
      </c>
      <c r="AP264" s="2">
        <v>285.61853658536597</v>
      </c>
      <c r="AQ264" s="2">
        <v>52.441568959195799</v>
      </c>
      <c r="AR264" s="2">
        <v>613.66592334494806</v>
      </c>
      <c r="AS264" s="2">
        <v>22.737142857142899</v>
      </c>
      <c r="AT264" s="2">
        <v>18231.5700348432</v>
      </c>
      <c r="AU264" s="2">
        <v>4.7972557900596798E-2</v>
      </c>
      <c r="AV264" s="2">
        <v>3.2744345886687501E-3</v>
      </c>
      <c r="AW264" s="2">
        <v>0.49197759445394701</v>
      </c>
      <c r="AX264" s="2">
        <v>1.86846408799723E-3</v>
      </c>
      <c r="AY264" s="2">
        <v>1536.21086870362</v>
      </c>
      <c r="AZ264" s="2">
        <v>0.119843450687267</v>
      </c>
      <c r="BA264" s="2">
        <v>1.2156702259093699</v>
      </c>
      <c r="BB264" s="2">
        <v>194</v>
      </c>
    </row>
    <row r="265" spans="1:54" ht="13" x14ac:dyDescent="0.15">
      <c r="A265" s="1" t="s">
        <v>804</v>
      </c>
      <c r="B265" s="1" t="s">
        <v>805</v>
      </c>
      <c r="C265" s="4" t="s">
        <v>806</v>
      </c>
      <c r="D265" s="1" t="s">
        <v>14</v>
      </c>
      <c r="E265" s="2">
        <v>16250</v>
      </c>
      <c r="F265" s="2">
        <v>62162</v>
      </c>
      <c r="G265" s="2">
        <v>26383</v>
      </c>
      <c r="H265" s="2">
        <f t="shared" si="2"/>
        <v>104795</v>
      </c>
      <c r="I265" s="2">
        <v>132102</v>
      </c>
      <c r="J265" s="2">
        <v>1591017</v>
      </c>
      <c r="K265" s="2">
        <f t="shared" si="3"/>
        <v>6.5866675214658291E-2</v>
      </c>
      <c r="M265" s="2">
        <v>0.61787846514105804</v>
      </c>
      <c r="N265" s="2">
        <v>0.60685693071029001</v>
      </c>
      <c r="O265" s="2">
        <v>26.910347447038902</v>
      </c>
      <c r="P265" s="2">
        <v>44.3438083759576</v>
      </c>
      <c r="Q265" s="2">
        <v>42.201895692018397</v>
      </c>
      <c r="R265" s="2">
        <v>27.3990842578459</v>
      </c>
      <c r="S265" s="2">
        <v>0.32449805072872601</v>
      </c>
      <c r="T265" s="2">
        <v>9498.8377217561301</v>
      </c>
      <c r="U265" s="2">
        <v>641</v>
      </c>
      <c r="V265" s="2">
        <v>1118</v>
      </c>
      <c r="W265" s="2">
        <v>947.37308830880499</v>
      </c>
      <c r="X265" s="2">
        <v>119824.20496685601</v>
      </c>
      <c r="Y265" s="2">
        <v>255.38831112554999</v>
      </c>
      <c r="Z265" s="2">
        <v>213.041030829324</v>
      </c>
      <c r="AA265" s="2">
        <v>28.873732507812498</v>
      </c>
      <c r="AB265" s="2">
        <v>0.76171974512879403</v>
      </c>
      <c r="AC265" s="2">
        <v>3.9663801994421699</v>
      </c>
      <c r="AD265" s="2">
        <v>3.50779826423596</v>
      </c>
      <c r="AE265" s="2">
        <v>0.33498603152848699</v>
      </c>
      <c r="AF265" s="2">
        <v>0.24731806107288301</v>
      </c>
      <c r="AG265" s="2">
        <v>0.99199463373471197</v>
      </c>
      <c r="AH265" s="2">
        <v>0.939884771127666</v>
      </c>
      <c r="AI265" s="2">
        <v>-0.14980401408241401</v>
      </c>
      <c r="AJ265" s="2">
        <v>0.87300674465287298</v>
      </c>
      <c r="AK265" s="2">
        <v>2.5992297652225201E-3</v>
      </c>
      <c r="AL265" s="2">
        <v>9.16212006403107</v>
      </c>
      <c r="AM265" s="2">
        <v>7.5096685776033496</v>
      </c>
      <c r="AN265" s="2">
        <v>2965.9251692307698</v>
      </c>
      <c r="AO265" s="2">
        <v>0.18251847195266299</v>
      </c>
      <c r="AP265" s="2">
        <v>629.16763076923098</v>
      </c>
      <c r="AQ265" s="2">
        <v>56.651504639999999</v>
      </c>
      <c r="AR265" s="2">
        <v>943.16639999999995</v>
      </c>
      <c r="AS265" s="2">
        <v>12.8500923076923</v>
      </c>
      <c r="AT265" s="2">
        <v>10908.5662769231</v>
      </c>
      <c r="AU265" s="2">
        <v>1.99387503679277E-2</v>
      </c>
      <c r="AV265" s="2">
        <v>1.5678556127120299E-3</v>
      </c>
      <c r="AW265" s="2">
        <v>0.71657670042675403</v>
      </c>
      <c r="AX265" s="2">
        <v>7.1496165726090701E-4</v>
      </c>
      <c r="AY265" s="2">
        <v>3514.91398261209</v>
      </c>
      <c r="AZ265" s="2">
        <v>8.7737467293376101E-2</v>
      </c>
      <c r="BA265" s="2">
        <v>0.93632245947982196</v>
      </c>
      <c r="BB265" s="2">
        <v>1196</v>
      </c>
    </row>
    <row r="266" spans="1:54" ht="13" x14ac:dyDescent="0.15">
      <c r="A266" s="1" t="s">
        <v>807</v>
      </c>
      <c r="B266" s="1" t="s">
        <v>808</v>
      </c>
      <c r="C266" s="4" t="s">
        <v>809</v>
      </c>
      <c r="D266" s="1" t="s">
        <v>14</v>
      </c>
      <c r="E266" s="2">
        <v>8842</v>
      </c>
      <c r="F266" s="2">
        <v>60468</v>
      </c>
      <c r="G266" s="2">
        <v>11140</v>
      </c>
      <c r="H266" s="2">
        <f t="shared" si="2"/>
        <v>80450</v>
      </c>
      <c r="I266" s="2">
        <v>118760</v>
      </c>
      <c r="J266" s="2">
        <v>1669653</v>
      </c>
      <c r="K266" s="2">
        <f t="shared" si="3"/>
        <v>4.8183664509931105E-2</v>
      </c>
      <c r="M266" s="2">
        <v>0.94745986943745697</v>
      </c>
      <c r="N266" s="2">
        <v>0.61084379848194903</v>
      </c>
      <c r="O266" s="2">
        <v>17.596421306346102</v>
      </c>
      <c r="P266" s="2">
        <v>28.806744621253699</v>
      </c>
      <c r="Q266" s="2">
        <v>33.9558536926993</v>
      </c>
      <c r="R266" s="2">
        <v>27.293234497771198</v>
      </c>
      <c r="S266" s="2">
        <v>0.66403036268454096</v>
      </c>
      <c r="T266" s="2">
        <v>3105.76927448881</v>
      </c>
      <c r="U266" s="2">
        <v>591</v>
      </c>
      <c r="V266" s="2">
        <v>937</v>
      </c>
      <c r="W266" s="2">
        <v>527.61835823494005</v>
      </c>
      <c r="X266" s="2">
        <v>31837.471662465599</v>
      </c>
      <c r="Y266" s="2">
        <v>-220.73448966985899</v>
      </c>
      <c r="Z266" s="2">
        <v>99.401309615847097</v>
      </c>
      <c r="AA266" s="2">
        <v>18.513218925165699</v>
      </c>
      <c r="AB266" s="2">
        <v>0.68569595830952501</v>
      </c>
      <c r="AC266" s="2">
        <v>3.0953139049763898</v>
      </c>
      <c r="AD266" s="2">
        <v>3.18840767039578</v>
      </c>
      <c r="AE266" s="2">
        <v>0.385916003238223</v>
      </c>
      <c r="AF266" s="2">
        <v>0.30394124565806102</v>
      </c>
      <c r="AG266" s="2">
        <v>0.98957978748931097</v>
      </c>
      <c r="AH266" s="2">
        <v>0.93365378713179503</v>
      </c>
      <c r="AI266" s="2">
        <v>-0.13612552102380099</v>
      </c>
      <c r="AJ266" s="2">
        <v>0.82993546670019902</v>
      </c>
      <c r="AK266" s="2">
        <v>5.0653992535100697E-3</v>
      </c>
      <c r="AL266" s="2">
        <v>8.3264580141213393</v>
      </c>
      <c r="AM266" s="2">
        <v>7.4243993111147901</v>
      </c>
      <c r="AN266" s="2">
        <v>1217.7109251300601</v>
      </c>
      <c r="AO266" s="2">
        <v>0.137718946520025</v>
      </c>
      <c r="AP266" s="2">
        <v>476.07826283646199</v>
      </c>
      <c r="AQ266" s="2">
        <v>29.6012591505011</v>
      </c>
      <c r="AR266" s="2">
        <v>528.22076453291095</v>
      </c>
      <c r="AS266" s="2">
        <v>21.084370052024401</v>
      </c>
      <c r="AT266" s="2">
        <v>11759.3924451482</v>
      </c>
      <c r="AU266" s="2">
        <v>4.5182269544986699E-2</v>
      </c>
      <c r="AV266" s="2">
        <v>2.7904808528276801E-3</v>
      </c>
      <c r="AW266" s="2">
        <v>0.74101034092075402</v>
      </c>
      <c r="AX266" s="2">
        <v>1.3132545701048501E-3</v>
      </c>
      <c r="AY266" s="2">
        <v>1232.2205258894201</v>
      </c>
      <c r="AZ266" s="2">
        <v>7.7923421029200995E-2</v>
      </c>
      <c r="BA266" s="2">
        <v>0.72374648734769698</v>
      </c>
      <c r="BB266" s="2">
        <v>1201</v>
      </c>
    </row>
    <row r="267" spans="1:54" ht="13" x14ac:dyDescent="0.15">
      <c r="A267" s="1" t="s">
        <v>810</v>
      </c>
      <c r="B267" s="1" t="s">
        <v>811</v>
      </c>
      <c r="C267" s="4" t="s">
        <v>812</v>
      </c>
      <c r="D267" s="1" t="s">
        <v>14</v>
      </c>
      <c r="E267" s="2">
        <v>12320</v>
      </c>
      <c r="F267" s="2">
        <v>134636</v>
      </c>
      <c r="G267" s="2">
        <v>46160</v>
      </c>
      <c r="H267" s="2">
        <f t="shared" si="2"/>
        <v>193116</v>
      </c>
      <c r="I267" s="2">
        <v>307937</v>
      </c>
      <c r="J267" s="2">
        <v>1669293</v>
      </c>
      <c r="K267" s="2">
        <f t="shared" si="3"/>
        <v>0.11568729995273448</v>
      </c>
      <c r="M267" s="2">
        <v>0.56578855903764202</v>
      </c>
      <c r="N267" s="2">
        <v>0.49728787114039502</v>
      </c>
      <c r="O267" s="2">
        <v>24.062093079853501</v>
      </c>
      <c r="P267" s="2">
        <v>48.386647807583898</v>
      </c>
      <c r="Q267" s="2">
        <v>70.774289116882002</v>
      </c>
      <c r="R267" s="2">
        <v>27.3766117397148</v>
      </c>
      <c r="S267" s="2">
        <v>0.45143260612876801</v>
      </c>
      <c r="T267" s="2">
        <v>5674.0696222055203</v>
      </c>
      <c r="U267" s="2">
        <v>862</v>
      </c>
      <c r="V267" s="2">
        <v>1643</v>
      </c>
      <c r="W267" s="2">
        <v>1218.0535080155501</v>
      </c>
      <c r="X267" s="2">
        <v>456760.90205596201</v>
      </c>
      <c r="Y267" s="2">
        <v>2700.6465567264599</v>
      </c>
      <c r="Z267" s="2">
        <v>498.10974211340101</v>
      </c>
      <c r="AA267" s="2">
        <v>31.475928539189798</v>
      </c>
      <c r="AB267" s="2">
        <v>0.88111905204691898</v>
      </c>
      <c r="AC267" s="2">
        <v>3.8187574876926398</v>
      </c>
      <c r="AD267" s="2">
        <v>3.4932777361870602</v>
      </c>
      <c r="AE267" s="2">
        <v>0.373436929975349</v>
      </c>
      <c r="AF267" s="2">
        <v>0.29532191900107202</v>
      </c>
      <c r="AG267" s="2">
        <v>0.99053106928747903</v>
      </c>
      <c r="AH267" s="2">
        <v>0.94010037600303797</v>
      </c>
      <c r="AI267" s="2">
        <v>-0.22734345335314801</v>
      </c>
      <c r="AJ267" s="2">
        <v>0.94951405541465805</v>
      </c>
      <c r="AK267" s="2">
        <v>3.2395789263481699E-3</v>
      </c>
      <c r="AL267" s="2">
        <v>9.3105046401128</v>
      </c>
      <c r="AM267" s="2">
        <v>8.0768523688815801</v>
      </c>
      <c r="AN267" s="2">
        <v>1806.5365259740299</v>
      </c>
      <c r="AO267" s="2">
        <v>0.14663445827711299</v>
      </c>
      <c r="AP267" s="2">
        <v>367.81363636363602</v>
      </c>
      <c r="AQ267" s="2">
        <v>131.504425486749</v>
      </c>
      <c r="AR267" s="2">
        <v>1168.18238636364</v>
      </c>
      <c r="AS267" s="2">
        <v>26.478571428571399</v>
      </c>
      <c r="AT267" s="2">
        <v>50498.347646103903</v>
      </c>
      <c r="AU267" s="2">
        <v>2.2988088035259199E-2</v>
      </c>
      <c r="AV267" s="2">
        <v>1.66196685598616E-3</v>
      </c>
      <c r="AW267" s="2">
        <v>0.45616778296879601</v>
      </c>
      <c r="AX267" s="2">
        <v>1.3299677166399499E-3</v>
      </c>
      <c r="AY267" s="2">
        <v>2755.9876257992701</v>
      </c>
      <c r="AZ267" s="2">
        <v>0.199963116045352</v>
      </c>
      <c r="BA267" s="2">
        <v>1.5612490930520799</v>
      </c>
      <c r="BB267" s="2">
        <v>108</v>
      </c>
    </row>
    <row r="268" spans="1:54" ht="13" x14ac:dyDescent="0.15">
      <c r="A268" s="1" t="s">
        <v>813</v>
      </c>
      <c r="B268" s="1" t="s">
        <v>814</v>
      </c>
      <c r="C268" s="4" t="s">
        <v>815</v>
      </c>
      <c r="D268" s="1" t="s">
        <v>14</v>
      </c>
      <c r="E268" s="2">
        <v>5393</v>
      </c>
      <c r="F268" s="2">
        <v>53073</v>
      </c>
      <c r="G268" s="2">
        <v>22742</v>
      </c>
      <c r="H268" s="2">
        <f t="shared" si="2"/>
        <v>81208</v>
      </c>
      <c r="I268" s="2">
        <v>108385</v>
      </c>
      <c r="J268" s="2">
        <v>1492875</v>
      </c>
      <c r="K268" s="2">
        <f t="shared" si="3"/>
        <v>5.4397052666834131E-2</v>
      </c>
      <c r="M268" s="2">
        <v>0.49627116771494301</v>
      </c>
      <c r="N268" s="2">
        <v>0.47132439635036899</v>
      </c>
      <c r="O268" s="2">
        <v>22.243462843386101</v>
      </c>
      <c r="P268" s="2">
        <v>47.1935317068777</v>
      </c>
      <c r="Q268" s="2">
        <v>32.388269481403299</v>
      </c>
      <c r="R268" s="2">
        <v>23.420789088764401</v>
      </c>
      <c r="S268" s="2">
        <v>0.37225649077932799</v>
      </c>
      <c r="T268" s="2">
        <v>3927.3481868471199</v>
      </c>
      <c r="U268" s="2">
        <v>755.2</v>
      </c>
      <c r="V268" s="2">
        <v>1408</v>
      </c>
      <c r="W268" s="2">
        <v>1540.1065880972201</v>
      </c>
      <c r="X268" s="2">
        <v>253929.569408379</v>
      </c>
      <c r="Y268" s="2">
        <v>-1453.1930307402499</v>
      </c>
      <c r="Z268" s="2">
        <v>402.59870109414601</v>
      </c>
      <c r="AA268" s="2">
        <v>41.9852504996501</v>
      </c>
      <c r="AB268" s="2">
        <v>0.81077643973617197</v>
      </c>
      <c r="AC268" s="2">
        <v>4.3470950969004596</v>
      </c>
      <c r="AD268" s="2">
        <v>3.6565745604563702</v>
      </c>
      <c r="AE268" s="2">
        <v>0.36406836166294598</v>
      </c>
      <c r="AF268" s="2">
        <v>0.28871610831404299</v>
      </c>
      <c r="AG268" s="2">
        <v>0.98937171387600598</v>
      </c>
      <c r="AH268" s="2">
        <v>0.93799416782369505</v>
      </c>
      <c r="AI268" s="2">
        <v>-0.18848665655136501</v>
      </c>
      <c r="AJ268" s="2">
        <v>0.91477923247050896</v>
      </c>
      <c r="AK268" s="2">
        <v>4.8634452933255202E-3</v>
      </c>
      <c r="AL268" s="2">
        <v>8.9216726384895892</v>
      </c>
      <c r="AM268" s="2">
        <v>7.5480809532758499</v>
      </c>
      <c r="AN268" s="2">
        <v>879.34192471722599</v>
      </c>
      <c r="AO268" s="2">
        <v>0.163052461471765</v>
      </c>
      <c r="AP268" s="2">
        <v>212.33209716298899</v>
      </c>
      <c r="AQ268" s="2">
        <v>112.341272478636</v>
      </c>
      <c r="AR268" s="2">
        <v>1411.9484516966399</v>
      </c>
      <c r="AS268" s="2">
        <v>23.0530317077693</v>
      </c>
      <c r="AT268" s="2">
        <v>45387.222696087498</v>
      </c>
      <c r="AU268" s="2">
        <v>1.6156643255524999E-2</v>
      </c>
      <c r="AV268" s="2">
        <v>1.2071596599976099E-3</v>
      </c>
      <c r="AW268" s="2">
        <v>0.21873180554420299</v>
      </c>
      <c r="AX268" s="2">
        <v>2.0116802765715899E-3</v>
      </c>
      <c r="AY268" s="2">
        <v>3711.4144235707899</v>
      </c>
      <c r="AZ268" s="2">
        <v>0.209548691441757</v>
      </c>
      <c r="BA268" s="2">
        <v>2.8103680198518499</v>
      </c>
      <c r="BB268" s="2">
        <v>837</v>
      </c>
    </row>
    <row r="269" spans="1:54" ht="13" x14ac:dyDescent="0.15">
      <c r="A269" s="1" t="s">
        <v>816</v>
      </c>
      <c r="B269" s="1" t="s">
        <v>817</v>
      </c>
      <c r="C269" s="4" t="s">
        <v>818</v>
      </c>
      <c r="D269" s="1" t="s">
        <v>14</v>
      </c>
      <c r="E269" s="2">
        <v>16219</v>
      </c>
      <c r="F269" s="2">
        <v>7351</v>
      </c>
      <c r="G269" s="2">
        <v>21451</v>
      </c>
      <c r="H269" s="2">
        <f t="shared" si="2"/>
        <v>45021</v>
      </c>
      <c r="I269" s="2">
        <v>51619</v>
      </c>
      <c r="J269" s="2">
        <v>1478532</v>
      </c>
      <c r="K269" s="2">
        <f t="shared" si="3"/>
        <v>3.0449797501846426E-2</v>
      </c>
      <c r="M269" s="2">
        <v>0.71068744294307196</v>
      </c>
      <c r="N269" s="2">
        <v>0.63867398667680997</v>
      </c>
      <c r="O269" s="2">
        <v>23.993739342297701</v>
      </c>
      <c r="P269" s="2">
        <v>37.568054817988603</v>
      </c>
      <c r="Q269" s="2">
        <v>46.270941205037097</v>
      </c>
      <c r="R269" s="2">
        <v>26.699144814941501</v>
      </c>
      <c r="S269" s="2">
        <v>0.60231542029415097</v>
      </c>
      <c r="T269" s="2">
        <v>5136.3695045581298</v>
      </c>
      <c r="U269" s="2">
        <v>362</v>
      </c>
      <c r="V269" s="2">
        <v>661</v>
      </c>
      <c r="W269" s="2">
        <v>485.48793894168398</v>
      </c>
      <c r="X269" s="2">
        <v>38649.805201398704</v>
      </c>
      <c r="Y269" s="2">
        <v>-930.24427597780198</v>
      </c>
      <c r="Z269" s="2">
        <v>93.024765236727106</v>
      </c>
      <c r="AA269" s="2">
        <v>18.6540778586538</v>
      </c>
      <c r="AB269" s="2">
        <v>0.66631219259006502</v>
      </c>
      <c r="AC269" s="2">
        <v>2.58908675941632</v>
      </c>
      <c r="AD269" s="2">
        <v>2.9224021048148399</v>
      </c>
      <c r="AE269" s="2">
        <v>0.45542199456349097</v>
      </c>
      <c r="AF269" s="2">
        <v>0.38881065669999898</v>
      </c>
      <c r="AG269" s="2">
        <v>0.98627241799699195</v>
      </c>
      <c r="AH269" s="2">
        <v>0.93577297362390899</v>
      </c>
      <c r="AI269" s="2">
        <v>-0.17932667000081901</v>
      </c>
      <c r="AJ269" s="2">
        <v>0.87400818708236805</v>
      </c>
      <c r="AK269" s="2">
        <v>8.2248497997280193E-3</v>
      </c>
      <c r="AL269" s="2">
        <v>7.7611521975390696</v>
      </c>
      <c r="AM269" s="2">
        <v>7.5674583451988404</v>
      </c>
      <c r="AN269" s="2">
        <v>1681.5012639496899</v>
      </c>
      <c r="AO269" s="2">
        <v>0.103674780439589</v>
      </c>
      <c r="AP269" s="2">
        <v>1026.98631234971</v>
      </c>
      <c r="AQ269" s="2">
        <v>27.057529899502999</v>
      </c>
      <c r="AR269" s="2">
        <v>483.07842653677801</v>
      </c>
      <c r="AS269" s="2">
        <v>36.669770022812799</v>
      </c>
      <c r="AT269" s="2">
        <v>19805.308157099698</v>
      </c>
      <c r="AU269" s="2">
        <v>0.13796907069832801</v>
      </c>
      <c r="AV269" s="2">
        <v>4.9599731687061102E-3</v>
      </c>
      <c r="AW269" s="2">
        <v>1.3658254758897199</v>
      </c>
      <c r="AX269" s="2">
        <v>8.0623330215088499E-4</v>
      </c>
      <c r="AY269" s="2">
        <v>749.29977989671102</v>
      </c>
      <c r="AZ269" s="2">
        <v>7.63955691335228E-2</v>
      </c>
      <c r="BA269" s="2">
        <v>0.36571484170824903</v>
      </c>
      <c r="BB269" s="2">
        <v>141</v>
      </c>
    </row>
    <row r="270" spans="1:54" ht="13" x14ac:dyDescent="0.15">
      <c r="A270" s="1" t="s">
        <v>819</v>
      </c>
      <c r="B270" s="1" t="s">
        <v>820</v>
      </c>
      <c r="C270" s="4" t="s">
        <v>821</v>
      </c>
      <c r="D270" s="1" t="s">
        <v>14</v>
      </c>
      <c r="E270" s="2">
        <v>24662</v>
      </c>
      <c r="F270" s="2">
        <v>14727</v>
      </c>
      <c r="G270" s="2">
        <v>45292</v>
      </c>
      <c r="H270" s="2">
        <f t="shared" si="2"/>
        <v>84681</v>
      </c>
      <c r="I270" s="2">
        <v>117810</v>
      </c>
      <c r="J270" s="2">
        <v>1558740</v>
      </c>
      <c r="K270" s="2">
        <f t="shared" si="3"/>
        <v>5.432657146156511E-2</v>
      </c>
      <c r="M270" s="2">
        <v>0.72143574223460905</v>
      </c>
      <c r="N270" s="2">
        <v>0.45685516299013201</v>
      </c>
      <c r="O270" s="2">
        <v>24.1747929080746</v>
      </c>
      <c r="P270" s="2">
        <v>52.9156609500697</v>
      </c>
      <c r="Q270" s="2">
        <v>52.773099207835003</v>
      </c>
      <c r="R270" s="2">
        <v>38.175249133348501</v>
      </c>
      <c r="S270" s="2">
        <v>0.46225333602836999</v>
      </c>
      <c r="T270" s="2">
        <v>8824.2911932983006</v>
      </c>
      <c r="U270" s="2">
        <v>994</v>
      </c>
      <c r="V270" s="2">
        <v>1561.9</v>
      </c>
      <c r="W270" s="2">
        <v>1894.9909195923699</v>
      </c>
      <c r="X270" s="2">
        <v>776346.47191309498</v>
      </c>
      <c r="Y270" s="2">
        <v>5311.8376810010996</v>
      </c>
      <c r="Z270" s="2">
        <v>357.768066026192</v>
      </c>
      <c r="AA270" s="2">
        <v>27.091947684582799</v>
      </c>
      <c r="AB270" s="2">
        <v>0.858089117508407</v>
      </c>
      <c r="AC270" s="2">
        <v>3.63137886612469</v>
      </c>
      <c r="AD270" s="2">
        <v>3.4120088218085201</v>
      </c>
      <c r="AE270" s="2">
        <v>0.36585530918325498</v>
      </c>
      <c r="AF270" s="2">
        <v>0.28357261682471202</v>
      </c>
      <c r="AG270" s="2">
        <v>0.99642064110467699</v>
      </c>
      <c r="AH270" s="2">
        <v>0.96102117935721498</v>
      </c>
      <c r="AI270" s="2">
        <v>-0.20767927886329901</v>
      </c>
      <c r="AJ270" s="2">
        <v>0.93640291304572199</v>
      </c>
      <c r="AK270" s="2">
        <v>2.4955177798594102E-3</v>
      </c>
      <c r="AL270" s="2">
        <v>9.3402207313439902</v>
      </c>
      <c r="AM270" s="2">
        <v>8.2412926054433093</v>
      </c>
      <c r="AN270" s="2">
        <v>3548.6065201524598</v>
      </c>
      <c r="AO270" s="2">
        <v>0.14388964885866801</v>
      </c>
      <c r="AP270" s="2">
        <v>769.52493715027197</v>
      </c>
      <c r="AQ270" s="2">
        <v>110.21391971872301</v>
      </c>
      <c r="AR270" s="2">
        <v>1896.5598086124401</v>
      </c>
      <c r="AS270" s="2">
        <v>20.338983050847499</v>
      </c>
      <c r="AT270" s="2">
        <v>43302.650393317701</v>
      </c>
      <c r="AU270" s="2">
        <v>1.1638835042783201E-2</v>
      </c>
      <c r="AV270" s="2">
        <v>8.6289896972755495E-4</v>
      </c>
      <c r="AW270" s="2">
        <v>0.32570309276224402</v>
      </c>
      <c r="AX270" s="2">
        <v>6.4527350749603904E-4</v>
      </c>
      <c r="AY270" s="2">
        <v>7425.5528251364703</v>
      </c>
      <c r="AZ270" s="2">
        <v>6.8788920656049204E-2</v>
      </c>
      <c r="BA270" s="2">
        <v>2.2256422429248399</v>
      </c>
      <c r="BB270" s="2">
        <v>465</v>
      </c>
    </row>
    <row r="271" spans="1:54" ht="13" x14ac:dyDescent="0.15">
      <c r="A271" s="1" t="s">
        <v>822</v>
      </c>
      <c r="B271" s="1" t="s">
        <v>823</v>
      </c>
      <c r="C271" s="4" t="s">
        <v>824</v>
      </c>
      <c r="D271" s="1" t="s">
        <v>14</v>
      </c>
      <c r="E271" s="2">
        <v>9650</v>
      </c>
      <c r="F271" s="2">
        <v>107468</v>
      </c>
      <c r="G271" s="2">
        <v>31479</v>
      </c>
      <c r="H271" s="2">
        <f t="shared" si="2"/>
        <v>148597</v>
      </c>
      <c r="I271" s="2">
        <v>191234</v>
      </c>
      <c r="J271" s="2">
        <v>1471923</v>
      </c>
      <c r="K271" s="2">
        <f t="shared" si="3"/>
        <v>0.10095432981208935</v>
      </c>
      <c r="M271" s="2">
        <v>0.80157070657799501</v>
      </c>
      <c r="N271" s="2">
        <v>0.69336819786363901</v>
      </c>
      <c r="O271" s="2">
        <v>24.9500865597048</v>
      </c>
      <c r="P271" s="2">
        <v>35.983892305097598</v>
      </c>
      <c r="Q271" s="2">
        <v>47.0744091837593</v>
      </c>
      <c r="R271" s="2">
        <v>28.843633980423601</v>
      </c>
      <c r="S271" s="2">
        <v>0.26906738648263401</v>
      </c>
      <c r="T271" s="2">
        <v>8033.9913746115799</v>
      </c>
      <c r="U271" s="2">
        <v>780</v>
      </c>
      <c r="V271" s="2">
        <v>1246</v>
      </c>
      <c r="W271" s="2">
        <v>784.23159222991205</v>
      </c>
      <c r="X271" s="2">
        <v>127063.952001304</v>
      </c>
      <c r="Y271" s="2">
        <v>1075.31023420721</v>
      </c>
      <c r="Z271" s="2">
        <v>195.116589170401</v>
      </c>
      <c r="AA271" s="2">
        <v>20.391893635798699</v>
      </c>
      <c r="AB271" s="2">
        <v>0.810629739362142</v>
      </c>
      <c r="AC271" s="2">
        <v>3.3391709624541299</v>
      </c>
      <c r="AD271" s="2">
        <v>3.2640999474469101</v>
      </c>
      <c r="AE271" s="2">
        <v>0.36113322521196001</v>
      </c>
      <c r="AF271" s="2">
        <v>0.27388280079724697</v>
      </c>
      <c r="AG271" s="2">
        <v>0.99514050591743797</v>
      </c>
      <c r="AH271" s="2">
        <v>0.95221915759347897</v>
      </c>
      <c r="AI271" s="2">
        <v>-0.18933672736469401</v>
      </c>
      <c r="AJ271" s="2">
        <v>0.91368374952727505</v>
      </c>
      <c r="AK271" s="2">
        <v>3.11841036223006E-3</v>
      </c>
      <c r="AL271" s="2">
        <v>8.8568248715638607</v>
      </c>
      <c r="AM271" s="2">
        <v>7.4984483370104096</v>
      </c>
      <c r="AN271" s="2">
        <v>1721.82176165803</v>
      </c>
      <c r="AO271" s="2">
        <v>0.17842712556041801</v>
      </c>
      <c r="AP271" s="2">
        <v>386.44497409326402</v>
      </c>
      <c r="AQ271" s="2">
        <v>54.3642503154447</v>
      </c>
      <c r="AR271" s="2">
        <v>764.40725388601004</v>
      </c>
      <c r="AS271" s="2">
        <v>12.859274611399</v>
      </c>
      <c r="AT271" s="2">
        <v>9537.2306735751299</v>
      </c>
      <c r="AU271" s="2">
        <v>2.2644832553229199E-2</v>
      </c>
      <c r="AV271" s="2">
        <v>1.9961160821033298E-3</v>
      </c>
      <c r="AW271" s="2">
        <v>0.33122364965019302</v>
      </c>
      <c r="AX271" s="2">
        <v>1.3930708051881199E-3</v>
      </c>
      <c r="AY271" s="2">
        <v>3881.10816093004</v>
      </c>
      <c r="AZ271" s="2">
        <v>5.5883423989505902E-2</v>
      </c>
      <c r="BA271" s="2">
        <v>2.7514770267235198</v>
      </c>
      <c r="BB271" s="2">
        <v>109</v>
      </c>
    </row>
    <row r="272" spans="1:54" ht="13" x14ac:dyDescent="0.15">
      <c r="A272" s="1" t="s">
        <v>825</v>
      </c>
      <c r="B272" s="1" t="s">
        <v>826</v>
      </c>
      <c r="C272" s="4" t="s">
        <v>827</v>
      </c>
      <c r="D272" s="1" t="s">
        <v>14</v>
      </c>
      <c r="E272" s="2">
        <v>14763</v>
      </c>
      <c r="F272" s="2">
        <v>129745</v>
      </c>
      <c r="G272" s="2">
        <v>30438</v>
      </c>
      <c r="H272" s="2">
        <f t="shared" si="2"/>
        <v>174946</v>
      </c>
      <c r="I272" s="2">
        <v>267137</v>
      </c>
      <c r="J272" s="2">
        <v>1660769</v>
      </c>
      <c r="K272" s="2">
        <f t="shared" si="3"/>
        <v>0.10534035738865549</v>
      </c>
      <c r="M272" s="2">
        <v>0.65607980742766703</v>
      </c>
      <c r="N272" s="2">
        <v>0.43211299879961501</v>
      </c>
      <c r="O272" s="2">
        <v>21.952362559913801</v>
      </c>
      <c r="P272" s="2">
        <v>50.8023656332862</v>
      </c>
      <c r="Q272" s="2">
        <v>38.327535793473601</v>
      </c>
      <c r="R272" s="2">
        <v>33.330406261556398</v>
      </c>
      <c r="S272" s="2">
        <v>0.26568058842571002</v>
      </c>
      <c r="T272" s="2">
        <v>10903.829156829301</v>
      </c>
      <c r="U272" s="2">
        <v>721</v>
      </c>
      <c r="V272" s="2">
        <v>1190</v>
      </c>
      <c r="W272" s="2">
        <v>1128.2944478587999</v>
      </c>
      <c r="X272" s="2">
        <v>161289.15721153401</v>
      </c>
      <c r="Y272" s="2">
        <v>664.86816827608197</v>
      </c>
      <c r="Z272" s="2">
        <v>200.735427624235</v>
      </c>
      <c r="AA272" s="2">
        <v>33.830927292173897</v>
      </c>
      <c r="AB272" s="2">
        <v>0.71130947125956001</v>
      </c>
      <c r="AC272" s="2">
        <v>4.2670934812695798</v>
      </c>
      <c r="AD272" s="2">
        <v>3.6003641814084899</v>
      </c>
      <c r="AE272" s="2">
        <v>0.32071348358493001</v>
      </c>
      <c r="AF272" s="2">
        <v>0.23132571440836899</v>
      </c>
      <c r="AG272" s="2">
        <v>0.99430791610746105</v>
      </c>
      <c r="AH272" s="2">
        <v>0.94896750223487003</v>
      </c>
      <c r="AI272" s="2">
        <v>-0.132200804066992</v>
      </c>
      <c r="AJ272" s="2">
        <v>0.84426730273657302</v>
      </c>
      <c r="AK272" s="2">
        <v>2.66325298119873E-3</v>
      </c>
      <c r="AL272" s="2">
        <v>9.2454090453131901</v>
      </c>
      <c r="AM272" s="2">
        <v>7.4075912822913397</v>
      </c>
      <c r="AN272" s="2">
        <v>2969.4698232066698</v>
      </c>
      <c r="AO272" s="2">
        <v>0.20114270969360301</v>
      </c>
      <c r="AP272" s="2">
        <v>599.03454582402003</v>
      </c>
      <c r="AQ272" s="2">
        <v>59.124946059501497</v>
      </c>
      <c r="AR272" s="2">
        <v>1158.56194540405</v>
      </c>
      <c r="AS272" s="2">
        <v>10.5169003590056</v>
      </c>
      <c r="AT272" s="2">
        <v>11756.005148005101</v>
      </c>
      <c r="AU272" s="2">
        <v>1.1211814561524199E-2</v>
      </c>
      <c r="AV272" s="2">
        <v>1.2162892511436701E-3</v>
      </c>
      <c r="AW272" s="2">
        <v>0.378981646564717</v>
      </c>
      <c r="AX272" s="2">
        <v>7.8330221389966604E-4</v>
      </c>
      <c r="AY272" s="2">
        <v>6431.6756086154601</v>
      </c>
      <c r="AZ272" s="2">
        <v>5.6174514204210997E-2</v>
      </c>
      <c r="BA272" s="2">
        <v>2.1326449526189601</v>
      </c>
      <c r="BB272" s="2">
        <v>729</v>
      </c>
    </row>
    <row r="273" spans="1:54" ht="13" x14ac:dyDescent="0.15">
      <c r="A273" s="1" t="s">
        <v>828</v>
      </c>
      <c r="B273" s="1" t="s">
        <v>829</v>
      </c>
      <c r="C273" s="4" t="s">
        <v>830</v>
      </c>
      <c r="D273" s="1" t="s">
        <v>14</v>
      </c>
      <c r="E273" s="2">
        <v>0</v>
      </c>
      <c r="F273" s="2">
        <v>27508</v>
      </c>
      <c r="G273" s="2">
        <v>2055</v>
      </c>
      <c r="H273" s="2">
        <f t="shared" si="2"/>
        <v>29563</v>
      </c>
      <c r="I273" s="2">
        <v>59982</v>
      </c>
      <c r="J273" s="2">
        <v>1343883</v>
      </c>
      <c r="K273" s="2">
        <f t="shared" si="3"/>
        <v>2.1998194783325632E-2</v>
      </c>
      <c r="M273" s="2">
        <v>0.478531254195245</v>
      </c>
      <c r="N273" s="2">
        <v>0.32953825237370798</v>
      </c>
      <c r="O273" s="2">
        <v>27.400440539913198</v>
      </c>
      <c r="P273" s="2">
        <v>83.147981584972797</v>
      </c>
      <c r="Q273" s="2">
        <v>64.899922958351794</v>
      </c>
      <c r="R273" s="2">
        <v>39.788907911660203</v>
      </c>
      <c r="S273" s="2">
        <v>0.44602259890389301</v>
      </c>
      <c r="T273" s="2">
        <v>9859.3865268693899</v>
      </c>
      <c r="U273" s="2">
        <v>373</v>
      </c>
      <c r="V273" s="2">
        <v>511</v>
      </c>
      <c r="W273" s="2">
        <v>241.45600524745899</v>
      </c>
      <c r="X273" s="2">
        <v>1831.6556628446799</v>
      </c>
      <c r="Y273" s="2">
        <v>22.7454043396007</v>
      </c>
      <c r="Z273" s="2">
        <v>16.217168529581802</v>
      </c>
      <c r="AA273" s="2">
        <v>3.9436193415804799</v>
      </c>
      <c r="AB273" s="2">
        <v>0.60720898391247102</v>
      </c>
      <c r="AC273" s="2">
        <v>1.2345244971501601</v>
      </c>
      <c r="AD273" s="2">
        <v>2.0653292121053699</v>
      </c>
      <c r="AE273" s="2">
        <v>0.59279204819856401</v>
      </c>
      <c r="AF273" s="2">
        <v>0.55556375221670395</v>
      </c>
      <c r="AG273" s="2">
        <v>0.99804229662678701</v>
      </c>
      <c r="AH273" s="2">
        <v>0.97372441859151904</v>
      </c>
      <c r="AI273" s="2">
        <v>-0.178493302277551</v>
      </c>
      <c r="AJ273" s="2">
        <v>0.81164302426375601</v>
      </c>
      <c r="AK273" s="2">
        <v>2.8956343343933901E-2</v>
      </c>
      <c r="AL273" s="2">
        <v>5.7165230920870602</v>
      </c>
      <c r="AM273" s="2">
        <v>7.1189740140532498</v>
      </c>
      <c r="AN273" s="2">
        <v>1838.3502253889801</v>
      </c>
      <c r="AO273" s="2">
        <v>6.6829657750071894E-2</v>
      </c>
      <c r="AP273" s="2">
        <v>3500.6221462847202</v>
      </c>
      <c r="AQ273" s="2">
        <v>5.77780477899866</v>
      </c>
      <c r="AR273" s="2">
        <v>240.555329358732</v>
      </c>
      <c r="AS273" s="2">
        <v>82.851243274683696</v>
      </c>
      <c r="AT273" s="2">
        <v>20272.3314672095</v>
      </c>
      <c r="AU273" s="2">
        <v>0.35903867050097299</v>
      </c>
      <c r="AV273" s="2">
        <v>4.6822078195975303E-3</v>
      </c>
      <c r="AW273" s="2">
        <v>2.2527256698553102</v>
      </c>
      <c r="AX273" s="2">
        <v>4.1611723685178198E-4</v>
      </c>
      <c r="AY273" s="2">
        <v>797.68360329342602</v>
      </c>
      <c r="AZ273" s="2">
        <v>5.8699083203720397E-3</v>
      </c>
      <c r="BA273" s="2">
        <v>0.67983228120203298</v>
      </c>
      <c r="BB273" s="2">
        <v>512</v>
      </c>
    </row>
    <row r="274" spans="1:54" ht="13" x14ac:dyDescent="0.15">
      <c r="A274" s="1" t="s">
        <v>831</v>
      </c>
      <c r="B274" s="1" t="s">
        <v>832</v>
      </c>
      <c r="C274" s="4" t="s">
        <v>833</v>
      </c>
      <c r="D274" s="1" t="s">
        <v>14</v>
      </c>
      <c r="E274" s="2">
        <v>12128</v>
      </c>
      <c r="F274" s="2">
        <v>20792</v>
      </c>
      <c r="G274" s="2">
        <v>22898</v>
      </c>
      <c r="H274" s="2">
        <f t="shared" si="2"/>
        <v>55818</v>
      </c>
      <c r="I274" s="2">
        <v>70764</v>
      </c>
      <c r="J274" s="2">
        <v>1516526</v>
      </c>
      <c r="K274" s="2">
        <f t="shared" si="3"/>
        <v>3.6806490623965564E-2</v>
      </c>
      <c r="M274" s="2">
        <v>0.80079015751009097</v>
      </c>
      <c r="N274" s="2">
        <v>0.62479098116288401</v>
      </c>
      <c r="O274" s="2">
        <v>22.630802774176502</v>
      </c>
      <c r="P274" s="2">
        <v>36.221397965852901</v>
      </c>
      <c r="Q274" s="2">
        <v>40.853396431630998</v>
      </c>
      <c r="R274" s="2">
        <v>29.005738982311001</v>
      </c>
      <c r="S274" s="2">
        <v>0.47141237471599701</v>
      </c>
      <c r="T274" s="2">
        <v>5387.7272382987803</v>
      </c>
      <c r="U274" s="2">
        <v>806</v>
      </c>
      <c r="V274" s="2">
        <v>1277</v>
      </c>
      <c r="W274" s="2">
        <v>1764.4293257577599</v>
      </c>
      <c r="X274" s="2">
        <v>218145.455778498</v>
      </c>
      <c r="Y274" s="2">
        <v>-1182.5620686377399</v>
      </c>
      <c r="Z274" s="2">
        <v>219.47484043391401</v>
      </c>
      <c r="AA274" s="2">
        <v>36.536068441446197</v>
      </c>
      <c r="AB274" s="2">
        <v>0.71409608008591996</v>
      </c>
      <c r="AC274" s="2">
        <v>4.2226627681869102</v>
      </c>
      <c r="AD274" s="2">
        <v>3.59581494961561</v>
      </c>
      <c r="AE274" s="2">
        <v>0.33234003421227798</v>
      </c>
      <c r="AF274" s="2">
        <v>0.24525956459032899</v>
      </c>
      <c r="AG274" s="2">
        <v>0.99396533808995102</v>
      </c>
      <c r="AH274" s="2">
        <v>0.94981932350387899</v>
      </c>
      <c r="AI274" s="2">
        <v>-0.14941159197713</v>
      </c>
      <c r="AJ274" s="2">
        <v>0.87124962922078797</v>
      </c>
      <c r="AK274" s="2">
        <v>2.5644157145371998E-3</v>
      </c>
      <c r="AL274" s="2">
        <v>9.2399260473868203</v>
      </c>
      <c r="AM274" s="2">
        <v>7.6562714437457702</v>
      </c>
      <c r="AN274" s="2">
        <v>2084.68618073879</v>
      </c>
      <c r="AO274" s="2">
        <v>0.17189035131421401</v>
      </c>
      <c r="AP274" s="2">
        <v>464.60026385224302</v>
      </c>
      <c r="AQ274" s="2">
        <v>63.910719795520997</v>
      </c>
      <c r="AR274" s="2">
        <v>1743.1194755936699</v>
      </c>
      <c r="AS274" s="2">
        <v>14.110323218997401</v>
      </c>
      <c r="AT274" s="2">
        <v>25087.183294854902</v>
      </c>
      <c r="AU274" s="2">
        <v>1.02816446995745E-2</v>
      </c>
      <c r="AV274" s="2">
        <v>9.3827120070736399E-4</v>
      </c>
      <c r="AW274" s="2">
        <v>0.23804276222603801</v>
      </c>
      <c r="AX274" s="2">
        <v>1.0111459834468101E-3</v>
      </c>
      <c r="AY274" s="2">
        <v>6168.1784116345198</v>
      </c>
      <c r="AZ274" s="2">
        <v>6.0188179099929899E-2</v>
      </c>
      <c r="BA274" s="2">
        <v>2.5623048617014601</v>
      </c>
      <c r="BB274" s="2">
        <v>961</v>
      </c>
    </row>
    <row r="275" spans="1:54" ht="13" x14ac:dyDescent="0.15">
      <c r="A275" s="1" t="s">
        <v>834</v>
      </c>
      <c r="B275" s="1" t="s">
        <v>835</v>
      </c>
      <c r="C275" s="4" t="s">
        <v>836</v>
      </c>
      <c r="D275" s="1" t="s">
        <v>14</v>
      </c>
      <c r="E275" s="2">
        <v>18988</v>
      </c>
      <c r="F275" s="2">
        <v>60232</v>
      </c>
      <c r="G275" s="2">
        <v>20614</v>
      </c>
      <c r="H275" s="2">
        <f t="shared" si="2"/>
        <v>99834</v>
      </c>
      <c r="I275" s="2">
        <v>119832</v>
      </c>
      <c r="J275" s="2">
        <v>1643125</v>
      </c>
      <c r="K275" s="2">
        <f t="shared" si="3"/>
        <v>6.0758615443134274E-2</v>
      </c>
      <c r="M275" s="2">
        <v>0.81700759728137995</v>
      </c>
      <c r="N275" s="2">
        <v>0.56278226498031902</v>
      </c>
      <c r="O275" s="2">
        <v>24.150626896810302</v>
      </c>
      <c r="P275" s="2">
        <v>42.9129139271204</v>
      </c>
      <c r="Q275" s="2">
        <v>42.190046219457997</v>
      </c>
      <c r="R275" s="2">
        <v>35.060176699939298</v>
      </c>
      <c r="S275" s="2">
        <v>0.51398204499048294</v>
      </c>
      <c r="T275" s="2">
        <v>6679.13154619544</v>
      </c>
      <c r="U275" s="2">
        <v>1111</v>
      </c>
      <c r="V275" s="2">
        <v>2051</v>
      </c>
      <c r="W275" s="2">
        <v>3891.41820774805</v>
      </c>
      <c r="X275" s="2">
        <v>1430896.0391327101</v>
      </c>
      <c r="Y275" s="2">
        <v>6129.5659598152597</v>
      </c>
      <c r="Z275" s="2">
        <v>711.83212949695996</v>
      </c>
      <c r="AA275" s="2">
        <v>77.084364746770206</v>
      </c>
      <c r="AB275" s="2">
        <v>0.80441610863353497</v>
      </c>
      <c r="AC275" s="2">
        <v>6.4081403858678199</v>
      </c>
      <c r="AD275" s="2">
        <v>4.1589396250988502</v>
      </c>
      <c r="AE275" s="2">
        <v>0.25543184477096598</v>
      </c>
      <c r="AF275" s="2">
        <v>0.16678971819164101</v>
      </c>
      <c r="AG275" s="2">
        <v>0.99243521954597602</v>
      </c>
      <c r="AH275" s="2">
        <v>0.94199372406745996</v>
      </c>
      <c r="AI275" s="2">
        <v>-0.15779881559407</v>
      </c>
      <c r="AJ275" s="2">
        <v>0.91033359750716203</v>
      </c>
      <c r="AK275" s="2">
        <v>9.2374628108992198E-4</v>
      </c>
      <c r="AL275" s="2">
        <v>10.6434984893353</v>
      </c>
      <c r="AM275" s="2">
        <v>7.9951274970218398</v>
      </c>
      <c r="AN275" s="2">
        <v>4592.6791657889198</v>
      </c>
      <c r="AO275" s="2">
        <v>0.24187271781066599</v>
      </c>
      <c r="AP275" s="2">
        <v>403.63903518011398</v>
      </c>
      <c r="AQ275" s="2">
        <v>198.31729729883</v>
      </c>
      <c r="AR275" s="2">
        <v>3836.41842216137</v>
      </c>
      <c r="AS275" s="2">
        <v>7.7720665683589596</v>
      </c>
      <c r="AT275" s="2">
        <v>30838.0574573415</v>
      </c>
      <c r="AU275" s="2">
        <v>2.5530161127504301E-3</v>
      </c>
      <c r="AV275" s="2">
        <v>4.4115771346201702E-4</v>
      </c>
      <c r="AW275" s="2">
        <v>0.21024960012751701</v>
      </c>
      <c r="AX275" s="2">
        <v>7.2017663532434901E-4</v>
      </c>
      <c r="AY275" s="2">
        <v>16969.680090242698</v>
      </c>
      <c r="AZ275" s="2">
        <v>0.15685017514555</v>
      </c>
      <c r="BA275" s="2">
        <v>3.04787880636436</v>
      </c>
      <c r="BB275" s="2">
        <v>799</v>
      </c>
    </row>
    <row r="276" spans="1:54" ht="13" x14ac:dyDescent="0.15">
      <c r="A276" s="1" t="s">
        <v>837</v>
      </c>
      <c r="B276" s="1" t="s">
        <v>838</v>
      </c>
      <c r="C276" s="4" t="s">
        <v>839</v>
      </c>
      <c r="D276" s="1" t="s">
        <v>14</v>
      </c>
      <c r="E276" s="2">
        <v>1120</v>
      </c>
      <c r="F276" s="2">
        <v>28009</v>
      </c>
      <c r="G276" s="2">
        <v>5322</v>
      </c>
      <c r="H276" s="2">
        <f t="shared" si="2"/>
        <v>34451</v>
      </c>
      <c r="I276" s="2">
        <v>53986</v>
      </c>
      <c r="J276" s="2">
        <v>1350679</v>
      </c>
      <c r="K276" s="2">
        <f t="shared" si="3"/>
        <v>2.5506430469415753E-2</v>
      </c>
      <c r="M276" s="2">
        <v>0.95572345372704004</v>
      </c>
      <c r="N276" s="2">
        <v>0.646094059479835</v>
      </c>
      <c r="O276" s="2">
        <v>9.5171294199808401</v>
      </c>
      <c r="P276" s="2">
        <v>14.730253715137</v>
      </c>
      <c r="Q276" s="2">
        <v>21.954498400100199</v>
      </c>
      <c r="R276" s="2">
        <v>14.078048954906301</v>
      </c>
      <c r="S276" s="2">
        <v>0.721039601608087</v>
      </c>
      <c r="T276" s="2">
        <v>714.47739928388398</v>
      </c>
      <c r="U276" s="2">
        <v>703.9</v>
      </c>
      <c r="V276" s="2">
        <v>1523</v>
      </c>
      <c r="W276" s="2">
        <v>818.17866824390501</v>
      </c>
      <c r="X276" s="2">
        <v>555865.78080664796</v>
      </c>
      <c r="Y276" s="2">
        <v>3758.1943548171198</v>
      </c>
      <c r="Z276" s="2">
        <v>583.59315746435198</v>
      </c>
      <c r="AA276" s="2">
        <v>65.268857764779696</v>
      </c>
      <c r="AB276" s="2">
        <v>0.79897192774799297</v>
      </c>
      <c r="AC276" s="2">
        <v>5.7875124204703496</v>
      </c>
      <c r="AD276" s="2">
        <v>3.9887009124396799</v>
      </c>
      <c r="AE276" s="2">
        <v>0.282761134812125</v>
      </c>
      <c r="AF276" s="2">
        <v>0.195307301791249</v>
      </c>
      <c r="AG276" s="2">
        <v>0.97734962540891701</v>
      </c>
      <c r="AH276" s="2">
        <v>0.90591621949635104</v>
      </c>
      <c r="AI276" s="2">
        <v>-0.256864429163701</v>
      </c>
      <c r="AJ276" s="2">
        <v>0.96555961599984197</v>
      </c>
      <c r="AK276" s="2">
        <v>2.2578441400569701E-3</v>
      </c>
      <c r="AL276" s="2">
        <v>9.22304287615448</v>
      </c>
      <c r="AM276" s="2">
        <v>7.3011117202075599</v>
      </c>
      <c r="AN276" s="2">
        <v>246.453571428571</v>
      </c>
      <c r="AO276" s="2">
        <v>0.22004783163265301</v>
      </c>
      <c r="AP276" s="2">
        <v>33.583928571428601</v>
      </c>
      <c r="AQ276" s="2">
        <v>157.14040098852001</v>
      </c>
      <c r="AR276" s="2">
        <v>758.65982142857104</v>
      </c>
      <c r="AS276" s="2">
        <v>8.7892857142857199</v>
      </c>
      <c r="AT276" s="2">
        <v>7119.8687499999996</v>
      </c>
      <c r="AU276" s="2">
        <v>3.53351533952505E-2</v>
      </c>
      <c r="AV276" s="2">
        <v>5.0888204860337497E-3</v>
      </c>
      <c r="AW276" s="2">
        <v>0.10358200669008299</v>
      </c>
      <c r="AX276" s="2">
        <v>9.7420036012644193E-3</v>
      </c>
      <c r="AY276" s="2">
        <v>3396.5351603408599</v>
      </c>
      <c r="AZ276" s="2">
        <v>0.402420843090186</v>
      </c>
      <c r="BA276" s="2">
        <v>10.4868285335272</v>
      </c>
      <c r="BB276" s="2">
        <v>86</v>
      </c>
    </row>
    <row r="277" spans="1:54" ht="13" x14ac:dyDescent="0.15">
      <c r="A277" s="1" t="s">
        <v>840</v>
      </c>
      <c r="B277" s="1" t="s">
        <v>841</v>
      </c>
      <c r="C277" s="4" t="s">
        <v>842</v>
      </c>
      <c r="D277" s="1" t="s">
        <v>14</v>
      </c>
      <c r="E277" s="2">
        <v>22075</v>
      </c>
      <c r="F277" s="2">
        <v>130686</v>
      </c>
      <c r="G277" s="2">
        <v>21589</v>
      </c>
      <c r="H277" s="2">
        <f t="shared" si="2"/>
        <v>174350</v>
      </c>
      <c r="I277" s="2">
        <v>261520</v>
      </c>
      <c r="J277" s="2">
        <v>1551965</v>
      </c>
      <c r="K277" s="2">
        <f t="shared" si="3"/>
        <v>0.11234145099921712</v>
      </c>
      <c r="M277" s="2">
        <v>0.80261998920556499</v>
      </c>
      <c r="N277" s="2">
        <v>0.71958815138253895</v>
      </c>
      <c r="O277" s="2">
        <v>28.771253843778599</v>
      </c>
      <c r="P277" s="2">
        <v>39.982945506399098</v>
      </c>
      <c r="Q277" s="2">
        <v>44.821869662029897</v>
      </c>
      <c r="R277" s="2">
        <v>32.091111290752799</v>
      </c>
      <c r="S277" s="2">
        <v>0.59128325179703201</v>
      </c>
      <c r="T277" s="2">
        <v>6418.6046174112398</v>
      </c>
      <c r="U277" s="2">
        <v>657</v>
      </c>
      <c r="V277" s="2">
        <v>1079</v>
      </c>
      <c r="W277" s="2">
        <v>599.74347596428197</v>
      </c>
      <c r="X277" s="2">
        <v>57331.305437683797</v>
      </c>
      <c r="Y277" s="2">
        <v>432.312764313412</v>
      </c>
      <c r="Z277" s="2">
        <v>146.318406513371</v>
      </c>
      <c r="AA277" s="2">
        <v>15.105215019250799</v>
      </c>
      <c r="AB277" s="2">
        <v>0.812608476749063</v>
      </c>
      <c r="AC277" s="2">
        <v>2.7495349404956202</v>
      </c>
      <c r="AD277" s="2">
        <v>3.0461177138122699</v>
      </c>
      <c r="AE277" s="2">
        <v>0.41681522044568797</v>
      </c>
      <c r="AF277" s="2">
        <v>0.34060271575363898</v>
      </c>
      <c r="AG277" s="2">
        <v>0.99341119645406895</v>
      </c>
      <c r="AH277" s="2">
        <v>0.94736562693297599</v>
      </c>
      <c r="AI277" s="2">
        <v>-0.19781727385077399</v>
      </c>
      <c r="AJ277" s="2">
        <v>0.91164744734668601</v>
      </c>
      <c r="AK277" s="2">
        <v>4.1659199550155204E-3</v>
      </c>
      <c r="AL277" s="2">
        <v>8.44588797888877</v>
      </c>
      <c r="AM277" s="2">
        <v>7.91207899229871</v>
      </c>
      <c r="AN277" s="2">
        <v>2639.9195922989802</v>
      </c>
      <c r="AO277" s="2">
        <v>0.119588656502785</v>
      </c>
      <c r="AP277" s="2">
        <v>968.45848244620595</v>
      </c>
      <c r="AQ277" s="2">
        <v>41.4936240147033</v>
      </c>
      <c r="AR277" s="2">
        <v>599.70301245753103</v>
      </c>
      <c r="AS277" s="2">
        <v>29.8057078142695</v>
      </c>
      <c r="AT277" s="2">
        <v>21542.033250283101</v>
      </c>
      <c r="AU277" s="2">
        <v>5.7412342908504999E-2</v>
      </c>
      <c r="AV277" s="2">
        <v>2.46187980532227E-3</v>
      </c>
      <c r="AW277" s="2">
        <v>1.18796969147186</v>
      </c>
      <c r="AX277" s="2">
        <v>6.7960389630574499E-4</v>
      </c>
      <c r="AY277" s="2">
        <v>1565.14321304958</v>
      </c>
      <c r="AZ277" s="2">
        <v>6.3329216521559997E-2</v>
      </c>
      <c r="BA277" s="2">
        <v>0.58234670795663601</v>
      </c>
      <c r="BB277" s="2">
        <v>361</v>
      </c>
    </row>
    <row r="278" spans="1:54" ht="13" x14ac:dyDescent="0.15">
      <c r="A278" s="1" t="s">
        <v>843</v>
      </c>
      <c r="B278" s="1" t="s">
        <v>844</v>
      </c>
      <c r="C278" s="4" t="s">
        <v>845</v>
      </c>
      <c r="D278" s="1" t="s">
        <v>14</v>
      </c>
      <c r="E278" s="2">
        <v>20808</v>
      </c>
      <c r="F278" s="2">
        <v>46447</v>
      </c>
      <c r="G278" s="2">
        <v>32047</v>
      </c>
      <c r="H278" s="2">
        <f t="shared" si="2"/>
        <v>99302</v>
      </c>
      <c r="I278" s="2">
        <v>129503</v>
      </c>
      <c r="J278" s="2">
        <v>1472960</v>
      </c>
      <c r="K278" s="2">
        <f t="shared" si="3"/>
        <v>6.7416630458396701E-2</v>
      </c>
      <c r="M278" s="2">
        <v>0.80989217899812205</v>
      </c>
      <c r="N278" s="2">
        <v>0.39480141665006402</v>
      </c>
      <c r="O278" s="2">
        <v>20.0946499183685</v>
      </c>
      <c r="P278" s="2">
        <v>50.898120095094697</v>
      </c>
      <c r="Q278" s="2">
        <v>48.703182647543699</v>
      </c>
      <c r="R278" s="2">
        <v>41.221989390724403</v>
      </c>
      <c r="S278" s="2">
        <v>0.395840037086098</v>
      </c>
      <c r="T278" s="2">
        <v>9199.0145630941206</v>
      </c>
      <c r="U278" s="2">
        <v>900</v>
      </c>
      <c r="V278" s="2">
        <v>1434.3</v>
      </c>
      <c r="W278" s="2">
        <v>788.490860083999</v>
      </c>
      <c r="X278" s="2">
        <v>112433.893070077</v>
      </c>
      <c r="Y278" s="2">
        <v>-745.40112079194103</v>
      </c>
      <c r="Z278" s="2">
        <v>243.71730206908501</v>
      </c>
      <c r="AA278" s="2">
        <v>10.9599224878125</v>
      </c>
      <c r="AB278" s="2">
        <v>0.91377893093458595</v>
      </c>
      <c r="AC278" s="2">
        <v>2.4277197510356099</v>
      </c>
      <c r="AD278" s="2">
        <v>2.86377706956777</v>
      </c>
      <c r="AE278" s="2">
        <v>0.42961745122891198</v>
      </c>
      <c r="AF278" s="2">
        <v>0.35331020388938</v>
      </c>
      <c r="AG278" s="2">
        <v>0.99423351207034905</v>
      </c>
      <c r="AH278" s="2">
        <v>0.948723884827949</v>
      </c>
      <c r="AI278" s="2">
        <v>-0.26591918897747402</v>
      </c>
      <c r="AJ278" s="2">
        <v>0.95952403913084405</v>
      </c>
      <c r="AK278" s="2">
        <v>3.7480536608680399E-3</v>
      </c>
      <c r="AL278" s="2">
        <v>8.4737187955376303</v>
      </c>
      <c r="AM278" s="2">
        <v>8.0329197411982705</v>
      </c>
      <c r="AN278" s="2">
        <v>2564.6613802383699</v>
      </c>
      <c r="AO278" s="2">
        <v>0.123253622656592</v>
      </c>
      <c r="AP278" s="2">
        <v>733.79286812764303</v>
      </c>
      <c r="AQ278" s="2">
        <v>65.404945541806498</v>
      </c>
      <c r="AR278" s="2">
        <v>757.26331218762004</v>
      </c>
      <c r="AS278" s="2">
        <v>27.216647443290999</v>
      </c>
      <c r="AT278" s="2">
        <v>24480.783977316401</v>
      </c>
      <c r="AU278" s="2">
        <v>4.8323437305620998E-2</v>
      </c>
      <c r="AV278" s="2">
        <v>2.2062725526389901E-3</v>
      </c>
      <c r="AW278" s="2">
        <v>1.0247585609068</v>
      </c>
      <c r="AX278" s="2">
        <v>9.6427031796583696E-4</v>
      </c>
      <c r="AY278" s="2">
        <v>1073.0049820386801</v>
      </c>
      <c r="AZ278" s="2">
        <v>0.111133205664021</v>
      </c>
      <c r="BA278" s="2">
        <v>0.62904921688048099</v>
      </c>
      <c r="BB278" s="2">
        <v>446</v>
      </c>
    </row>
    <row r="279" spans="1:54" ht="13" x14ac:dyDescent="0.15">
      <c r="A279" s="1" t="s">
        <v>846</v>
      </c>
      <c r="B279" s="1" t="s">
        <v>847</v>
      </c>
      <c r="C279" s="4" t="s">
        <v>848</v>
      </c>
      <c r="D279" s="1" t="s">
        <v>14</v>
      </c>
      <c r="E279" s="2">
        <v>33</v>
      </c>
      <c r="F279" s="2">
        <v>44829</v>
      </c>
      <c r="G279" s="2">
        <v>666</v>
      </c>
      <c r="H279" s="2">
        <f t="shared" si="2"/>
        <v>45528</v>
      </c>
      <c r="I279" s="2">
        <v>76270</v>
      </c>
      <c r="J279" s="2">
        <v>1566760</v>
      </c>
      <c r="K279" s="2">
        <f t="shared" si="3"/>
        <v>2.9058694375654216E-2</v>
      </c>
      <c r="M279" s="2">
        <v>0.78519643718764498</v>
      </c>
      <c r="N279" s="2">
        <v>0.37683750895092299</v>
      </c>
      <c r="O279" s="2">
        <v>1.98946854423132</v>
      </c>
      <c r="P279" s="2">
        <v>5.2793803614979797</v>
      </c>
      <c r="Q279" s="2">
        <v>4.4721359549995796</v>
      </c>
      <c r="R279" s="2">
        <v>4.1453506504066402</v>
      </c>
      <c r="S279" s="2">
        <v>0.80810652800706295</v>
      </c>
      <c r="T279" s="2">
        <v>55.998858330758203</v>
      </c>
      <c r="U279" s="2">
        <v>732.6</v>
      </c>
      <c r="V279" s="2">
        <v>880.2</v>
      </c>
      <c r="W279" s="2">
        <v>37.507299644799602</v>
      </c>
      <c r="X279" s="2">
        <v>322.033300046671</v>
      </c>
      <c r="Y279" s="2">
        <v>-3.19632521529847</v>
      </c>
      <c r="Z279" s="2">
        <v>10.4173693646921</v>
      </c>
      <c r="AA279" s="2">
        <v>7.5349789099789097</v>
      </c>
      <c r="AB279" s="2">
        <v>0.14381193445117199</v>
      </c>
      <c r="AC279" s="2">
        <v>2.19367299367299</v>
      </c>
      <c r="AD279" s="2">
        <v>2.0328844502118399</v>
      </c>
      <c r="AE279" s="2">
        <v>0.42679204723847602</v>
      </c>
      <c r="AF279" s="2">
        <v>0.34100405630948599</v>
      </c>
      <c r="AG279" s="2">
        <v>0.94635305069784803</v>
      </c>
      <c r="AH279" s="2">
        <v>0.84605885788875301</v>
      </c>
      <c r="AI279" s="2">
        <v>-0.50285302132657805</v>
      </c>
      <c r="AJ279" s="2">
        <v>0.96401705367548396</v>
      </c>
      <c r="AK279" s="2">
        <v>6.3029477324323097E-2</v>
      </c>
      <c r="AL279" s="2">
        <v>4.19803563354131</v>
      </c>
      <c r="AM279" s="2">
        <v>3.8360819078152</v>
      </c>
      <c r="AN279" s="2">
        <v>6.9393939393939403</v>
      </c>
      <c r="AO279" s="2">
        <v>0.21028466483011901</v>
      </c>
      <c r="AP279" s="2">
        <v>4.39393939393939</v>
      </c>
      <c r="AQ279" s="2">
        <v>5.2782369146005497</v>
      </c>
      <c r="AR279" s="2">
        <v>36.030303030303003</v>
      </c>
      <c r="AS279" s="2">
        <v>10.575757575757599</v>
      </c>
      <c r="AT279" s="2">
        <v>424.15151515151501</v>
      </c>
      <c r="AU279" s="2">
        <v>0.438328497773598</v>
      </c>
      <c r="AV279" s="2">
        <v>8.3812561769566904E-2</v>
      </c>
      <c r="AW279" s="2">
        <v>0.12966543260660901</v>
      </c>
      <c r="AX279" s="2">
        <v>0.184154223432867</v>
      </c>
      <c r="AY279" s="2">
        <v>53.943643639406702</v>
      </c>
      <c r="AZ279" s="2">
        <v>0.172237723218475</v>
      </c>
      <c r="BA279" s="2">
        <v>5.9933137724029502</v>
      </c>
      <c r="BB279" s="2">
        <v>150</v>
      </c>
    </row>
    <row r="280" spans="1:54" ht="13" x14ac:dyDescent="0.15">
      <c r="A280" s="1" t="s">
        <v>849</v>
      </c>
      <c r="B280" s="1" t="s">
        <v>850</v>
      </c>
      <c r="C280" s="4" t="s">
        <v>851</v>
      </c>
      <c r="D280" s="1" t="s">
        <v>14</v>
      </c>
      <c r="E280" s="2">
        <v>5578</v>
      </c>
      <c r="F280" s="2">
        <v>103028</v>
      </c>
      <c r="G280" s="2">
        <v>11657</v>
      </c>
      <c r="H280" s="2">
        <f t="shared" si="2"/>
        <v>120263</v>
      </c>
      <c r="I280" s="2">
        <v>155364</v>
      </c>
      <c r="J280" s="2">
        <v>1624535</v>
      </c>
      <c r="K280" s="2">
        <f t="shared" si="3"/>
        <v>7.4029183735653592E-2</v>
      </c>
      <c r="M280" s="2">
        <v>0.48503790120560902</v>
      </c>
      <c r="N280" s="2">
        <v>0.38000552559665501</v>
      </c>
      <c r="O280" s="2">
        <v>15.869641844095501</v>
      </c>
      <c r="P280" s="2">
        <v>41.7616081218247</v>
      </c>
      <c r="Q280" s="2">
        <v>27.784887978899601</v>
      </c>
      <c r="R280" s="2">
        <v>20.255962754380999</v>
      </c>
      <c r="S280" s="2">
        <v>0.54649989761684303</v>
      </c>
      <c r="T280" s="2">
        <v>2764.8036604572699</v>
      </c>
      <c r="U280" s="2">
        <v>738.7</v>
      </c>
      <c r="V280" s="2">
        <v>1443</v>
      </c>
      <c r="W280" s="2">
        <v>825.80602212836095</v>
      </c>
      <c r="X280" s="2">
        <v>345214.00239569403</v>
      </c>
      <c r="Y280" s="2">
        <v>-5159.6718061114298</v>
      </c>
      <c r="Z280" s="2">
        <v>417.60208955418398</v>
      </c>
      <c r="AA280" s="2">
        <v>24.827859785956601</v>
      </c>
      <c r="AB280" s="2">
        <v>0.88668021976615896</v>
      </c>
      <c r="AC280" s="2">
        <v>3.1019903150919599</v>
      </c>
      <c r="AD280" s="2">
        <v>3.1990528143318002</v>
      </c>
      <c r="AE280" s="2">
        <v>0.455760366750257</v>
      </c>
      <c r="AF280" s="2">
        <v>0.39469061761865898</v>
      </c>
      <c r="AG280" s="2">
        <v>0.98653657248011895</v>
      </c>
      <c r="AH280" s="2">
        <v>0.93592176238317104</v>
      </c>
      <c r="AI280" s="2">
        <v>-0.27315133131625502</v>
      </c>
      <c r="AJ280" s="2">
        <v>0.95839323209708505</v>
      </c>
      <c r="AK280" s="2">
        <v>1.1164172196649599E-2</v>
      </c>
      <c r="AL280" s="2">
        <v>8.2251863760437196</v>
      </c>
      <c r="AM280" s="2">
        <v>7.9762723281957699</v>
      </c>
      <c r="AN280" s="2">
        <v>571.30871280028703</v>
      </c>
      <c r="AO280" s="2">
        <v>0.102421784295498</v>
      </c>
      <c r="AP280" s="2">
        <v>256.11868053065598</v>
      </c>
      <c r="AQ280" s="2">
        <v>118.5354786919</v>
      </c>
      <c r="AR280" s="2">
        <v>790.24471136608099</v>
      </c>
      <c r="AS280" s="2">
        <v>54.963786303334501</v>
      </c>
      <c r="AT280" s="2">
        <v>66974.386697741094</v>
      </c>
      <c r="AU280" s="2">
        <v>9.7627243875546998E-2</v>
      </c>
      <c r="AV280" s="2">
        <v>6.7078483903742301E-3</v>
      </c>
      <c r="AW280" s="2">
        <v>0.27107298486953002</v>
      </c>
      <c r="AX280" s="2">
        <v>2.96234567672883E-3</v>
      </c>
      <c r="AY280" s="2">
        <v>1177.59606738098</v>
      </c>
      <c r="AZ280" s="2">
        <v>0.26035398758072897</v>
      </c>
      <c r="BA280" s="2">
        <v>2.30757469765032</v>
      </c>
      <c r="BB280" s="2">
        <v>1392</v>
      </c>
    </row>
    <row r="281" spans="1:54" ht="13" x14ac:dyDescent="0.15">
      <c r="A281" s="1" t="s">
        <v>852</v>
      </c>
      <c r="B281" s="1" t="s">
        <v>853</v>
      </c>
      <c r="C281" s="4" t="s">
        <v>854</v>
      </c>
      <c r="D281" s="1" t="s">
        <v>14</v>
      </c>
      <c r="E281" s="2">
        <v>18960</v>
      </c>
      <c r="F281" s="2">
        <v>47406</v>
      </c>
      <c r="G281" s="2">
        <v>39560</v>
      </c>
      <c r="H281" s="2">
        <f t="shared" si="2"/>
        <v>105926</v>
      </c>
      <c r="I281" s="2">
        <v>147340</v>
      </c>
      <c r="J281" s="2">
        <v>1749756</v>
      </c>
      <c r="K281" s="2">
        <f t="shared" si="3"/>
        <v>6.0537583525931617E-2</v>
      </c>
      <c r="M281" s="2">
        <v>0.71836300016793697</v>
      </c>
      <c r="N281" s="2">
        <v>0.60786357872538999</v>
      </c>
      <c r="O281" s="2">
        <v>28.747593470509301</v>
      </c>
      <c r="P281" s="2">
        <v>47.292837532377298</v>
      </c>
      <c r="Q281" s="2">
        <v>55.3624421426656</v>
      </c>
      <c r="R281" s="2">
        <v>33.973424656213297</v>
      </c>
      <c r="S281" s="2">
        <v>0.28969621902392201</v>
      </c>
      <c r="T281" s="2">
        <v>11806.634843404699</v>
      </c>
      <c r="U281" s="2">
        <v>804</v>
      </c>
      <c r="V281" s="2">
        <v>1174</v>
      </c>
      <c r="W281" s="2">
        <v>1395.2121322445</v>
      </c>
      <c r="X281" s="2">
        <v>55080.8339956458</v>
      </c>
      <c r="Y281" s="2">
        <v>-1030.2357520949799</v>
      </c>
      <c r="Z281" s="2">
        <v>127.963805885944</v>
      </c>
      <c r="AA281" s="2">
        <v>13.0949215660099</v>
      </c>
      <c r="AB281" s="2">
        <v>0.81425267495045195</v>
      </c>
      <c r="AC281" s="2">
        <v>2.50827142788255</v>
      </c>
      <c r="AD281" s="2">
        <v>2.92927013879495</v>
      </c>
      <c r="AE281" s="2">
        <v>0.43858475596819901</v>
      </c>
      <c r="AF281" s="2">
        <v>0.366511680973306</v>
      </c>
      <c r="AG281" s="2">
        <v>0.99547684262147496</v>
      </c>
      <c r="AH281" s="2">
        <v>0.95674313190987204</v>
      </c>
      <c r="AI281" s="2">
        <v>-0.20330554019026101</v>
      </c>
      <c r="AJ281" s="2">
        <v>0.90969560878135802</v>
      </c>
      <c r="AK281" s="2">
        <v>5.8430210989696904E-3</v>
      </c>
      <c r="AL281" s="2">
        <v>8.1201262526434803</v>
      </c>
      <c r="AM281" s="2">
        <v>7.6991906534249201</v>
      </c>
      <c r="AN281" s="2">
        <v>2259.3121308016898</v>
      </c>
      <c r="AO281" s="2">
        <v>0.119162032215279</v>
      </c>
      <c r="AP281" s="2">
        <v>964.06371308016901</v>
      </c>
      <c r="AQ281" s="2">
        <v>35.050576360514697</v>
      </c>
      <c r="AR281" s="2">
        <v>1384.24498945148</v>
      </c>
      <c r="AS281" s="2">
        <v>28.505590717299601</v>
      </c>
      <c r="AT281" s="2">
        <v>44105.119356540097</v>
      </c>
      <c r="AU281" s="2">
        <v>2.0490173840502099E-2</v>
      </c>
      <c r="AV281" s="2">
        <v>9.3180428076863702E-4</v>
      </c>
      <c r="AW281" s="2">
        <v>0.60706271834101799</v>
      </c>
      <c r="AX281" s="2">
        <v>7.8227767024414605E-4</v>
      </c>
      <c r="AY281" s="2">
        <v>1467.1433566251801</v>
      </c>
      <c r="AZ281" s="2">
        <v>5.3435083165805301E-2</v>
      </c>
      <c r="BA281" s="2">
        <v>0.84134467372796196</v>
      </c>
      <c r="BB281" s="2">
        <v>358</v>
      </c>
    </row>
    <row r="282" spans="1:54" ht="13" x14ac:dyDescent="0.15">
      <c r="A282" s="1" t="s">
        <v>855</v>
      </c>
      <c r="B282" s="1" t="s">
        <v>856</v>
      </c>
      <c r="C282" s="4" t="s">
        <v>857</v>
      </c>
      <c r="D282" s="1" t="s">
        <v>14</v>
      </c>
      <c r="E282" s="2">
        <v>2160</v>
      </c>
      <c r="F282" s="2">
        <v>36069</v>
      </c>
      <c r="G282" s="2">
        <v>16854</v>
      </c>
      <c r="H282" s="2">
        <f t="shared" si="2"/>
        <v>55083</v>
      </c>
      <c r="I282" s="2">
        <v>73511</v>
      </c>
      <c r="J282" s="2">
        <v>1553447</v>
      </c>
      <c r="K282" s="2">
        <f t="shared" si="3"/>
        <v>3.5458564083615342E-2</v>
      </c>
      <c r="M282" s="2">
        <v>0.39406313252838499</v>
      </c>
      <c r="N282" s="2">
        <v>0.33711367179248702</v>
      </c>
      <c r="O282" s="2">
        <v>20.490493199554201</v>
      </c>
      <c r="P282" s="2">
        <v>60.782148319891697</v>
      </c>
      <c r="Q282" s="2">
        <v>45.221676218380097</v>
      </c>
      <c r="R282" s="2">
        <v>23.952003768741498</v>
      </c>
      <c r="S282" s="2">
        <v>0.31034541432866602</v>
      </c>
      <c r="T282" s="2">
        <v>2493.90805970975</v>
      </c>
      <c r="U282" s="2">
        <v>1075.7</v>
      </c>
      <c r="V282" s="2">
        <v>1644</v>
      </c>
      <c r="W282" s="2">
        <v>1172.7834741827501</v>
      </c>
      <c r="X282" s="2">
        <v>241537.70717209199</v>
      </c>
      <c r="Y282" s="2">
        <v>-3901.4116756353101</v>
      </c>
      <c r="Z282" s="2">
        <v>264.48720623935498</v>
      </c>
      <c r="AA282" s="2">
        <v>30.738126431446801</v>
      </c>
      <c r="AB282" s="2">
        <v>0.79230961843895797</v>
      </c>
      <c r="AC282" s="2">
        <v>3.79122229781041</v>
      </c>
      <c r="AD282" s="2">
        <v>3.4523838176486699</v>
      </c>
      <c r="AE282" s="2">
        <v>0.36791006084779598</v>
      </c>
      <c r="AF282" s="2">
        <v>0.28823315141156303</v>
      </c>
      <c r="AG282" s="2">
        <v>0.98803549910367106</v>
      </c>
      <c r="AH282" s="2">
        <v>0.93301986046135299</v>
      </c>
      <c r="AI282" s="2">
        <v>-0.236328185048192</v>
      </c>
      <c r="AJ282" s="2">
        <v>0.94928077289780599</v>
      </c>
      <c r="AK282" s="2">
        <v>3.8482562111024602E-3</v>
      </c>
      <c r="AL282" s="2">
        <v>8.6898033033430107</v>
      </c>
      <c r="AM282" s="2">
        <v>7.3692956653583002</v>
      </c>
      <c r="AN282" s="2">
        <v>396.98611111111097</v>
      </c>
      <c r="AO282" s="2">
        <v>0.18378986625514401</v>
      </c>
      <c r="AP282" s="2">
        <v>84.0833333333333</v>
      </c>
      <c r="AQ282" s="2">
        <v>73.191013160150902</v>
      </c>
      <c r="AR282" s="2">
        <v>1109.88194444444</v>
      </c>
      <c r="AS282" s="2">
        <v>12.896296296296301</v>
      </c>
      <c r="AT282" s="2">
        <v>17363.871759259298</v>
      </c>
      <c r="AU282" s="2">
        <v>1.31881886264207E-2</v>
      </c>
      <c r="AV282" s="2">
        <v>2.20071639381307E-3</v>
      </c>
      <c r="AW282" s="2">
        <v>9.33872238597096E-2</v>
      </c>
      <c r="AX282" s="2">
        <v>5.8296422904538297E-3</v>
      </c>
      <c r="AY282" s="2">
        <v>2552.7858644404901</v>
      </c>
      <c r="AZ282" s="2">
        <v>0.15748001642241199</v>
      </c>
      <c r="BA282" s="2">
        <v>5.82743687931778</v>
      </c>
      <c r="BB282" s="2">
        <v>394</v>
      </c>
    </row>
    <row r="283" spans="1:54" ht="13" x14ac:dyDescent="0.15">
      <c r="A283" s="1" t="s">
        <v>858</v>
      </c>
      <c r="B283" s="1" t="s">
        <v>859</v>
      </c>
      <c r="C283" s="4" t="s">
        <v>860</v>
      </c>
      <c r="D283" s="1" t="s">
        <v>14</v>
      </c>
      <c r="E283" s="2">
        <v>3837</v>
      </c>
      <c r="F283" s="2">
        <v>181776</v>
      </c>
      <c r="G283" s="2">
        <v>8537</v>
      </c>
      <c r="H283" s="2">
        <f t="shared" si="2"/>
        <v>194150</v>
      </c>
      <c r="I283" s="2">
        <v>230673</v>
      </c>
      <c r="J283" s="2">
        <v>1428056</v>
      </c>
      <c r="K283" s="2">
        <f t="shared" si="3"/>
        <v>0.13595405222204171</v>
      </c>
      <c r="M283" s="2">
        <v>0.77399999608541503</v>
      </c>
      <c r="N283" s="2">
        <v>0.57975238445083899</v>
      </c>
      <c r="O283" s="2">
        <v>15.0956392678341</v>
      </c>
      <c r="P283" s="2">
        <v>26.038080519726101</v>
      </c>
      <c r="Q283" s="2">
        <v>27.0739727413618</v>
      </c>
      <c r="R283" s="2">
        <v>20.153474220339699</v>
      </c>
      <c r="S283" s="2">
        <v>0.60928180835715096</v>
      </c>
      <c r="T283" s="2">
        <v>1934.20469199028</v>
      </c>
      <c r="U283" s="2">
        <v>759</v>
      </c>
      <c r="V283" s="2">
        <v>1099.4000000000001</v>
      </c>
      <c r="W283" s="2">
        <v>562.42312751147699</v>
      </c>
      <c r="X283" s="2">
        <v>24300.9282159459</v>
      </c>
      <c r="Y283" s="2">
        <v>-704.75031410133499</v>
      </c>
      <c r="Z283" s="2">
        <v>87.8542633996028</v>
      </c>
      <c r="AA283" s="2">
        <v>17.3933590142735</v>
      </c>
      <c r="AB283" s="2">
        <v>0.66810728468055103</v>
      </c>
      <c r="AC283" s="2">
        <v>3.0304067836801001</v>
      </c>
      <c r="AD283" s="2">
        <v>3.16149061788584</v>
      </c>
      <c r="AE283" s="2">
        <v>0.39306343504574798</v>
      </c>
      <c r="AF283" s="2">
        <v>0.31336958334454101</v>
      </c>
      <c r="AG283" s="2">
        <v>0.98795057489931004</v>
      </c>
      <c r="AH283" s="2">
        <v>0.92862876589807897</v>
      </c>
      <c r="AI283" s="2">
        <v>-0.123740265881963</v>
      </c>
      <c r="AJ283" s="2">
        <v>0.79166679823341202</v>
      </c>
      <c r="AK283" s="2">
        <v>7.8574509254454201E-3</v>
      </c>
      <c r="AL283" s="2">
        <v>7.8366343132872096</v>
      </c>
      <c r="AM283" s="2">
        <v>7.0402578916331997</v>
      </c>
      <c r="AN283" s="2">
        <v>531.70158978368499</v>
      </c>
      <c r="AO283" s="2">
        <v>0.13857221521597199</v>
      </c>
      <c r="AP283" s="2">
        <v>233.42481105030001</v>
      </c>
      <c r="AQ283" s="2">
        <v>29.062255371328199</v>
      </c>
      <c r="AR283" s="2">
        <v>542.58014073494905</v>
      </c>
      <c r="AS283" s="2">
        <v>22.355746677091499</v>
      </c>
      <c r="AT283" s="2">
        <v>14786.472765181101</v>
      </c>
      <c r="AU283" s="2">
        <v>4.1677634582834203E-2</v>
      </c>
      <c r="AV283" s="2">
        <v>2.8170825781604898E-3</v>
      </c>
      <c r="AW283" s="2">
        <v>0.39643231791271599</v>
      </c>
      <c r="AX283" s="2">
        <v>2.5337271160186798E-3</v>
      </c>
      <c r="AY283" s="2">
        <v>1072.8905704480001</v>
      </c>
      <c r="AZ283" s="2">
        <v>9.8333006433775003E-2</v>
      </c>
      <c r="BA283" s="2">
        <v>1.27323384666684</v>
      </c>
      <c r="BB283" s="2">
        <v>115</v>
      </c>
    </row>
    <row r="284" spans="1:54" ht="13" x14ac:dyDescent="0.15">
      <c r="A284" s="1" t="s">
        <v>861</v>
      </c>
      <c r="B284" s="1" t="s">
        <v>862</v>
      </c>
      <c r="C284" s="4" t="s">
        <v>863</v>
      </c>
      <c r="D284" s="1" t="s">
        <v>14</v>
      </c>
      <c r="E284" s="2">
        <v>12143</v>
      </c>
      <c r="F284" s="2">
        <v>53073</v>
      </c>
      <c r="G284" s="2">
        <v>30331</v>
      </c>
      <c r="H284" s="2">
        <f t="shared" si="2"/>
        <v>95547</v>
      </c>
      <c r="I284" s="2">
        <v>129794</v>
      </c>
      <c r="J284" s="2">
        <v>1611977</v>
      </c>
      <c r="K284" s="2">
        <f t="shared" si="3"/>
        <v>5.927317821532193E-2</v>
      </c>
      <c r="M284" s="2">
        <v>0.40057554155152397</v>
      </c>
      <c r="N284" s="2">
        <v>0.32280106387561702</v>
      </c>
      <c r="O284" s="2">
        <v>19.2417431822293</v>
      </c>
      <c r="P284" s="2">
        <v>59.608673376750602</v>
      </c>
      <c r="Q284" s="2">
        <v>64.629714528226103</v>
      </c>
      <c r="R284" s="2">
        <v>23.877776619059802</v>
      </c>
      <c r="S284" s="2">
        <v>0.36870550488826997</v>
      </c>
      <c r="T284" s="2">
        <v>6877.6738266722996</v>
      </c>
      <c r="U284" s="2">
        <v>785</v>
      </c>
      <c r="V284" s="2">
        <v>1270</v>
      </c>
      <c r="W284" s="2">
        <v>933.92304044982995</v>
      </c>
      <c r="X284" s="2">
        <v>126708.07355112801</v>
      </c>
      <c r="Y284" s="2">
        <v>-964.20873469143896</v>
      </c>
      <c r="Z284" s="2">
        <v>196.09842115548199</v>
      </c>
      <c r="AA284" s="2">
        <v>21.277237603563702</v>
      </c>
      <c r="AB284" s="2">
        <v>0.80315301039880005</v>
      </c>
      <c r="AC284" s="2">
        <v>3.4284276794241499</v>
      </c>
      <c r="AD284" s="2">
        <v>3.2871037684515199</v>
      </c>
      <c r="AE284" s="2">
        <v>0.35913925425408599</v>
      </c>
      <c r="AF284" s="2">
        <v>0.27236084296091301</v>
      </c>
      <c r="AG284" s="2">
        <v>0.99363512350402206</v>
      </c>
      <c r="AH284" s="2">
        <v>0.945559360704888</v>
      </c>
      <c r="AI284" s="2">
        <v>-0.183726897249683</v>
      </c>
      <c r="AJ284" s="2">
        <v>0.90221633650913802</v>
      </c>
      <c r="AK284" s="2">
        <v>2.9623350023514098E-3</v>
      </c>
      <c r="AL284" s="2">
        <v>8.8897318767656301</v>
      </c>
      <c r="AM284" s="2">
        <v>7.6635649694073997</v>
      </c>
      <c r="AN284" s="2">
        <v>2018.1550687639001</v>
      </c>
      <c r="AO284" s="2">
        <v>0.16619905037996399</v>
      </c>
      <c r="AP284" s="2">
        <v>462.50704109363397</v>
      </c>
      <c r="AQ284" s="2">
        <v>59.126207500290498</v>
      </c>
      <c r="AR284" s="2">
        <v>896.58107551675903</v>
      </c>
      <c r="AS284" s="2">
        <v>15.5749814708062</v>
      </c>
      <c r="AT284" s="2">
        <v>13193.2367619204</v>
      </c>
      <c r="AU284" s="2">
        <v>3.2872375454239502E-2</v>
      </c>
      <c r="AV284" s="2">
        <v>1.758296948257E-3</v>
      </c>
      <c r="AW284" s="2">
        <v>0.48382036321405603</v>
      </c>
      <c r="AX284" s="2">
        <v>1.1557092249794201E-3</v>
      </c>
      <c r="AY284" s="2">
        <v>2445.8136110298401</v>
      </c>
      <c r="AZ284" s="2">
        <v>8.7696232987056894E-2</v>
      </c>
      <c r="BA284" s="2">
        <v>1.2820163899902699</v>
      </c>
      <c r="BB284" s="2">
        <v>288</v>
      </c>
    </row>
    <row r="285" spans="1:54" ht="13" x14ac:dyDescent="0.15">
      <c r="A285" s="1" t="s">
        <v>864</v>
      </c>
      <c r="B285" s="1" t="s">
        <v>865</v>
      </c>
      <c r="C285" s="4" t="s">
        <v>866</v>
      </c>
      <c r="D285" s="1" t="s">
        <v>14</v>
      </c>
      <c r="E285" s="2">
        <v>968</v>
      </c>
      <c r="F285" s="2">
        <v>93295</v>
      </c>
      <c r="G285" s="2">
        <v>13597</v>
      </c>
      <c r="H285" s="2">
        <f t="shared" si="2"/>
        <v>107860</v>
      </c>
      <c r="I285" s="2">
        <v>122070</v>
      </c>
      <c r="J285" s="2">
        <v>1581947</v>
      </c>
      <c r="K285" s="2">
        <f t="shared" si="3"/>
        <v>6.8181803815172068E-2</v>
      </c>
      <c r="M285" s="2">
        <v>0.79756352203356995</v>
      </c>
      <c r="N285" s="2">
        <v>0.36097697107723098</v>
      </c>
      <c r="O285" s="2">
        <v>10.295173426440501</v>
      </c>
      <c r="P285" s="2">
        <v>28.520305313986199</v>
      </c>
      <c r="Q285" s="2">
        <v>25.5538646783613</v>
      </c>
      <c r="R285" s="2">
        <v>22.746755155695499</v>
      </c>
      <c r="S285" s="2">
        <v>0.46301802539181702</v>
      </c>
      <c r="T285" s="2">
        <v>997.79188881185405</v>
      </c>
      <c r="U285" s="2">
        <v>980.7</v>
      </c>
      <c r="V285" s="2">
        <v>1361.3</v>
      </c>
      <c r="W285" s="2">
        <v>287.37767389604102</v>
      </c>
      <c r="X285" s="2">
        <v>97909.612130571506</v>
      </c>
      <c r="Y285" s="2">
        <v>2184.5622023902401</v>
      </c>
      <c r="Z285" s="2">
        <v>134.76942195421</v>
      </c>
      <c r="AA285" s="2">
        <v>8.3779920052868793</v>
      </c>
      <c r="AB285" s="2">
        <v>0.88177228960001397</v>
      </c>
      <c r="AC285" s="2">
        <v>1.89344890265234</v>
      </c>
      <c r="AD285" s="2">
        <v>2.4952974842981801</v>
      </c>
      <c r="AE285" s="2">
        <v>0.49585339677663698</v>
      </c>
      <c r="AF285" s="2">
        <v>0.435723717255383</v>
      </c>
      <c r="AG285" s="2">
        <v>0.99567206672440001</v>
      </c>
      <c r="AH285" s="2">
        <v>0.959827261776937</v>
      </c>
      <c r="AI285" s="2">
        <v>-0.37475401539484998</v>
      </c>
      <c r="AJ285" s="2">
        <v>0.97816540898896898</v>
      </c>
      <c r="AK285" s="2">
        <v>1.2032603629894899E-2</v>
      </c>
      <c r="AL285" s="2">
        <v>7.0327903880916498</v>
      </c>
      <c r="AM285" s="2">
        <v>7.2250054462522302</v>
      </c>
      <c r="AN285" s="2">
        <v>110.359504132231</v>
      </c>
      <c r="AO285" s="2">
        <v>0.114007752202718</v>
      </c>
      <c r="AP285" s="2">
        <v>54.264462809917397</v>
      </c>
      <c r="AQ285" s="2">
        <v>40.761823603237502</v>
      </c>
      <c r="AR285" s="2">
        <v>301.777892561984</v>
      </c>
      <c r="AS285" s="2">
        <v>29.444214876033101</v>
      </c>
      <c r="AT285" s="2">
        <v>6803.1270661156996</v>
      </c>
      <c r="AU285" s="2">
        <v>0.169918207791005</v>
      </c>
      <c r="AV285" s="2">
        <v>8.2523512645422802E-3</v>
      </c>
      <c r="AW285" s="2">
        <v>6.2005451748143398E-2</v>
      </c>
      <c r="AX285" s="2">
        <v>2.2301358066324401E-2</v>
      </c>
      <c r="AY285" s="2">
        <v>848.15900435871197</v>
      </c>
      <c r="AZ285" s="2">
        <v>5.5533238938903301E-2</v>
      </c>
      <c r="BA285" s="2">
        <v>16.178814058443201</v>
      </c>
      <c r="BB285" s="2">
        <v>1035</v>
      </c>
    </row>
    <row r="286" spans="1:54" ht="13" x14ac:dyDescent="0.15">
      <c r="A286" s="1" t="s">
        <v>867</v>
      </c>
      <c r="B286" s="1" t="s">
        <v>868</v>
      </c>
      <c r="C286" s="4" t="s">
        <v>869</v>
      </c>
      <c r="D286" s="1" t="s">
        <v>14</v>
      </c>
      <c r="E286" s="2">
        <v>27639</v>
      </c>
      <c r="F286" s="2">
        <v>23880</v>
      </c>
      <c r="G286" s="2">
        <v>35305</v>
      </c>
      <c r="H286" s="2">
        <f t="shared" si="2"/>
        <v>86824</v>
      </c>
      <c r="I286" s="2">
        <v>112486</v>
      </c>
      <c r="J286" s="2">
        <v>1455829</v>
      </c>
      <c r="K286" s="2">
        <f t="shared" si="3"/>
        <v>5.9638872422516656E-2</v>
      </c>
      <c r="M286" s="2">
        <v>0.77853739684380696</v>
      </c>
      <c r="N286" s="2">
        <v>0.59804036072045896</v>
      </c>
      <c r="O286" s="2">
        <v>28.61656762998</v>
      </c>
      <c r="P286" s="2">
        <v>47.8505624528512</v>
      </c>
      <c r="Q286" s="2">
        <v>52.086466572421699</v>
      </c>
      <c r="R286" s="2">
        <v>37.253452329554896</v>
      </c>
      <c r="S286" s="2">
        <v>0.47543988256109998</v>
      </c>
      <c r="T286" s="2">
        <v>9278.5027970268802</v>
      </c>
      <c r="U286" s="2">
        <v>689</v>
      </c>
      <c r="V286" s="2">
        <v>1839</v>
      </c>
      <c r="W286" s="2">
        <v>2536.7233225970799</v>
      </c>
      <c r="X286" s="2">
        <v>3282301.38009807</v>
      </c>
      <c r="Y286" s="2">
        <v>-2648.89245862599</v>
      </c>
      <c r="Z286" s="2">
        <v>1145.58520480222</v>
      </c>
      <c r="AA286" s="2">
        <v>75.885001691479999</v>
      </c>
      <c r="AB286" s="2">
        <v>0.87598271483344603</v>
      </c>
      <c r="AC286" s="2">
        <v>6.1868461419450798</v>
      </c>
      <c r="AD286" s="2">
        <v>4.1217645467533002</v>
      </c>
      <c r="AE286" s="2">
        <v>0.269729583662768</v>
      </c>
      <c r="AF286" s="2">
        <v>0.182390435536083</v>
      </c>
      <c r="AG286" s="2">
        <v>0.99196410021430104</v>
      </c>
      <c r="AH286" s="2">
        <v>0.94197825069460495</v>
      </c>
      <c r="AI286" s="2">
        <v>-0.199750502999647</v>
      </c>
      <c r="AJ286" s="2">
        <v>0.95182116189312904</v>
      </c>
      <c r="AK286" s="2">
        <v>7.8535562973568195E-4</v>
      </c>
      <c r="AL286" s="2">
        <v>10.955043837687199</v>
      </c>
      <c r="AM286" s="2">
        <v>8.3993323300831602</v>
      </c>
      <c r="AN286" s="2">
        <v>6060.9474655378299</v>
      </c>
      <c r="AO286" s="2">
        <v>0.219289680000645</v>
      </c>
      <c r="AP286" s="2">
        <v>490.20301023915499</v>
      </c>
      <c r="AQ286" s="2">
        <v>290.39531048927699</v>
      </c>
      <c r="AR286" s="2">
        <v>2553.9638192409302</v>
      </c>
      <c r="AS286" s="2">
        <v>9.1227974962914704</v>
      </c>
      <c r="AT286" s="2">
        <v>23273.343536307399</v>
      </c>
      <c r="AU286" s="2">
        <v>1.03632896550169E-2</v>
      </c>
      <c r="AV286" s="2">
        <v>1.1019802975055901E-3</v>
      </c>
      <c r="AW286" s="2">
        <v>0.38397645528922902</v>
      </c>
      <c r="AX286" s="2">
        <v>6.1415504577435102E-4</v>
      </c>
      <c r="AY286" s="2">
        <v>12414.590779465399</v>
      </c>
      <c r="AZ286" s="2">
        <v>0.23746049817027201</v>
      </c>
      <c r="BA286" s="2">
        <v>1.9556809154516499</v>
      </c>
      <c r="BB286" s="2">
        <v>902</v>
      </c>
    </row>
    <row r="287" spans="1:54" ht="13" x14ac:dyDescent="0.15">
      <c r="A287" s="1" t="s">
        <v>870</v>
      </c>
      <c r="B287" s="1" t="s">
        <v>871</v>
      </c>
      <c r="C287" s="4" t="s">
        <v>872</v>
      </c>
      <c r="D287" s="1" t="s">
        <v>14</v>
      </c>
      <c r="E287" s="2">
        <v>36376</v>
      </c>
      <c r="F287" s="2">
        <v>28171</v>
      </c>
      <c r="G287" s="2">
        <v>23737</v>
      </c>
      <c r="H287" s="2">
        <f t="shared" si="2"/>
        <v>88284</v>
      </c>
      <c r="I287" s="2">
        <v>101436</v>
      </c>
      <c r="J287" s="2">
        <v>1617119</v>
      </c>
      <c r="K287" s="2">
        <f t="shared" si="3"/>
        <v>5.4593384902409781E-2</v>
      </c>
      <c r="M287" s="2">
        <v>0.89348967266368096</v>
      </c>
      <c r="N287" s="2">
        <v>0.52360418583810897</v>
      </c>
      <c r="O287" s="2">
        <v>25.486810684595401</v>
      </c>
      <c r="P287" s="2">
        <v>48.675719892880302</v>
      </c>
      <c r="Q287" s="2">
        <v>57.070132293521098</v>
      </c>
      <c r="R287" s="2">
        <v>43.491253033758703</v>
      </c>
      <c r="S287" s="2">
        <v>0.78226848587863995</v>
      </c>
      <c r="T287" s="2">
        <v>6779.65477011642</v>
      </c>
      <c r="U287" s="2">
        <v>1435</v>
      </c>
      <c r="V287" s="2">
        <v>1716</v>
      </c>
      <c r="W287" s="2">
        <v>999.99184191295103</v>
      </c>
      <c r="X287" s="2">
        <v>16012.927220661701</v>
      </c>
      <c r="Y287" s="2">
        <v>-68.315003098098401</v>
      </c>
      <c r="Z287" s="2">
        <v>69.886926515818104</v>
      </c>
      <c r="AA287" s="2">
        <v>6.3633553749501504</v>
      </c>
      <c r="AB287" s="2">
        <v>0.83264881880735497</v>
      </c>
      <c r="AC287" s="2">
        <v>1.2807478790756299</v>
      </c>
      <c r="AD287" s="2">
        <v>2.04279760226868</v>
      </c>
      <c r="AE287" s="2">
        <v>0.60938382728342599</v>
      </c>
      <c r="AF287" s="2">
        <v>0.578278835599354</v>
      </c>
      <c r="AG287" s="2">
        <v>0.99701196588365004</v>
      </c>
      <c r="AH287" s="2">
        <v>0.97351667993440605</v>
      </c>
      <c r="AI287" s="2">
        <v>-0.36969501800886401</v>
      </c>
      <c r="AJ287" s="2">
        <v>0.97546069027489801</v>
      </c>
      <c r="AK287" s="2">
        <v>1.50627726542676E-2</v>
      </c>
      <c r="AL287" s="2">
        <v>6.71782343966286</v>
      </c>
      <c r="AM287" s="2">
        <v>8.2257877266330901</v>
      </c>
      <c r="AN287" s="2">
        <v>2131.4239608533098</v>
      </c>
      <c r="AO287" s="2">
        <v>5.8594236882925803E-2</v>
      </c>
      <c r="AP287" s="2">
        <v>2319.8264240158301</v>
      </c>
      <c r="AQ287" s="2">
        <v>21.2546242995355</v>
      </c>
      <c r="AR287" s="2">
        <v>995.26388277985495</v>
      </c>
      <c r="AS287" s="2">
        <v>102.33851990323301</v>
      </c>
      <c r="AT287" s="2">
        <v>103002.971932043</v>
      </c>
      <c r="AU287" s="2">
        <v>0.10758135398524001</v>
      </c>
      <c r="AV287" s="2">
        <v>1.1795950260564999E-3</v>
      </c>
      <c r="AW287" s="2">
        <v>1.0224721017627001</v>
      </c>
      <c r="AX287" s="2">
        <v>5.2250439735482301E-4</v>
      </c>
      <c r="AY287" s="2">
        <v>987.17438155461696</v>
      </c>
      <c r="AZ287" s="2">
        <v>2.3570254435033501E-2</v>
      </c>
      <c r="BA287" s="2">
        <v>0.59577183929197797</v>
      </c>
      <c r="BB287" s="2">
        <v>1308</v>
      </c>
    </row>
    <row r="288" spans="1:54" ht="13" x14ac:dyDescent="0.15">
      <c r="A288" s="1" t="s">
        <v>873</v>
      </c>
      <c r="B288" s="1" t="s">
        <v>874</v>
      </c>
      <c r="C288" s="4" t="s">
        <v>875</v>
      </c>
      <c r="D288" s="1" t="s">
        <v>14</v>
      </c>
      <c r="E288" s="2">
        <v>7418</v>
      </c>
      <c r="F288" s="2">
        <v>123707</v>
      </c>
      <c r="G288" s="2">
        <v>30446</v>
      </c>
      <c r="H288" s="2">
        <f t="shared" si="2"/>
        <v>161571</v>
      </c>
      <c r="I288" s="2">
        <v>219717</v>
      </c>
      <c r="J288" s="2">
        <v>1364700</v>
      </c>
      <c r="K288" s="2">
        <f t="shared" si="3"/>
        <v>0.1183930534183337</v>
      </c>
      <c r="M288" s="2">
        <v>0.76319098476338199</v>
      </c>
      <c r="N288" s="2">
        <v>0.60180475927578703</v>
      </c>
      <c r="O288" s="2">
        <v>22.476225970252202</v>
      </c>
      <c r="P288" s="2">
        <v>37.348036258969003</v>
      </c>
      <c r="Q288" s="2">
        <v>39.217343102255199</v>
      </c>
      <c r="R288" s="2">
        <v>28.503684571461001</v>
      </c>
      <c r="S288" s="2">
        <v>0.28963991556999602</v>
      </c>
      <c r="T288" s="2">
        <v>6229.4831692091202</v>
      </c>
      <c r="U288" s="2">
        <v>735</v>
      </c>
      <c r="V288" s="2">
        <v>1463</v>
      </c>
      <c r="W288" s="2">
        <v>860.09964354810597</v>
      </c>
      <c r="X288" s="2">
        <v>382502.55796699098</v>
      </c>
      <c r="Y288" s="2">
        <v>1192.5486876816001</v>
      </c>
      <c r="Z288" s="2">
        <v>472.64442666575002</v>
      </c>
      <c r="AA288" s="2">
        <v>13.5687656398553</v>
      </c>
      <c r="AB288" s="2">
        <v>0.94412439671821002</v>
      </c>
      <c r="AC288" s="2">
        <v>2.6860605524291099</v>
      </c>
      <c r="AD288" s="2">
        <v>2.9859308163526301</v>
      </c>
      <c r="AE288" s="2">
        <v>0.411504934485454</v>
      </c>
      <c r="AF288" s="2">
        <v>0.33264978245905902</v>
      </c>
      <c r="AG288" s="2">
        <v>0.99528076711917901</v>
      </c>
      <c r="AH288" s="2">
        <v>0.95358704040869502</v>
      </c>
      <c r="AI288" s="2">
        <v>-0.30721341551752102</v>
      </c>
      <c r="AJ288" s="2">
        <v>0.978213564506065</v>
      </c>
      <c r="AK288" s="2">
        <v>2.94321522262668E-3</v>
      </c>
      <c r="AL288" s="2">
        <v>8.9054686818920796</v>
      </c>
      <c r="AM288" s="2">
        <v>8.0914825209713204</v>
      </c>
      <c r="AN288" s="2">
        <v>1080.2054462119199</v>
      </c>
      <c r="AO288" s="2">
        <v>0.145619499354532</v>
      </c>
      <c r="AP288" s="2">
        <v>208.58155837152901</v>
      </c>
      <c r="AQ288" s="2">
        <v>123.860937696382</v>
      </c>
      <c r="AR288" s="2">
        <v>839.93920194122404</v>
      </c>
      <c r="AS288" s="2">
        <v>19.7894311135077</v>
      </c>
      <c r="AT288" s="2">
        <v>21735.455783230002</v>
      </c>
      <c r="AU288" s="2">
        <v>4.2714024668274002E-2</v>
      </c>
      <c r="AV288" s="2">
        <v>3.0244487674051402E-3</v>
      </c>
      <c r="AW288" s="2">
        <v>0.23272236373973201</v>
      </c>
      <c r="AX288" s="2">
        <v>3.32768723504488E-3</v>
      </c>
      <c r="AY288" s="2">
        <v>1719.81839263751</v>
      </c>
      <c r="AZ288" s="2">
        <v>0.13851280784641701</v>
      </c>
      <c r="BA288" s="2">
        <v>3.31893427483551</v>
      </c>
      <c r="BB288" s="2">
        <v>611</v>
      </c>
    </row>
    <row r="289" spans="1:54" ht="13" x14ac:dyDescent="0.15">
      <c r="A289" s="1" t="s">
        <v>876</v>
      </c>
      <c r="B289" s="1" t="s">
        <v>877</v>
      </c>
      <c r="C289" s="4" t="s">
        <v>878</v>
      </c>
      <c r="D289" s="1" t="s">
        <v>14</v>
      </c>
      <c r="E289" s="2">
        <v>22127</v>
      </c>
      <c r="F289" s="2">
        <v>42559</v>
      </c>
      <c r="G289" s="2">
        <v>36255</v>
      </c>
      <c r="H289" s="2">
        <f t="shared" si="2"/>
        <v>100941</v>
      </c>
      <c r="I289" s="2">
        <v>158152</v>
      </c>
      <c r="J289" s="2">
        <v>1537902</v>
      </c>
      <c r="K289" s="2">
        <f t="shared" si="3"/>
        <v>6.5635521639220179E-2</v>
      </c>
      <c r="M289" s="2">
        <v>0.50002677774278803</v>
      </c>
      <c r="N289" s="2">
        <v>0.45419849237485099</v>
      </c>
      <c r="O289" s="2">
        <v>26.754223304909999</v>
      </c>
      <c r="P289" s="2">
        <v>58.904253875923601</v>
      </c>
      <c r="Q289" s="2">
        <v>67.067130548428906</v>
      </c>
      <c r="R289" s="2">
        <v>29.453704260921199</v>
      </c>
      <c r="S289" s="2">
        <v>0.31671188255055799</v>
      </c>
      <c r="T289" s="2">
        <v>12005.0566381599</v>
      </c>
      <c r="U289" s="2">
        <v>558</v>
      </c>
      <c r="V289" s="2">
        <v>860</v>
      </c>
      <c r="W289" s="2">
        <v>395.96580427960203</v>
      </c>
      <c r="X289" s="2">
        <v>19896.731351038001</v>
      </c>
      <c r="Y289" s="2">
        <v>6.2359801089206801</v>
      </c>
      <c r="Z289" s="2">
        <v>73.755927518122405</v>
      </c>
      <c r="AA289" s="2">
        <v>5.8196817518564403</v>
      </c>
      <c r="AB289" s="2">
        <v>0.85283367017752199</v>
      </c>
      <c r="AC289" s="2">
        <v>1.70450487290646</v>
      </c>
      <c r="AD289" s="2">
        <v>2.4332685828948</v>
      </c>
      <c r="AE289" s="2">
        <v>0.50939998542294096</v>
      </c>
      <c r="AF289" s="2">
        <v>0.45117040015863102</v>
      </c>
      <c r="AG289" s="2">
        <v>0.99626159973792106</v>
      </c>
      <c r="AH289" s="2">
        <v>0.95968938360501199</v>
      </c>
      <c r="AI289" s="2">
        <v>-0.25038481970770898</v>
      </c>
      <c r="AJ289" s="2">
        <v>0.930631238164085</v>
      </c>
      <c r="AK289" s="2">
        <v>1.04529546105695E-2</v>
      </c>
      <c r="AL289" s="2">
        <v>7.2922284709816196</v>
      </c>
      <c r="AM289" s="2">
        <v>7.8078164833780503</v>
      </c>
      <c r="AN289" s="2">
        <v>2024.1739503773699</v>
      </c>
      <c r="AO289" s="2">
        <v>9.1479818790498796E-2</v>
      </c>
      <c r="AP289" s="2">
        <v>1424.8439915035899</v>
      </c>
      <c r="AQ289" s="2">
        <v>22.248619937598601</v>
      </c>
      <c r="AR289" s="2">
        <v>389.68798300718601</v>
      </c>
      <c r="AS289" s="2">
        <v>43.660008134857897</v>
      </c>
      <c r="AT289" s="2">
        <v>16784.103493469502</v>
      </c>
      <c r="AU289" s="2">
        <v>0.143409654017331</v>
      </c>
      <c r="AV289" s="2">
        <v>3.57074134247749E-3</v>
      </c>
      <c r="AW289" s="2">
        <v>1.46094180575432</v>
      </c>
      <c r="AX289" s="2">
        <v>7.1403373213812301E-4</v>
      </c>
      <c r="AY289" s="2">
        <v>729.78536457215796</v>
      </c>
      <c r="AZ289" s="2">
        <v>3.2691716898620597E-2</v>
      </c>
      <c r="BA289" s="2">
        <v>0.48436102011198101</v>
      </c>
      <c r="BB289" s="2">
        <v>304</v>
      </c>
    </row>
    <row r="290" spans="1:54" ht="13" x14ac:dyDescent="0.15">
      <c r="A290" s="1" t="s">
        <v>879</v>
      </c>
      <c r="B290" s="1" t="s">
        <v>880</v>
      </c>
      <c r="C290" s="4" t="s">
        <v>881</v>
      </c>
      <c r="D290" s="1" t="s">
        <v>14</v>
      </c>
      <c r="E290" s="2">
        <v>19743</v>
      </c>
      <c r="F290" s="2">
        <v>51601</v>
      </c>
      <c r="G290" s="2">
        <v>19033</v>
      </c>
      <c r="H290" s="2">
        <f t="shared" si="2"/>
        <v>90377</v>
      </c>
      <c r="I290" s="2">
        <v>131635</v>
      </c>
      <c r="J290" s="2">
        <v>1693946</v>
      </c>
      <c r="K290" s="2">
        <f t="shared" si="3"/>
        <v>5.3352940412504296E-2</v>
      </c>
      <c r="M290" s="2">
        <v>0.97371330109005005</v>
      </c>
      <c r="N290" s="2">
        <v>0.52921807037042901</v>
      </c>
      <c r="O290" s="2">
        <v>20.829416885831801</v>
      </c>
      <c r="P290" s="2">
        <v>39.358854226674701</v>
      </c>
      <c r="Q290" s="2">
        <v>43.9317652729776</v>
      </c>
      <c r="R290" s="2">
        <v>38.324239876177501</v>
      </c>
      <c r="S290" s="2">
        <v>0.56887323461608197</v>
      </c>
      <c r="T290" s="2">
        <v>6208.9143068743597</v>
      </c>
      <c r="U290" s="2">
        <v>1368</v>
      </c>
      <c r="V290" s="2">
        <v>2025</v>
      </c>
      <c r="W290" s="2">
        <v>2630.8713652521301</v>
      </c>
      <c r="X290" s="2">
        <v>364179.77839362499</v>
      </c>
      <c r="Y290" s="2">
        <v>365.40884266233098</v>
      </c>
      <c r="Z290" s="2">
        <v>339.852430855818</v>
      </c>
      <c r="AA290" s="2">
        <v>65.918756684854799</v>
      </c>
      <c r="AB290" s="2">
        <v>0.67462926363287501</v>
      </c>
      <c r="AC290" s="2">
        <v>6.2108312620471198</v>
      </c>
      <c r="AD290" s="2">
        <v>4.08754901181136</v>
      </c>
      <c r="AE290" s="2">
        <v>0.24847461955203601</v>
      </c>
      <c r="AF290" s="2">
        <v>0.15765678808097999</v>
      </c>
      <c r="AG290" s="2">
        <v>0.99097348527559104</v>
      </c>
      <c r="AH290" s="2">
        <v>0.93407754650223196</v>
      </c>
      <c r="AI290" s="2">
        <v>-0.102803448693033</v>
      </c>
      <c r="AJ290" s="2">
        <v>0.80637352683477603</v>
      </c>
      <c r="AK290" s="2">
        <v>1.2038990845981801E-3</v>
      </c>
      <c r="AL290" s="2">
        <v>10.1923745300886</v>
      </c>
      <c r="AM290" s="2">
        <v>7.5528150561894902</v>
      </c>
      <c r="AN290" s="2">
        <v>4968.5025072177496</v>
      </c>
      <c r="AO290" s="2">
        <v>0.25165894277555301</v>
      </c>
      <c r="AP290" s="2">
        <v>548.94306842931701</v>
      </c>
      <c r="AQ290" s="2">
        <v>106.09674641279901</v>
      </c>
      <c r="AR290" s="2">
        <v>2621.6961454692801</v>
      </c>
      <c r="AS290" s="2">
        <v>7.0547029326850001</v>
      </c>
      <c r="AT290" s="2">
        <v>19262.582029073601</v>
      </c>
      <c r="AU290" s="2">
        <v>3.0491500101549299E-3</v>
      </c>
      <c r="AV290" s="2">
        <v>5.1906106977695995E-4</v>
      </c>
      <c r="AW290" s="2">
        <v>0.39354276300055602</v>
      </c>
      <c r="AX290" s="2">
        <v>5.4893623717327297E-4</v>
      </c>
      <c r="AY290" s="2">
        <v>10172.9435495995</v>
      </c>
      <c r="AZ290" s="2">
        <v>0.13693174115200099</v>
      </c>
      <c r="BA290" s="2">
        <v>1.30842013240469</v>
      </c>
      <c r="BB290" s="2">
        <v>645</v>
      </c>
    </row>
    <row r="291" spans="1:54" ht="13" x14ac:dyDescent="0.15">
      <c r="A291" s="1" t="s">
        <v>882</v>
      </c>
      <c r="B291" s="1" t="s">
        <v>883</v>
      </c>
      <c r="C291" s="4" t="s">
        <v>884</v>
      </c>
      <c r="D291" s="1" t="s">
        <v>14</v>
      </c>
      <c r="E291" s="2">
        <v>11677</v>
      </c>
      <c r="F291" s="2">
        <v>111057</v>
      </c>
      <c r="G291" s="2">
        <v>41068</v>
      </c>
      <c r="H291" s="2">
        <f t="shared" si="2"/>
        <v>163802</v>
      </c>
      <c r="I291" s="2">
        <v>299372</v>
      </c>
      <c r="J291" s="2">
        <v>1397694</v>
      </c>
      <c r="K291" s="2">
        <f t="shared" si="3"/>
        <v>0.11719446459668569</v>
      </c>
      <c r="M291" s="2">
        <v>0.57810688855019099</v>
      </c>
      <c r="N291" s="2">
        <v>0.44730286886877102</v>
      </c>
      <c r="O291" s="2">
        <v>28.536588628333099</v>
      </c>
      <c r="P291" s="2">
        <v>63.797016774120301</v>
      </c>
      <c r="Q291" s="2">
        <v>55.226805085936299</v>
      </c>
      <c r="R291" s="2">
        <v>36.881494866071101</v>
      </c>
      <c r="S291" s="2">
        <v>0.198753936580785</v>
      </c>
      <c r="T291" s="2">
        <v>12232.5901538323</v>
      </c>
      <c r="U291" s="2">
        <v>763</v>
      </c>
      <c r="V291" s="2">
        <v>1321</v>
      </c>
      <c r="W291" s="2">
        <v>1141.18121006613</v>
      </c>
      <c r="X291" s="2">
        <v>1301049.4485812399</v>
      </c>
      <c r="Y291" s="2">
        <v>18185.734411281301</v>
      </c>
      <c r="Z291" s="2">
        <v>441.027629790373</v>
      </c>
      <c r="AA291" s="2">
        <v>29.564996046433102</v>
      </c>
      <c r="AB291" s="2">
        <v>0.87409403276049202</v>
      </c>
      <c r="AC291" s="2">
        <v>3.5376986508750101</v>
      </c>
      <c r="AD291" s="2">
        <v>3.36053555659706</v>
      </c>
      <c r="AE291" s="2">
        <v>0.37967877517815402</v>
      </c>
      <c r="AF291" s="2">
        <v>0.29947374520650699</v>
      </c>
      <c r="AG291" s="2">
        <v>0.99498326486886601</v>
      </c>
      <c r="AH291" s="2">
        <v>0.95728448038575598</v>
      </c>
      <c r="AI291" s="2">
        <v>-0.20744800267556099</v>
      </c>
      <c r="AJ291" s="2">
        <v>0.92889596859482504</v>
      </c>
      <c r="AK291" s="2">
        <v>4.3321851907040503E-3</v>
      </c>
      <c r="AL291" s="2">
        <v>8.7768337977172397</v>
      </c>
      <c r="AM291" s="2">
        <v>7.5787689826102298</v>
      </c>
      <c r="AN291" s="2">
        <v>1986.9534126916201</v>
      </c>
      <c r="AO291" s="2">
        <v>0.17015957974579199</v>
      </c>
      <c r="AP291" s="2">
        <v>528.83797208187002</v>
      </c>
      <c r="AQ291" s="2">
        <v>113.919855068996</v>
      </c>
      <c r="AR291" s="2">
        <v>1133.3429819302901</v>
      </c>
      <c r="AS291" s="2">
        <v>14.470754474608199</v>
      </c>
      <c r="AT291" s="2">
        <v>14463.0495846536</v>
      </c>
      <c r="AU291" s="2">
        <v>2.0325833594281601E-2</v>
      </c>
      <c r="AV291" s="2">
        <v>1.5148396766355701E-3</v>
      </c>
      <c r="AW291" s="2">
        <v>0.340048912708866</v>
      </c>
      <c r="AX291" s="2">
        <v>1.0530188873849101E-3</v>
      </c>
      <c r="AY291" s="2">
        <v>5517.6736337665498</v>
      </c>
      <c r="AZ291" s="2">
        <v>0.10535941975202601</v>
      </c>
      <c r="BA291" s="2">
        <v>3.19336362011002</v>
      </c>
      <c r="BB291" s="2">
        <v>676</v>
      </c>
    </row>
    <row r="292" spans="1:54" ht="13" x14ac:dyDescent="0.15">
      <c r="A292" s="1" t="s">
        <v>885</v>
      </c>
      <c r="B292" s="1" t="s">
        <v>886</v>
      </c>
      <c r="C292" s="4" t="s">
        <v>887</v>
      </c>
      <c r="D292" s="1" t="s">
        <v>14</v>
      </c>
      <c r="E292" s="2">
        <v>35095</v>
      </c>
      <c r="F292" s="2">
        <v>94436</v>
      </c>
      <c r="G292" s="2">
        <v>52904</v>
      </c>
      <c r="H292" s="2">
        <f t="shared" si="2"/>
        <v>182435</v>
      </c>
      <c r="I292" s="2">
        <v>226462</v>
      </c>
      <c r="J292" s="2">
        <v>1699663</v>
      </c>
      <c r="K292" s="2">
        <f t="shared" si="3"/>
        <v>0.10733598366264371</v>
      </c>
      <c r="M292" s="2">
        <v>0.66678274642364999</v>
      </c>
      <c r="N292" s="2">
        <v>0.44339656458764198</v>
      </c>
      <c r="O292" s="2">
        <v>28.1655631232079</v>
      </c>
      <c r="P292" s="2">
        <v>63.522285404718602</v>
      </c>
      <c r="Q292" s="2">
        <v>78.339006886735604</v>
      </c>
      <c r="R292" s="2">
        <v>42.355563921265201</v>
      </c>
      <c r="S292" s="2">
        <v>0.32456188855915702</v>
      </c>
      <c r="T292" s="2">
        <v>15892.553526953399</v>
      </c>
      <c r="U292" s="2">
        <v>875</v>
      </c>
      <c r="V292" s="2">
        <v>1355</v>
      </c>
      <c r="W292" s="2">
        <v>1308.46295187382</v>
      </c>
      <c r="X292" s="2">
        <v>96205.644671903894</v>
      </c>
      <c r="Y292" s="2">
        <v>-1429.7095455563999</v>
      </c>
      <c r="Z292" s="2">
        <v>171.524132807272</v>
      </c>
      <c r="AA292" s="2">
        <v>22.677570054785701</v>
      </c>
      <c r="AB292" s="2">
        <v>0.76461416737863896</v>
      </c>
      <c r="AC292" s="2">
        <v>3.4451644367452698</v>
      </c>
      <c r="AD292" s="2">
        <v>3.32847567234252</v>
      </c>
      <c r="AE292" s="2">
        <v>0.36563960664540801</v>
      </c>
      <c r="AF292" s="2">
        <v>0.281571301097712</v>
      </c>
      <c r="AG292" s="2">
        <v>0.992238049032521</v>
      </c>
      <c r="AH292" s="2">
        <v>0.94188454858751103</v>
      </c>
      <c r="AI292" s="2">
        <v>-0.150772560183521</v>
      </c>
      <c r="AJ292" s="2">
        <v>0.86323977973774502</v>
      </c>
      <c r="AK292" s="2">
        <v>3.2181297816516602E-3</v>
      </c>
      <c r="AL292" s="2">
        <v>8.81463787663753</v>
      </c>
      <c r="AM292" s="2">
        <v>7.7153486837313201</v>
      </c>
      <c r="AN292" s="2">
        <v>5346.3497079356002</v>
      </c>
      <c r="AO292" s="2">
        <v>0.15233935625974099</v>
      </c>
      <c r="AP292" s="2">
        <v>1355.04011967517</v>
      </c>
      <c r="AQ292" s="2">
        <v>55.9216531182403</v>
      </c>
      <c r="AR292" s="2">
        <v>1256.67300185212</v>
      </c>
      <c r="AS292" s="2">
        <v>17.835218692121401</v>
      </c>
      <c r="AT292" s="2">
        <v>25698.1962387805</v>
      </c>
      <c r="AU292" s="2">
        <v>1.52893266849817E-2</v>
      </c>
      <c r="AV292" s="2">
        <v>1.07169610658405E-3</v>
      </c>
      <c r="AW292" s="2">
        <v>1.2867292027874799</v>
      </c>
      <c r="AX292" s="2">
        <v>3.6031032031210499E-4</v>
      </c>
      <c r="AY292" s="2">
        <v>2796.48895627817</v>
      </c>
      <c r="AZ292" s="2">
        <v>9.4342540453050197E-2</v>
      </c>
      <c r="BA292" s="2">
        <v>0.44355196894265803</v>
      </c>
      <c r="BB292" s="2">
        <v>329</v>
      </c>
    </row>
    <row r="293" spans="1:54" ht="13" x14ac:dyDescent="0.15">
      <c r="A293" s="1" t="s">
        <v>888</v>
      </c>
      <c r="B293" s="1" t="s">
        <v>889</v>
      </c>
      <c r="C293" s="4" t="s">
        <v>890</v>
      </c>
      <c r="D293" s="1" t="s">
        <v>14</v>
      </c>
      <c r="E293" s="2">
        <v>255</v>
      </c>
      <c r="F293" s="2">
        <v>31063</v>
      </c>
      <c r="G293" s="2">
        <v>9032</v>
      </c>
      <c r="H293" s="2">
        <f t="shared" si="2"/>
        <v>40350</v>
      </c>
      <c r="I293" s="2">
        <v>156000</v>
      </c>
      <c r="J293" s="2">
        <v>1476768</v>
      </c>
      <c r="K293" s="2">
        <f t="shared" si="3"/>
        <v>2.7323181434050575E-2</v>
      </c>
      <c r="M293" s="2">
        <v>0.67546800948867203</v>
      </c>
      <c r="N293" s="2">
        <v>0.45268937823253802</v>
      </c>
      <c r="O293" s="2">
        <v>10.1741294232183</v>
      </c>
      <c r="P293" s="2">
        <v>22.4748578438968</v>
      </c>
      <c r="Q293" s="2">
        <v>21.540659228538001</v>
      </c>
      <c r="R293" s="2">
        <v>15.1810474913578</v>
      </c>
      <c r="S293" s="2">
        <v>0.41533706600020298</v>
      </c>
      <c r="T293" s="2">
        <v>431.42100953194301</v>
      </c>
      <c r="U293" s="2">
        <v>946.2</v>
      </c>
      <c r="V293" s="2">
        <v>1432.6</v>
      </c>
      <c r="W293" s="2">
        <v>638.23751905284996</v>
      </c>
      <c r="X293" s="2">
        <v>71892.573307780403</v>
      </c>
      <c r="Y293" s="2">
        <v>-1626.20967072597</v>
      </c>
      <c r="Z293" s="2">
        <v>135.986214603327</v>
      </c>
      <c r="AA293" s="2">
        <v>51.349158845547201</v>
      </c>
      <c r="AB293" s="2">
        <v>0.445490969740788</v>
      </c>
      <c r="AC293" s="2">
        <v>5.3773673769896497</v>
      </c>
      <c r="AD293" s="2">
        <v>3.7200531739548701</v>
      </c>
      <c r="AE293" s="2">
        <v>0.27851793185294799</v>
      </c>
      <c r="AF293" s="2">
        <v>0.18781702634341399</v>
      </c>
      <c r="AG293" s="2">
        <v>0.9668457835566</v>
      </c>
      <c r="AH293" s="2">
        <v>0.88290143901365603</v>
      </c>
      <c r="AI293" s="2">
        <v>-0.395847364690596</v>
      </c>
      <c r="AJ293" s="2">
        <v>0.98443008464325799</v>
      </c>
      <c r="AK293" s="2">
        <v>8.3244236179765597E-3</v>
      </c>
      <c r="AL293" s="2">
        <v>7.1645346699332899</v>
      </c>
      <c r="AM293" s="2">
        <v>5.8744921264815799</v>
      </c>
      <c r="AN293" s="2">
        <v>91.949019607843098</v>
      </c>
      <c r="AO293" s="2">
        <v>0.360584390618993</v>
      </c>
      <c r="AP293" s="2">
        <v>12.5450980392157</v>
      </c>
      <c r="AQ293" s="2">
        <v>54.206597462514402</v>
      </c>
      <c r="AR293" s="2">
        <v>628.51372549019595</v>
      </c>
      <c r="AS293" s="2">
        <v>4.2627450980392201</v>
      </c>
      <c r="AT293" s="2">
        <v>3006.7019607843099</v>
      </c>
      <c r="AU293" s="2">
        <v>1.37415686441997E-2</v>
      </c>
      <c r="AV293" s="2">
        <v>7.33277020093317E-3</v>
      </c>
      <c r="AW293" s="2">
        <v>4.6384895749716798E-2</v>
      </c>
      <c r="AX293" s="2">
        <v>2.44578074381053E-2</v>
      </c>
      <c r="AY293" s="2">
        <v>1837.6876555266199</v>
      </c>
      <c r="AZ293" s="2">
        <v>0.38049019254814298</v>
      </c>
      <c r="BA293" s="2">
        <v>11.845209253258901</v>
      </c>
      <c r="BB293" s="2">
        <v>48</v>
      </c>
    </row>
    <row r="294" spans="1:54" ht="13" x14ac:dyDescent="0.15">
      <c r="A294" s="1" t="s">
        <v>891</v>
      </c>
      <c r="B294" s="1" t="s">
        <v>892</v>
      </c>
      <c r="C294" s="4" t="s">
        <v>893</v>
      </c>
      <c r="D294" s="1" t="s">
        <v>14</v>
      </c>
      <c r="E294" s="2">
        <v>34099</v>
      </c>
      <c r="F294" s="2">
        <v>74206</v>
      </c>
      <c r="G294" s="2">
        <v>64203</v>
      </c>
      <c r="H294" s="2">
        <f t="shared" si="2"/>
        <v>172508</v>
      </c>
      <c r="I294" s="2">
        <v>233728</v>
      </c>
      <c r="J294" s="2">
        <v>1349324</v>
      </c>
      <c r="K294" s="2">
        <f t="shared" si="3"/>
        <v>0.12784772226685362</v>
      </c>
      <c r="M294" s="2">
        <v>0.93924172541005502</v>
      </c>
      <c r="N294" s="2">
        <v>0.72132903275023996</v>
      </c>
      <c r="O294" s="2">
        <v>33.743969253852299</v>
      </c>
      <c r="P294" s="2">
        <v>46.780273248111598</v>
      </c>
      <c r="Q294" s="2">
        <v>65.764732189829502</v>
      </c>
      <c r="R294" s="2">
        <v>43.937984560710198</v>
      </c>
      <c r="S294" s="2">
        <v>0.235151864157853</v>
      </c>
      <c r="T294" s="2">
        <v>21403.479631518199</v>
      </c>
      <c r="U294" s="2">
        <v>672</v>
      </c>
      <c r="V294" s="2">
        <v>961</v>
      </c>
      <c r="W294" s="2">
        <v>555.48037745390104</v>
      </c>
      <c r="X294" s="2">
        <v>12705.7868440702</v>
      </c>
      <c r="Y294" s="2">
        <v>108.830077277595</v>
      </c>
      <c r="Z294" s="2">
        <v>68.517544453848203</v>
      </c>
      <c r="AA294" s="2">
        <v>10.140956745878601</v>
      </c>
      <c r="AB294" s="2">
        <v>0.74206936176080696</v>
      </c>
      <c r="AC294" s="2">
        <v>2.3218561355487202</v>
      </c>
      <c r="AD294" s="2">
        <v>2.81173463115858</v>
      </c>
      <c r="AE294" s="2">
        <v>0.44099844488673601</v>
      </c>
      <c r="AF294" s="2">
        <v>0.36774503247080897</v>
      </c>
      <c r="AG294" s="2">
        <v>0.996170213544321</v>
      </c>
      <c r="AH294" s="2">
        <v>0.95796346705148205</v>
      </c>
      <c r="AI294" s="2">
        <v>-0.15665202966418801</v>
      </c>
      <c r="AJ294" s="2">
        <v>0.84363761200671505</v>
      </c>
      <c r="AK294" s="2">
        <v>6.8006346323649302E-3</v>
      </c>
      <c r="AL294" s="2">
        <v>7.6930258899847797</v>
      </c>
      <c r="AM294" s="2">
        <v>7.3829049849172304</v>
      </c>
      <c r="AN294" s="2">
        <v>4175.3439397049797</v>
      </c>
      <c r="AO294" s="2">
        <v>0.12244769464515</v>
      </c>
      <c r="AP294" s="2">
        <v>2148.82304466407</v>
      </c>
      <c r="AQ294" s="2">
        <v>19.845207584482502</v>
      </c>
      <c r="AR294" s="2">
        <v>543.83609490014396</v>
      </c>
      <c r="AS294" s="2">
        <v>26.333822106220101</v>
      </c>
      <c r="AT294" s="2">
        <v>14276.8911991554</v>
      </c>
      <c r="AU294" s="2">
        <v>5.5893394541287299E-2</v>
      </c>
      <c r="AV294" s="2">
        <v>2.17750115029432E-3</v>
      </c>
      <c r="AW294" s="2">
        <v>2.1084345696970201</v>
      </c>
      <c r="AX294" s="2">
        <v>3.51633870992837E-4</v>
      </c>
      <c r="AY294" s="2">
        <v>1426.2338137341601</v>
      </c>
      <c r="AZ294" s="2">
        <v>3.0547309638473599E-2</v>
      </c>
      <c r="BA294" s="2">
        <v>0.40011573026137098</v>
      </c>
      <c r="BB294" s="2">
        <v>130</v>
      </c>
    </row>
    <row r="295" spans="1:54" ht="13" x14ac:dyDescent="0.15">
      <c r="A295" s="1" t="s">
        <v>894</v>
      </c>
      <c r="B295" s="1" t="s">
        <v>895</v>
      </c>
      <c r="C295" s="4" t="s">
        <v>896</v>
      </c>
      <c r="D295" s="1" t="s">
        <v>14</v>
      </c>
      <c r="E295" s="2">
        <v>321</v>
      </c>
      <c r="F295" s="2">
        <v>129118</v>
      </c>
      <c r="G295" s="2">
        <v>13165</v>
      </c>
      <c r="H295" s="2">
        <f t="shared" si="2"/>
        <v>142604</v>
      </c>
      <c r="I295" s="2">
        <v>223135</v>
      </c>
      <c r="J295" s="2">
        <v>1723982</v>
      </c>
      <c r="K295" s="2">
        <f t="shared" si="3"/>
        <v>8.2717800997922253E-2</v>
      </c>
      <c r="M295" s="2">
        <v>0.55666903559243996</v>
      </c>
      <c r="N295" s="2">
        <v>0.41982946698467</v>
      </c>
      <c r="O295" s="2">
        <v>10.5435725148757</v>
      </c>
      <c r="P295" s="2">
        <v>25.1139411213857</v>
      </c>
      <c r="Q295" s="2">
        <v>20.024984394500802</v>
      </c>
      <c r="R295" s="2">
        <v>13.9801533839671</v>
      </c>
      <c r="S295" s="2">
        <v>0.47802384291830102</v>
      </c>
      <c r="T295" s="2">
        <v>442.724555859151</v>
      </c>
      <c r="U295" s="2">
        <v>561</v>
      </c>
      <c r="V295" s="2">
        <v>846</v>
      </c>
      <c r="W295" s="2">
        <v>286.70160748068599</v>
      </c>
      <c r="X295" s="2">
        <v>21238.734294119298</v>
      </c>
      <c r="Y295" s="2">
        <v>238.36964405501399</v>
      </c>
      <c r="Z295" s="2">
        <v>62.496941013725703</v>
      </c>
      <c r="AA295" s="2">
        <v>16.449502504130699</v>
      </c>
      <c r="AB295" s="2">
        <v>0.57094056066571497</v>
      </c>
      <c r="AC295" s="2">
        <v>2.9470715513575998</v>
      </c>
      <c r="AD295" s="2">
        <v>3.0421724705658302</v>
      </c>
      <c r="AE295" s="2">
        <v>0.39170104272899198</v>
      </c>
      <c r="AF295" s="2">
        <v>0.30948930192361002</v>
      </c>
      <c r="AG295" s="2">
        <v>0.99282990279084504</v>
      </c>
      <c r="AH295" s="2">
        <v>0.943681857738489</v>
      </c>
      <c r="AI295" s="2">
        <v>-0.26532960118682303</v>
      </c>
      <c r="AJ295" s="2">
        <v>0.93733107856407605</v>
      </c>
      <c r="AK295" s="2">
        <v>1.0058704093748899E-2</v>
      </c>
      <c r="AL295" s="2">
        <v>6.9830567594911201</v>
      </c>
      <c r="AM295" s="2">
        <v>6.2162033820790503</v>
      </c>
      <c r="AN295" s="2">
        <v>62.700934579439298</v>
      </c>
      <c r="AO295" s="2">
        <v>0.195330014266166</v>
      </c>
      <c r="AP295" s="2">
        <v>21.3551401869159</v>
      </c>
      <c r="AQ295" s="2">
        <v>25.730534447453</v>
      </c>
      <c r="AR295" s="2">
        <v>330.29283489096599</v>
      </c>
      <c r="AS295" s="2">
        <v>10.451713395638601</v>
      </c>
      <c r="AT295" s="2">
        <v>3097.0218068535801</v>
      </c>
      <c r="AU295" s="2">
        <v>4.5687726655574898E-2</v>
      </c>
      <c r="AV295" s="2">
        <v>7.2211703967525499E-3</v>
      </c>
      <c r="AW295" s="2">
        <v>6.9234249046253304E-2</v>
      </c>
      <c r="AX295" s="2">
        <v>2.8132333509055901E-2</v>
      </c>
      <c r="AY295" s="2">
        <v>837.15522997823496</v>
      </c>
      <c r="AZ295" s="2">
        <v>0.126933638896879</v>
      </c>
      <c r="BA295" s="2">
        <v>14.096249748657</v>
      </c>
      <c r="BB295" s="2">
        <v>919</v>
      </c>
    </row>
    <row r="296" spans="1:54" ht="13" x14ac:dyDescent="0.15">
      <c r="A296" s="1" t="s">
        <v>897</v>
      </c>
      <c r="B296" s="1" t="s">
        <v>898</v>
      </c>
      <c r="C296" s="4" t="s">
        <v>899</v>
      </c>
      <c r="D296" s="1" t="s">
        <v>14</v>
      </c>
      <c r="E296" s="2">
        <v>6072</v>
      </c>
      <c r="F296" s="2">
        <v>39964</v>
      </c>
      <c r="G296" s="2">
        <v>10279</v>
      </c>
      <c r="H296" s="2">
        <f t="shared" si="2"/>
        <v>56315</v>
      </c>
      <c r="I296" s="2">
        <v>68101</v>
      </c>
      <c r="J296" s="2">
        <v>1589952</v>
      </c>
      <c r="K296" s="2">
        <f t="shared" si="3"/>
        <v>3.5419308255846715E-2</v>
      </c>
      <c r="M296" s="2">
        <v>0.439454362144449</v>
      </c>
      <c r="N296" s="2">
        <v>0.376142472803356</v>
      </c>
      <c r="O296" s="2">
        <v>16.020414923041901</v>
      </c>
      <c r="P296" s="2">
        <v>42.591347910389302</v>
      </c>
      <c r="Q296" s="2">
        <v>30.364452901378002</v>
      </c>
      <c r="R296" s="2">
        <v>18.7169536288324</v>
      </c>
      <c r="S296" s="2">
        <v>0.39961915674994197</v>
      </c>
      <c r="T296" s="2">
        <v>4001.8614981089099</v>
      </c>
      <c r="U296" s="2">
        <v>994</v>
      </c>
      <c r="V296" s="2">
        <v>1599</v>
      </c>
      <c r="W296" s="2">
        <v>1529.7092941170199</v>
      </c>
      <c r="X296" s="2">
        <v>304920.96211173403</v>
      </c>
      <c r="Y296" s="2">
        <v>1266.38182579166</v>
      </c>
      <c r="Z296" s="2">
        <v>307.39175254826301</v>
      </c>
      <c r="AA296" s="2">
        <v>35.941587043171502</v>
      </c>
      <c r="AB296" s="2">
        <v>0.79063131764153904</v>
      </c>
      <c r="AC296" s="2">
        <v>4.44912732809125</v>
      </c>
      <c r="AD296" s="2">
        <v>3.6508634839124001</v>
      </c>
      <c r="AE296" s="2">
        <v>0.310132747989321</v>
      </c>
      <c r="AF296" s="2">
        <v>0.21973075772606099</v>
      </c>
      <c r="AG296" s="2">
        <v>0.99204943706059201</v>
      </c>
      <c r="AH296" s="2">
        <v>0.93965633629699996</v>
      </c>
      <c r="AI296" s="2">
        <v>-0.179698170054606</v>
      </c>
      <c r="AJ296" s="2">
        <v>0.91493731273005796</v>
      </c>
      <c r="AK296" s="2">
        <v>2.1126035102076398E-3</v>
      </c>
      <c r="AL296" s="2">
        <v>9.3748139841036497</v>
      </c>
      <c r="AM296" s="2">
        <v>7.4808808253264401</v>
      </c>
      <c r="AN296" s="2">
        <v>1272.0988142292499</v>
      </c>
      <c r="AO296" s="2">
        <v>0.20950243976107499</v>
      </c>
      <c r="AP296" s="2">
        <v>207.99275362318801</v>
      </c>
      <c r="AQ296" s="2">
        <v>83.041330993384605</v>
      </c>
      <c r="AR296" s="2">
        <v>1560.9828722002601</v>
      </c>
      <c r="AS296" s="2">
        <v>10.0312911725955</v>
      </c>
      <c r="AT296" s="2">
        <v>17681.003952569201</v>
      </c>
      <c r="AU296" s="2">
        <v>7.6634030684450396E-3</v>
      </c>
      <c r="AV296" s="2">
        <v>1.12777633123523E-3</v>
      </c>
      <c r="AW296" s="2">
        <v>0.18052625621410701</v>
      </c>
      <c r="AX296" s="2">
        <v>1.8933839535709E-3</v>
      </c>
      <c r="AY296" s="2">
        <v>5181.2080083713599</v>
      </c>
      <c r="AZ296" s="2">
        <v>0.11316700057599501</v>
      </c>
      <c r="BA296" s="2">
        <v>3.46800757768602</v>
      </c>
      <c r="BB296" s="2">
        <v>633</v>
      </c>
    </row>
    <row r="297" spans="1:54" ht="13" x14ac:dyDescent="0.15">
      <c r="A297" s="1" t="s">
        <v>900</v>
      </c>
      <c r="B297" s="1" t="s">
        <v>901</v>
      </c>
      <c r="C297" s="4" t="s">
        <v>902</v>
      </c>
      <c r="D297" s="1" t="s">
        <v>14</v>
      </c>
      <c r="E297" s="2">
        <v>2936</v>
      </c>
      <c r="F297" s="2">
        <v>47186</v>
      </c>
      <c r="G297" s="2">
        <v>13436</v>
      </c>
      <c r="H297" s="2">
        <f t="shared" si="2"/>
        <v>63558</v>
      </c>
      <c r="I297" s="2">
        <v>89005</v>
      </c>
      <c r="J297" s="2">
        <v>1602379</v>
      </c>
      <c r="K297" s="2">
        <f t="shared" si="3"/>
        <v>3.9664773439991412E-2</v>
      </c>
      <c r="M297" s="2">
        <v>0.77107549846426005</v>
      </c>
      <c r="N297" s="2">
        <v>0.42572753625213999</v>
      </c>
      <c r="O297" s="2">
        <v>13.031206883417299</v>
      </c>
      <c r="P297" s="2">
        <v>30.6092647850232</v>
      </c>
      <c r="Q297" s="2">
        <v>28.442925306655798</v>
      </c>
      <c r="R297" s="2">
        <v>23.6020541017363</v>
      </c>
      <c r="S297" s="2">
        <v>0.39826920445242903</v>
      </c>
      <c r="T297" s="2">
        <v>2449.9317124938498</v>
      </c>
      <c r="U297" s="2">
        <v>896</v>
      </c>
      <c r="V297" s="2">
        <v>1580</v>
      </c>
      <c r="W297" s="2">
        <v>956.33784178087603</v>
      </c>
      <c r="X297" s="2">
        <v>410916.47000183503</v>
      </c>
      <c r="Y297" s="2">
        <v>3834.7176497964501</v>
      </c>
      <c r="Z297" s="2">
        <v>376.29600339753</v>
      </c>
      <c r="AA297" s="2">
        <v>44.4511714596456</v>
      </c>
      <c r="AB297" s="2">
        <v>0.78834684842090197</v>
      </c>
      <c r="AC297" s="2">
        <v>5.0589123332788004</v>
      </c>
      <c r="AD297" s="2">
        <v>3.80241162885623</v>
      </c>
      <c r="AE297" s="2">
        <v>0.28267245358610699</v>
      </c>
      <c r="AF297" s="2">
        <v>0.190525735438726</v>
      </c>
      <c r="AG297" s="2">
        <v>0.988217014807794</v>
      </c>
      <c r="AH297" s="2">
        <v>0.92603798957946204</v>
      </c>
      <c r="AI297" s="2">
        <v>-0.193983332841551</v>
      </c>
      <c r="AJ297" s="2">
        <v>0.93220801523067798</v>
      </c>
      <c r="AK297" s="2">
        <v>1.6227381601710499E-3</v>
      </c>
      <c r="AL297" s="2">
        <v>9.6166369382860495</v>
      </c>
      <c r="AM297" s="2">
        <v>7.4140695826581302</v>
      </c>
      <c r="AN297" s="2">
        <v>732.52656675749301</v>
      </c>
      <c r="AO297" s="2">
        <v>0.24949814944056301</v>
      </c>
      <c r="AP297" s="2">
        <v>82.089918256130801</v>
      </c>
      <c r="AQ297" s="2">
        <v>110.01977135753501</v>
      </c>
      <c r="AR297" s="2">
        <v>947.17200272479602</v>
      </c>
      <c r="AS297" s="2">
        <v>7.2942779291553101</v>
      </c>
      <c r="AT297" s="2">
        <v>7186.3988419618499</v>
      </c>
      <c r="AU297" s="2">
        <v>1.37321188075225E-2</v>
      </c>
      <c r="AV297" s="2">
        <v>2.22736747818428E-3</v>
      </c>
      <c r="AW297" s="2">
        <v>0.180952216680135</v>
      </c>
      <c r="AX297" s="2">
        <v>4.1633765361329999E-3</v>
      </c>
      <c r="AY297" s="2">
        <v>4088.02023640988</v>
      </c>
      <c r="AZ297" s="2">
        <v>0.21562686877141499</v>
      </c>
      <c r="BA297" s="2">
        <v>4.8985165745627199</v>
      </c>
      <c r="BB297" s="2">
        <v>920</v>
      </c>
    </row>
    <row r="298" spans="1:54" ht="13" x14ac:dyDescent="0.15">
      <c r="A298" s="1" t="s">
        <v>903</v>
      </c>
      <c r="B298" s="1" t="s">
        <v>904</v>
      </c>
      <c r="C298" s="4" t="s">
        <v>905</v>
      </c>
      <c r="D298" s="1" t="s">
        <v>14</v>
      </c>
      <c r="E298" s="2">
        <v>3357</v>
      </c>
      <c r="F298" s="2">
        <v>31394</v>
      </c>
      <c r="G298" s="2">
        <v>6279</v>
      </c>
      <c r="H298" s="2">
        <f t="shared" si="2"/>
        <v>41030</v>
      </c>
      <c r="I298" s="2">
        <v>52495</v>
      </c>
      <c r="J298" s="2">
        <v>1436008</v>
      </c>
      <c r="K298" s="2">
        <f t="shared" si="3"/>
        <v>2.8572264221369239E-2</v>
      </c>
      <c r="M298" s="2">
        <v>0.86748425194943002</v>
      </c>
      <c r="N298" s="2">
        <v>0.78747604963845597</v>
      </c>
      <c r="O298" s="2">
        <v>15.4944306918237</v>
      </c>
      <c r="P298" s="2">
        <v>19.6760659564661</v>
      </c>
      <c r="Q298" s="2">
        <v>25</v>
      </c>
      <c r="R298" s="2">
        <v>17.068677357552701</v>
      </c>
      <c r="S298" s="2">
        <v>0.59137819886542897</v>
      </c>
      <c r="T298" s="2">
        <v>1821.8345673399201</v>
      </c>
      <c r="U298" s="2">
        <v>1058.5999999999999</v>
      </c>
      <c r="V298" s="2">
        <v>1448</v>
      </c>
      <c r="W298" s="2">
        <v>929.69561915057704</v>
      </c>
      <c r="X298" s="2">
        <v>24792.495957304898</v>
      </c>
      <c r="Y298" s="2">
        <v>-385.38508969044398</v>
      </c>
      <c r="Z298" s="2">
        <v>87.010371845155404</v>
      </c>
      <c r="AA298" s="2">
        <v>31.205307067912599</v>
      </c>
      <c r="AB298" s="2">
        <v>0.46958210318681598</v>
      </c>
      <c r="AC298" s="2">
        <v>4.2972956830261602</v>
      </c>
      <c r="AD298" s="2">
        <v>3.5798192345056701</v>
      </c>
      <c r="AE298" s="2">
        <v>0.30698953855933098</v>
      </c>
      <c r="AF298" s="2">
        <v>0.21430112664818499</v>
      </c>
      <c r="AG298" s="2">
        <v>0.986562517685038</v>
      </c>
      <c r="AH298" s="2">
        <v>0.92034196071014995</v>
      </c>
      <c r="AI298" s="2">
        <v>-7.5640478507658801E-2</v>
      </c>
      <c r="AJ298" s="2">
        <v>0.69024362904671899</v>
      </c>
      <c r="AK298" s="2">
        <v>3.6901405498355301E-3</v>
      </c>
      <c r="AL298" s="2">
        <v>8.5666271801206708</v>
      </c>
      <c r="AM298" s="2">
        <v>6.8611547577133098</v>
      </c>
      <c r="AN298" s="2">
        <v>688.79624664879395</v>
      </c>
      <c r="AO298" s="2">
        <v>0.20518208121799</v>
      </c>
      <c r="AP298" s="2">
        <v>165.560619600834</v>
      </c>
      <c r="AQ298" s="2">
        <v>35.28593225809</v>
      </c>
      <c r="AR298" s="2">
        <v>893.09353589514399</v>
      </c>
      <c r="AS298" s="2">
        <v>9.9705093833780207</v>
      </c>
      <c r="AT298" s="2">
        <v>9559.5302353291609</v>
      </c>
      <c r="AU298" s="2">
        <v>1.2022342770043701E-2</v>
      </c>
      <c r="AV298" s="2">
        <v>1.6926022818548299E-3</v>
      </c>
      <c r="AW298" s="2">
        <v>0.276231731242016</v>
      </c>
      <c r="AX298" s="2">
        <v>2.58834742320368E-3</v>
      </c>
      <c r="AY298" s="2">
        <v>2130.26168257787</v>
      </c>
      <c r="AZ298" s="2">
        <v>0.12599190920405401</v>
      </c>
      <c r="BA298" s="2">
        <v>1.6483341388861401</v>
      </c>
      <c r="BB298" s="2">
        <v>545</v>
      </c>
    </row>
    <row r="299" spans="1:54" ht="13" x14ac:dyDescent="0.15">
      <c r="A299" s="1" t="s">
        <v>906</v>
      </c>
      <c r="B299" s="1" t="s">
        <v>907</v>
      </c>
      <c r="C299" s="4" t="s">
        <v>908</v>
      </c>
      <c r="D299" s="1" t="s">
        <v>14</v>
      </c>
      <c r="E299" s="2">
        <v>72</v>
      </c>
      <c r="F299" s="2">
        <v>54419</v>
      </c>
      <c r="G299" s="2">
        <v>1317</v>
      </c>
      <c r="H299" s="2">
        <f t="shared" si="2"/>
        <v>55808</v>
      </c>
      <c r="I299" s="2">
        <v>69374</v>
      </c>
      <c r="J299" s="2">
        <v>1371429</v>
      </c>
      <c r="K299" s="2">
        <f t="shared" si="3"/>
        <v>4.0693320616670643E-2</v>
      </c>
      <c r="M299" s="2">
        <v>0.70384793266940404</v>
      </c>
      <c r="N299" s="2">
        <v>0.49937275119500302</v>
      </c>
      <c r="O299" s="2">
        <v>3.4804931863004702</v>
      </c>
      <c r="P299" s="2">
        <v>6.9697298820803102</v>
      </c>
      <c r="Q299" s="2">
        <v>6.3245553203367599</v>
      </c>
      <c r="R299" s="2">
        <v>4.90562996876639</v>
      </c>
      <c r="S299" s="2">
        <v>0.74525128527543005</v>
      </c>
      <c r="T299" s="2">
        <v>105.082822373738</v>
      </c>
      <c r="U299" s="2">
        <v>1106.5999999999999</v>
      </c>
      <c r="V299" s="2">
        <v>1470</v>
      </c>
      <c r="W299" s="2">
        <v>195.02916962167299</v>
      </c>
      <c r="X299" s="2">
        <v>12322.3607394054</v>
      </c>
      <c r="Y299" s="2">
        <v>-139.93299837240599</v>
      </c>
      <c r="Z299" s="2">
        <v>70.623213940792695</v>
      </c>
      <c r="AA299" s="2">
        <v>38.879185756298199</v>
      </c>
      <c r="AB299" s="2">
        <v>0.28990654305371599</v>
      </c>
      <c r="AC299" s="2">
        <v>4.9618688599555796</v>
      </c>
      <c r="AD299" s="2">
        <v>3.2606543709210398</v>
      </c>
      <c r="AE299" s="2">
        <v>0.281557109924017</v>
      </c>
      <c r="AF299" s="2">
        <v>0.19217965877214599</v>
      </c>
      <c r="AG299" s="2">
        <v>0.93827759849171699</v>
      </c>
      <c r="AH299" s="2">
        <v>0.83658470226755299</v>
      </c>
      <c r="AI299" s="2">
        <v>-0.55366083609859196</v>
      </c>
      <c r="AJ299" s="2">
        <v>0.99397289200608896</v>
      </c>
      <c r="AK299" s="2">
        <v>1.8548064422569899E-2</v>
      </c>
      <c r="AL299" s="2">
        <v>5.8782240810569704</v>
      </c>
      <c r="AM299" s="2">
        <v>5.1106935777410403</v>
      </c>
      <c r="AN299" s="2">
        <v>22.1944444444444</v>
      </c>
      <c r="AO299" s="2">
        <v>0.30825617283950602</v>
      </c>
      <c r="AP299" s="2">
        <v>4.4166666666666696</v>
      </c>
      <c r="AQ299" s="2">
        <v>29.115547839506199</v>
      </c>
      <c r="AR299" s="2">
        <v>189.208333333333</v>
      </c>
      <c r="AS299" s="2">
        <v>4.9166666666666696</v>
      </c>
      <c r="AT299" s="2">
        <v>1122.6527777777801</v>
      </c>
      <c r="AU299" s="2">
        <v>5.9281718669787903E-2</v>
      </c>
      <c r="AV299" s="2">
        <v>2.94752406456842E-2</v>
      </c>
      <c r="AW299" s="2">
        <v>4.8412210346512302E-2</v>
      </c>
      <c r="AX299" s="2">
        <v>7.6692868608016301E-2</v>
      </c>
      <c r="AY299" s="2">
        <v>655.33110916763599</v>
      </c>
      <c r="AZ299" s="2">
        <v>0.38083256050957698</v>
      </c>
      <c r="BA299" s="2">
        <v>14.1980655074655</v>
      </c>
      <c r="BB299" s="2">
        <v>698</v>
      </c>
    </row>
    <row r="300" spans="1:54" ht="13" x14ac:dyDescent="0.15">
      <c r="A300" s="1" t="s">
        <v>909</v>
      </c>
      <c r="B300" s="1" t="s">
        <v>910</v>
      </c>
      <c r="C300" s="4" t="s">
        <v>911</v>
      </c>
      <c r="D300" s="1" t="s">
        <v>14</v>
      </c>
      <c r="E300" s="2">
        <v>30208</v>
      </c>
      <c r="F300" s="2">
        <v>29728</v>
      </c>
      <c r="G300" s="2">
        <v>19821</v>
      </c>
      <c r="H300" s="2">
        <f t="shared" si="2"/>
        <v>79757</v>
      </c>
      <c r="I300" s="2">
        <v>113433</v>
      </c>
      <c r="J300" s="2">
        <v>1373356</v>
      </c>
      <c r="K300" s="2">
        <f t="shared" si="3"/>
        <v>5.8074526925283761E-2</v>
      </c>
      <c r="M300" s="2">
        <v>0.75968471461214304</v>
      </c>
      <c r="N300" s="2">
        <v>0.70617924424471801</v>
      </c>
      <c r="O300" s="2">
        <v>30.632332129964599</v>
      </c>
      <c r="P300" s="2">
        <v>43.377559422221402</v>
      </c>
      <c r="Q300" s="2">
        <v>46.615448083226703</v>
      </c>
      <c r="R300" s="2">
        <v>32.9532688502415</v>
      </c>
      <c r="S300" s="2">
        <v>0.70794443426029796</v>
      </c>
      <c r="T300" s="2">
        <v>6617.1426198004101</v>
      </c>
      <c r="U300" s="2">
        <v>737</v>
      </c>
      <c r="V300" s="2">
        <v>1352</v>
      </c>
      <c r="W300" s="2">
        <v>1792.09727025337</v>
      </c>
      <c r="X300" s="2">
        <v>249812.30099135399</v>
      </c>
      <c r="Y300" s="2">
        <v>-1217.0191504792899</v>
      </c>
      <c r="Z300" s="2">
        <v>332.25759027631801</v>
      </c>
      <c r="AA300" s="2">
        <v>23.1312804561137</v>
      </c>
      <c r="AB300" s="2">
        <v>0.86977560066500004</v>
      </c>
      <c r="AC300" s="2">
        <v>3.3298893937751899</v>
      </c>
      <c r="AD300" s="2">
        <v>3.30027657259282</v>
      </c>
      <c r="AE300" s="2">
        <v>0.38410381641529801</v>
      </c>
      <c r="AF300" s="2">
        <v>0.30403422520469398</v>
      </c>
      <c r="AG300" s="2">
        <v>0.99382050219892104</v>
      </c>
      <c r="AH300" s="2">
        <v>0.94999823071156697</v>
      </c>
      <c r="AI300" s="2">
        <v>-0.218453933872962</v>
      </c>
      <c r="AJ300" s="2">
        <v>0.94122343289198596</v>
      </c>
      <c r="AK300" s="2">
        <v>2.9155107625101402E-3</v>
      </c>
      <c r="AL300" s="2">
        <v>9.0836896462075405</v>
      </c>
      <c r="AM300" s="2">
        <v>8.1399851986538998</v>
      </c>
      <c r="AN300" s="2">
        <v>3891.74026747881</v>
      </c>
      <c r="AO300" s="2">
        <v>0.12883144423592499</v>
      </c>
      <c r="AP300" s="2">
        <v>964.70828919491498</v>
      </c>
      <c r="AQ300" s="2">
        <v>89.670606498641604</v>
      </c>
      <c r="AR300" s="2">
        <v>1766.9781845868599</v>
      </c>
      <c r="AS300" s="2">
        <v>24.275622351694899</v>
      </c>
      <c r="AT300" s="2">
        <v>51324.858746027501</v>
      </c>
      <c r="AU300" s="2">
        <v>1.46849848842329E-2</v>
      </c>
      <c r="AV300" s="2">
        <v>8.4942724235370702E-4</v>
      </c>
      <c r="AW300" s="2">
        <v>0.64808048851586797</v>
      </c>
      <c r="AX300" s="2">
        <v>5.4848924012466905E-4</v>
      </c>
      <c r="AY300" s="2">
        <v>3495.1054469297601</v>
      </c>
      <c r="AZ300" s="2">
        <v>0.104556133939256</v>
      </c>
      <c r="BA300" s="2">
        <v>0.96027174424211803</v>
      </c>
      <c r="BB300" s="2">
        <v>1163</v>
      </c>
    </row>
    <row r="301" spans="1:54" ht="13" x14ac:dyDescent="0.15">
      <c r="A301" s="1" t="s">
        <v>912</v>
      </c>
      <c r="B301" s="1" t="s">
        <v>913</v>
      </c>
      <c r="C301" s="4" t="s">
        <v>914</v>
      </c>
      <c r="D301" s="1" t="s">
        <v>14</v>
      </c>
      <c r="E301" s="2">
        <v>188</v>
      </c>
      <c r="F301" s="2">
        <v>93779</v>
      </c>
      <c r="G301" s="2">
        <v>1231</v>
      </c>
      <c r="H301" s="2">
        <f t="shared" si="2"/>
        <v>95198</v>
      </c>
      <c r="I301" s="2">
        <v>109518</v>
      </c>
      <c r="J301" s="2">
        <v>1629722</v>
      </c>
      <c r="K301" s="2">
        <f t="shared" si="3"/>
        <v>5.8413643553931284E-2</v>
      </c>
      <c r="M301" s="2">
        <v>0.51126356587993305</v>
      </c>
      <c r="N301" s="2">
        <v>0.41620088028197699</v>
      </c>
      <c r="O301" s="2">
        <v>5.1161878137962704</v>
      </c>
      <c r="P301" s="2">
        <v>12.292592486421499</v>
      </c>
      <c r="Q301" s="2">
        <v>8.6023252670426302</v>
      </c>
      <c r="R301" s="2">
        <v>6.2847546685167597</v>
      </c>
      <c r="S301" s="2">
        <v>0.660377980851937</v>
      </c>
      <c r="T301" s="2">
        <v>230.964260724235</v>
      </c>
      <c r="U301" s="2">
        <v>813.7</v>
      </c>
      <c r="V301" s="2">
        <v>1030.2</v>
      </c>
      <c r="W301" s="2">
        <v>63.703230924041598</v>
      </c>
      <c r="X301" s="2">
        <v>2068.0116898681899</v>
      </c>
      <c r="Y301" s="2">
        <v>0.92563445501366504</v>
      </c>
      <c r="Z301" s="2">
        <v>31.378111017655598</v>
      </c>
      <c r="AA301" s="2">
        <v>12.135223607370699</v>
      </c>
      <c r="AB301" s="2">
        <v>0.44255620511023502</v>
      </c>
      <c r="AC301" s="2">
        <v>2.7359210349064802</v>
      </c>
      <c r="AD301" s="2">
        <v>2.8562646759159902</v>
      </c>
      <c r="AE301" s="2">
        <v>0.38752024764960102</v>
      </c>
      <c r="AF301" s="2">
        <v>0.300663965649346</v>
      </c>
      <c r="AG301" s="2">
        <v>0.95811825986792498</v>
      </c>
      <c r="AH301" s="2">
        <v>0.86453351026290004</v>
      </c>
      <c r="AI301" s="2">
        <v>-0.22279321999573401</v>
      </c>
      <c r="AJ301" s="2">
        <v>0.89408854546405603</v>
      </c>
      <c r="AK301" s="2">
        <v>1.3531619119193899E-2</v>
      </c>
      <c r="AL301" s="2">
        <v>6.46659926770021</v>
      </c>
      <c r="AM301" s="2">
        <v>5.6164245569802098</v>
      </c>
      <c r="AN301" s="2">
        <v>40.978723404255298</v>
      </c>
      <c r="AO301" s="2">
        <v>0.217971933001358</v>
      </c>
      <c r="AP301" s="2">
        <v>15.8297872340426</v>
      </c>
      <c r="AQ301" s="2">
        <v>11.534489588048899</v>
      </c>
      <c r="AR301" s="2">
        <v>65.026595744680904</v>
      </c>
      <c r="AS301" s="2">
        <v>10.723404255319201</v>
      </c>
      <c r="AT301" s="2">
        <v>671.77127659574501</v>
      </c>
      <c r="AU301" s="2">
        <v>0.53436351232388601</v>
      </c>
      <c r="AV301" s="2">
        <v>6.8364724294041307E-2</v>
      </c>
      <c r="AW301" s="2">
        <v>0.31691241354448402</v>
      </c>
      <c r="AX301" s="2">
        <v>4.1241924600277702E-2</v>
      </c>
      <c r="AY301" s="2">
        <v>143.25451009497499</v>
      </c>
      <c r="AZ301" s="2">
        <v>0.19349627154271201</v>
      </c>
      <c r="BA301" s="2">
        <v>2.8775832595801498</v>
      </c>
      <c r="BB301" s="2">
        <v>1139</v>
      </c>
    </row>
    <row r="302" spans="1:54" ht="13" x14ac:dyDescent="0.15">
      <c r="A302" s="1" t="s">
        <v>915</v>
      </c>
      <c r="B302" s="1" t="s">
        <v>916</v>
      </c>
      <c r="C302" s="4" t="s">
        <v>917</v>
      </c>
      <c r="D302" s="1" t="s">
        <v>14</v>
      </c>
      <c r="E302" s="2">
        <v>15191</v>
      </c>
      <c r="F302" s="2">
        <v>114588</v>
      </c>
      <c r="G302" s="2">
        <v>33037</v>
      </c>
      <c r="H302" s="2">
        <f t="shared" si="2"/>
        <v>162816</v>
      </c>
      <c r="I302" s="2">
        <v>288544</v>
      </c>
      <c r="J302" s="2">
        <v>1828945</v>
      </c>
      <c r="K302" s="2">
        <f t="shared" si="3"/>
        <v>8.9021813121772389E-2</v>
      </c>
      <c r="M302" s="2">
        <v>0.60696286654953902</v>
      </c>
      <c r="N302" s="2">
        <v>0.29717734162934201</v>
      </c>
      <c r="O302" s="2">
        <v>17.699000202170701</v>
      </c>
      <c r="P302" s="2">
        <v>59.557031182565503</v>
      </c>
      <c r="Q302" s="2">
        <v>46.270941205037097</v>
      </c>
      <c r="R302" s="2">
        <v>36.1489063697503</v>
      </c>
      <c r="S302" s="2">
        <v>0.33757877112265899</v>
      </c>
      <c r="T302" s="2">
        <v>8771.9819403490401</v>
      </c>
      <c r="U302" s="2">
        <v>602</v>
      </c>
      <c r="V302" s="2">
        <v>1148</v>
      </c>
      <c r="W302" s="2">
        <v>872.08937513572698</v>
      </c>
      <c r="X302" s="2">
        <v>175118.25843601199</v>
      </c>
      <c r="Y302" s="2">
        <v>1947.4877099068401</v>
      </c>
      <c r="Z302" s="2">
        <v>251.12611043658899</v>
      </c>
      <c r="AA302" s="2">
        <v>22.350704560837901</v>
      </c>
      <c r="AB302" s="2">
        <v>0.83631508028873802</v>
      </c>
      <c r="AC302" s="2">
        <v>3.1988113647190399</v>
      </c>
      <c r="AD302" s="2">
        <v>3.2442589897325398</v>
      </c>
      <c r="AE302" s="2">
        <v>0.39465917376352799</v>
      </c>
      <c r="AF302" s="2">
        <v>0.316778561368875</v>
      </c>
      <c r="AG302" s="2">
        <v>0.99424028106033202</v>
      </c>
      <c r="AH302" s="2">
        <v>0.95267989278343601</v>
      </c>
      <c r="AI302" s="2">
        <v>-0.21453905069996901</v>
      </c>
      <c r="AJ302" s="2">
        <v>0.937250776936422</v>
      </c>
      <c r="AK302" s="2">
        <v>3.1903997314030098E-3</v>
      </c>
      <c r="AL302" s="2">
        <v>8.9730740348293292</v>
      </c>
      <c r="AM302" s="2">
        <v>8.0445448349872706</v>
      </c>
      <c r="AN302" s="2">
        <v>2075.7674280824199</v>
      </c>
      <c r="AO302" s="2">
        <v>0.136644554544297</v>
      </c>
      <c r="AP302" s="2">
        <v>543.188269370022</v>
      </c>
      <c r="AQ302" s="2">
        <v>69.599352741354195</v>
      </c>
      <c r="AR302" s="2">
        <v>865.52932657494603</v>
      </c>
      <c r="AS302" s="2">
        <v>21.418537291817501</v>
      </c>
      <c r="AT302" s="2">
        <v>19259.451517345798</v>
      </c>
      <c r="AU302" s="2">
        <v>3.3144528399936403E-2</v>
      </c>
      <c r="AV302" s="2">
        <v>1.82677324911224E-3</v>
      </c>
      <c r="AW302" s="2">
        <v>0.54363914818163495</v>
      </c>
      <c r="AX302" s="2">
        <v>9.8557373604222804E-4</v>
      </c>
      <c r="AY302" s="2">
        <v>3241.88690020371</v>
      </c>
      <c r="AZ302" s="2">
        <v>8.2278409803866998E-2</v>
      </c>
      <c r="BA302" s="2">
        <v>1.4302563505224599</v>
      </c>
      <c r="BB302" s="2">
        <v>1142</v>
      </c>
    </row>
    <row r="303" spans="1:54" ht="13" x14ac:dyDescent="0.15">
      <c r="A303" s="1" t="s">
        <v>918</v>
      </c>
      <c r="B303" s="1" t="s">
        <v>919</v>
      </c>
      <c r="C303" s="4" t="s">
        <v>920</v>
      </c>
      <c r="D303" s="1" t="s">
        <v>14</v>
      </c>
      <c r="E303" s="2">
        <v>6342</v>
      </c>
      <c r="F303" s="2">
        <v>166968</v>
      </c>
      <c r="G303" s="2">
        <v>53410</v>
      </c>
      <c r="H303" s="2">
        <f t="shared" si="2"/>
        <v>226720</v>
      </c>
      <c r="I303" s="2">
        <v>437185</v>
      </c>
      <c r="J303" s="2">
        <v>1924508</v>
      </c>
      <c r="K303" s="2">
        <f t="shared" si="3"/>
        <v>0.11780673294161417</v>
      </c>
      <c r="M303" s="2">
        <v>0.49525188721219898</v>
      </c>
      <c r="N303" s="2">
        <v>0.313792825155991</v>
      </c>
      <c r="O303" s="2">
        <v>20.675055193131101</v>
      </c>
      <c r="P303" s="2">
        <v>65.887596960998806</v>
      </c>
      <c r="Q303" s="2">
        <v>59.059292240933601</v>
      </c>
      <c r="R303" s="2">
        <v>32.630956738811399</v>
      </c>
      <c r="S303" s="2">
        <v>0.235215069739239</v>
      </c>
      <c r="T303" s="2">
        <v>6840.8331793732104</v>
      </c>
      <c r="U303" s="2">
        <v>605</v>
      </c>
      <c r="V303" s="2">
        <v>860</v>
      </c>
      <c r="W303" s="2">
        <v>199.867682556143</v>
      </c>
      <c r="X303" s="2">
        <v>50195.919740518097</v>
      </c>
      <c r="Y303" s="2">
        <v>983.50623279969705</v>
      </c>
      <c r="Z303" s="2">
        <v>84.495769568621398</v>
      </c>
      <c r="AA303" s="2">
        <v>7.6540191187668096</v>
      </c>
      <c r="AB303" s="2">
        <v>0.83260763507160596</v>
      </c>
      <c r="AC303" s="2">
        <v>1.83054472180712</v>
      </c>
      <c r="AD303" s="2">
        <v>2.5563591248328499</v>
      </c>
      <c r="AE303" s="2">
        <v>0.51777037380979196</v>
      </c>
      <c r="AF303" s="2">
        <v>0.46378892455313597</v>
      </c>
      <c r="AG303" s="2">
        <v>0.99537690946630097</v>
      </c>
      <c r="AH303" s="2">
        <v>0.95837559710661202</v>
      </c>
      <c r="AI303" s="2">
        <v>-0.24420631811971699</v>
      </c>
      <c r="AJ303" s="2">
        <v>0.92422876724172598</v>
      </c>
      <c r="AK303" s="2">
        <v>1.5818474664025702E-2</v>
      </c>
      <c r="AL303" s="2">
        <v>7.1144537658320797</v>
      </c>
      <c r="AM303" s="2">
        <v>7.3947286435573698</v>
      </c>
      <c r="AN303" s="2">
        <v>638.59350362661598</v>
      </c>
      <c r="AO303" s="2">
        <v>0.10069276310731901</v>
      </c>
      <c r="AP303" s="2">
        <v>526.53358561967798</v>
      </c>
      <c r="AQ303" s="2">
        <v>23.778992169357299</v>
      </c>
      <c r="AR303" s="2">
        <v>208.313781141596</v>
      </c>
      <c r="AS303" s="2">
        <v>37.374329864396103</v>
      </c>
      <c r="AT303" s="2">
        <v>6484.4601072217001</v>
      </c>
      <c r="AU303" s="2">
        <v>0.31013982258089301</v>
      </c>
      <c r="AV303" s="2">
        <v>1.0009041369095299E-2</v>
      </c>
      <c r="AW303" s="2">
        <v>0.661038540349837</v>
      </c>
      <c r="AX303" s="2">
        <v>2.21033089964616E-3</v>
      </c>
      <c r="AY303" s="2">
        <v>816.26602551644396</v>
      </c>
      <c r="AZ303" s="2">
        <v>3.73646227957578E-2</v>
      </c>
      <c r="BA303" s="2">
        <v>2.0379536376547498</v>
      </c>
      <c r="BB303" s="2">
        <v>376</v>
      </c>
    </row>
    <row r="304" spans="1:54" ht="13" x14ac:dyDescent="0.15">
      <c r="A304" s="1" t="s">
        <v>921</v>
      </c>
      <c r="B304" s="1" t="s">
        <v>922</v>
      </c>
      <c r="C304" s="4" t="s">
        <v>923</v>
      </c>
      <c r="D304" s="1" t="s">
        <v>14</v>
      </c>
      <c r="E304" s="2">
        <v>9005</v>
      </c>
      <c r="F304" s="2">
        <v>33031</v>
      </c>
      <c r="G304" s="2">
        <v>13106</v>
      </c>
      <c r="H304" s="2">
        <f t="shared" si="2"/>
        <v>55142</v>
      </c>
      <c r="I304" s="2">
        <v>74628</v>
      </c>
      <c r="J304" s="2">
        <v>1609606</v>
      </c>
      <c r="K304" s="2">
        <f t="shared" si="3"/>
        <v>3.4258073093663917E-2</v>
      </c>
      <c r="M304" s="2">
        <v>0.68907437407539995</v>
      </c>
      <c r="N304" s="2">
        <v>0.48737338639954803</v>
      </c>
      <c r="O304" s="2">
        <v>20.787956725754501</v>
      </c>
      <c r="P304" s="2">
        <v>42.653040370802202</v>
      </c>
      <c r="Q304" s="2">
        <v>50.990195135927898</v>
      </c>
      <c r="R304" s="2">
        <v>29.391117095923299</v>
      </c>
      <c r="S304" s="2">
        <v>0.43651450678790099</v>
      </c>
      <c r="T304" s="2">
        <v>4762.1556055274796</v>
      </c>
      <c r="U304" s="2">
        <v>914</v>
      </c>
      <c r="V304" s="2">
        <v>1879</v>
      </c>
      <c r="W304" s="2">
        <v>1671.0203977951601</v>
      </c>
      <c r="X304" s="2">
        <v>1007764.7423172001</v>
      </c>
      <c r="Y304" s="2">
        <v>1617.7091928704001</v>
      </c>
      <c r="Z304" s="2">
        <v>770.93029598372596</v>
      </c>
      <c r="AA304" s="2">
        <v>35.105278688352698</v>
      </c>
      <c r="AB304" s="2">
        <v>0.91283867274010499</v>
      </c>
      <c r="AC304" s="2">
        <v>4.0252629132177997</v>
      </c>
      <c r="AD304" s="2">
        <v>3.5544339045308799</v>
      </c>
      <c r="AE304" s="2">
        <v>0.36239369143973799</v>
      </c>
      <c r="AF304" s="2">
        <v>0.282785339050866</v>
      </c>
      <c r="AG304" s="2">
        <v>0.991614253800574</v>
      </c>
      <c r="AH304" s="2">
        <v>0.94347628511292203</v>
      </c>
      <c r="AI304" s="2">
        <v>-0.26076692076730601</v>
      </c>
      <c r="AJ304" s="2">
        <v>0.96939611877570298</v>
      </c>
      <c r="AK304" s="2">
        <v>2.3403088318826302E-3</v>
      </c>
      <c r="AL304" s="2">
        <v>9.6301150822120807</v>
      </c>
      <c r="AM304" s="2">
        <v>8.2925115278674504</v>
      </c>
      <c r="AN304" s="2">
        <v>1400.0931704608599</v>
      </c>
      <c r="AO304" s="2">
        <v>0.15547953031214401</v>
      </c>
      <c r="AP304" s="2">
        <v>203.26052193225999</v>
      </c>
      <c r="AQ304" s="2">
        <v>205.036730522651</v>
      </c>
      <c r="AR304" s="2">
        <v>1584.52604108828</v>
      </c>
      <c r="AS304" s="2">
        <v>23.077512493059398</v>
      </c>
      <c r="AT304" s="2">
        <v>58873.250527484699</v>
      </c>
      <c r="AU304" s="2">
        <v>1.7275703528970399E-2</v>
      </c>
      <c r="AV304" s="2">
        <v>1.37030324484695E-3</v>
      </c>
      <c r="AW304" s="2">
        <v>0.23254487108829</v>
      </c>
      <c r="AX304" s="2">
        <v>2.3800561887099801E-3</v>
      </c>
      <c r="AY304" s="2">
        <v>3074.8151197867101</v>
      </c>
      <c r="AZ304" s="2">
        <v>0.256148433374697</v>
      </c>
      <c r="BA304" s="2">
        <v>3.14388509637365</v>
      </c>
      <c r="BB304" s="2">
        <v>1440</v>
      </c>
    </row>
    <row r="305" spans="1:54" ht="13" x14ac:dyDescent="0.15">
      <c r="A305" s="1" t="s">
        <v>924</v>
      </c>
      <c r="B305" s="1" t="s">
        <v>925</v>
      </c>
      <c r="C305" s="4" t="s">
        <v>926</v>
      </c>
      <c r="D305" s="1" t="s">
        <v>14</v>
      </c>
      <c r="E305" s="2">
        <v>2396</v>
      </c>
      <c r="F305" s="2">
        <v>3059</v>
      </c>
      <c r="G305" s="2">
        <v>2769</v>
      </c>
      <c r="H305" s="2">
        <f t="shared" si="2"/>
        <v>8224</v>
      </c>
      <c r="I305" s="2">
        <v>8721</v>
      </c>
      <c r="J305" s="2">
        <v>1717457</v>
      </c>
      <c r="K305" s="2">
        <f t="shared" si="3"/>
        <v>4.7884750535239018E-3</v>
      </c>
      <c r="M305" s="2">
        <v>0.77190014842013099</v>
      </c>
      <c r="N305" s="2">
        <v>0.56726586191451001</v>
      </c>
      <c r="O305" s="2">
        <v>11.3575444115561</v>
      </c>
      <c r="P305" s="2">
        <v>20.021554572708901</v>
      </c>
      <c r="Q305" s="2">
        <v>20.248456731316601</v>
      </c>
      <c r="R305" s="2">
        <v>15.4546409462758</v>
      </c>
      <c r="S305" s="2">
        <v>0.77670739943406897</v>
      </c>
      <c r="T305" s="2">
        <v>1106.96848105665</v>
      </c>
      <c r="U305" s="2">
        <v>691.5</v>
      </c>
      <c r="V305" s="2">
        <v>1085</v>
      </c>
      <c r="W305" s="2">
        <v>386.505355154992</v>
      </c>
      <c r="X305" s="2">
        <v>54104.0624618168</v>
      </c>
      <c r="Y305" s="2">
        <v>1049.4739494061801</v>
      </c>
      <c r="Z305" s="2">
        <v>121.376413723201</v>
      </c>
      <c r="AA305" s="2">
        <v>32.7550424304168</v>
      </c>
      <c r="AB305" s="2">
        <v>0.574296668861214</v>
      </c>
      <c r="AC305" s="2">
        <v>4.2525613168093601</v>
      </c>
      <c r="AD305" s="2">
        <v>3.5871827351987902</v>
      </c>
      <c r="AE305" s="2">
        <v>0.32082516767471803</v>
      </c>
      <c r="AF305" s="2">
        <v>0.23151840490473999</v>
      </c>
      <c r="AG305" s="2">
        <v>0.98273175366477905</v>
      </c>
      <c r="AH305" s="2">
        <v>0.91369819375688699</v>
      </c>
      <c r="AI305" s="2">
        <v>-0.11447000220626299</v>
      </c>
      <c r="AJ305" s="2">
        <v>0.79819655380800103</v>
      </c>
      <c r="AK305" s="2">
        <v>3.7607501173146899E-3</v>
      </c>
      <c r="AL305" s="2">
        <v>8.6360779093354303</v>
      </c>
      <c r="AM305" s="2">
        <v>7.0812332741460899</v>
      </c>
      <c r="AN305" s="2">
        <v>445.81969949916498</v>
      </c>
      <c r="AO305" s="2">
        <v>0.18606832199464299</v>
      </c>
      <c r="AP305" s="2">
        <v>120.19782971619399</v>
      </c>
      <c r="AQ305" s="2">
        <v>40.261097377097599</v>
      </c>
      <c r="AR305" s="2">
        <v>400.05676126878097</v>
      </c>
      <c r="AS305" s="2">
        <v>12.235392320534199</v>
      </c>
      <c r="AT305" s="2">
        <v>4400.1176961602696</v>
      </c>
      <c r="AU305" s="2">
        <v>4.9660615019984401E-2</v>
      </c>
      <c r="AV305" s="2">
        <v>4.8815143144338496E-3</v>
      </c>
      <c r="AW305" s="2">
        <v>0.33913398258941102</v>
      </c>
      <c r="AX305" s="2">
        <v>3.7006087987349E-3</v>
      </c>
      <c r="AY305" s="2">
        <v>1915.13254392257</v>
      </c>
      <c r="AZ305" s="2">
        <v>0.13746310287716801</v>
      </c>
      <c r="BA305" s="2">
        <v>2.2674028104202302</v>
      </c>
      <c r="BB305" s="2">
        <v>1299</v>
      </c>
    </row>
    <row r="306" spans="1:54" ht="13" x14ac:dyDescent="0.15">
      <c r="A306" s="1" t="s">
        <v>927</v>
      </c>
      <c r="B306" s="1" t="s">
        <v>928</v>
      </c>
      <c r="C306" s="4" t="s">
        <v>929</v>
      </c>
      <c r="D306" s="1" t="s">
        <v>14</v>
      </c>
      <c r="E306" s="2">
        <v>16448</v>
      </c>
      <c r="F306" s="2">
        <v>124768</v>
      </c>
      <c r="G306" s="2">
        <v>27841</v>
      </c>
      <c r="H306" s="2">
        <f t="shared" si="2"/>
        <v>169057</v>
      </c>
      <c r="I306" s="2">
        <v>203236</v>
      </c>
      <c r="J306" s="2">
        <v>1526710</v>
      </c>
      <c r="K306" s="2">
        <f t="shared" si="3"/>
        <v>0.11073288312777148</v>
      </c>
      <c r="M306" s="2">
        <v>0.67840296014746404</v>
      </c>
      <c r="N306" s="2">
        <v>0.38613450867633903</v>
      </c>
      <c r="O306" s="2">
        <v>20.737602001527598</v>
      </c>
      <c r="P306" s="2">
        <v>53.705642815027502</v>
      </c>
      <c r="Q306" s="2">
        <v>59.211485372349898</v>
      </c>
      <c r="R306" s="2">
        <v>36.4340670623371</v>
      </c>
      <c r="S306" s="2">
        <v>0.50774779013690496</v>
      </c>
      <c r="T306" s="2">
        <v>6127.9845816939796</v>
      </c>
      <c r="U306" s="2">
        <v>2034.7</v>
      </c>
      <c r="V306" s="2">
        <v>2462</v>
      </c>
      <c r="W306" s="2">
        <v>2117.1548078488599</v>
      </c>
      <c r="X306" s="2">
        <v>123525.856170489</v>
      </c>
      <c r="Y306" s="2">
        <v>-2253.42136690706</v>
      </c>
      <c r="Z306" s="2">
        <v>134.828315680831</v>
      </c>
      <c r="AA306" s="2">
        <v>19.172588018505198</v>
      </c>
      <c r="AB306" s="2">
        <v>0.74732718453465496</v>
      </c>
      <c r="AC306" s="2">
        <v>3.0147612758350699</v>
      </c>
      <c r="AD306" s="2">
        <v>3.1495699838597599</v>
      </c>
      <c r="AE306" s="2">
        <v>0.39994215114763298</v>
      </c>
      <c r="AF306" s="2">
        <v>0.321228814314305</v>
      </c>
      <c r="AG306" s="2">
        <v>0.99501469484958405</v>
      </c>
      <c r="AH306" s="2">
        <v>0.95503790100631403</v>
      </c>
      <c r="AI306" s="2">
        <v>-0.16032900159265601</v>
      </c>
      <c r="AJ306" s="2">
        <v>0.86034250890821196</v>
      </c>
      <c r="AK306" s="2">
        <v>6.0696832450177199E-3</v>
      </c>
      <c r="AL306" s="2">
        <v>8.2329600667469407</v>
      </c>
      <c r="AM306" s="2">
        <v>7.5825677257244104</v>
      </c>
      <c r="AN306" s="2">
        <v>2042.10031614786</v>
      </c>
      <c r="AO306" s="2">
        <v>0.124154931672414</v>
      </c>
      <c r="AP306" s="2">
        <v>852.95659046692595</v>
      </c>
      <c r="AQ306" s="2">
        <v>51.886703890648398</v>
      </c>
      <c r="AR306" s="2">
        <v>2044.9815175097301</v>
      </c>
      <c r="AS306" s="2">
        <v>23.741974708171199</v>
      </c>
      <c r="AT306" s="2">
        <v>53514.192728599199</v>
      </c>
      <c r="AU306" s="2">
        <v>1.1192901470608699E-2</v>
      </c>
      <c r="AV306" s="2">
        <v>6.8687213054400404E-4</v>
      </c>
      <c r="AW306" s="2">
        <v>0.36095377469567902</v>
      </c>
      <c r="AX306" s="2">
        <v>7.1860801760451998E-4</v>
      </c>
      <c r="AY306" s="2">
        <v>3906.78118864202</v>
      </c>
      <c r="AZ306" s="2">
        <v>6.3848043254909406E-2</v>
      </c>
      <c r="BA306" s="2">
        <v>1.7801134018696601</v>
      </c>
      <c r="BB306" s="2">
        <v>482</v>
      </c>
    </row>
    <row r="307" spans="1:54" ht="13" x14ac:dyDescent="0.15">
      <c r="A307" s="1" t="s">
        <v>930</v>
      </c>
      <c r="B307" s="1" t="s">
        <v>931</v>
      </c>
      <c r="C307" s="4" t="s">
        <v>932</v>
      </c>
      <c r="D307" s="1" t="s">
        <v>14</v>
      </c>
      <c r="E307" s="2">
        <v>15803</v>
      </c>
      <c r="F307" s="2">
        <v>34426</v>
      </c>
      <c r="G307" s="2">
        <v>26030</v>
      </c>
      <c r="H307" s="2">
        <f t="shared" si="2"/>
        <v>76259</v>
      </c>
      <c r="I307" s="2">
        <v>95806</v>
      </c>
      <c r="J307" s="2">
        <v>1560049</v>
      </c>
      <c r="K307" s="2">
        <f t="shared" si="3"/>
        <v>4.8882438949033012E-2</v>
      </c>
      <c r="M307" s="2">
        <v>0.69324564036400904</v>
      </c>
      <c r="N307" s="2">
        <v>0.65063926194920196</v>
      </c>
      <c r="O307" s="2">
        <v>28.219018507185002</v>
      </c>
      <c r="P307" s="2">
        <v>43.371219902478401</v>
      </c>
      <c r="Q307" s="2">
        <v>48.270073544588698</v>
      </c>
      <c r="R307" s="2">
        <v>30.0669091146619</v>
      </c>
      <c r="S307" s="2">
        <v>0.395483798938569</v>
      </c>
      <c r="T307" s="2">
        <v>7662.4457553744396</v>
      </c>
      <c r="U307" s="2">
        <v>713</v>
      </c>
      <c r="V307" s="2">
        <v>1586</v>
      </c>
      <c r="W307" s="2">
        <v>1339.0608824690501</v>
      </c>
      <c r="X307" s="2">
        <v>794401.33871462301</v>
      </c>
      <c r="Y307" s="2">
        <v>3464.8527628932402</v>
      </c>
      <c r="Z307" s="2">
        <v>627.82328712090396</v>
      </c>
      <c r="AA307" s="2">
        <v>30.178021299819701</v>
      </c>
      <c r="AB307" s="2">
        <v>0.90815214271488898</v>
      </c>
      <c r="AC307" s="2">
        <v>3.9209974481869301</v>
      </c>
      <c r="AD307" s="2">
        <v>3.5036328639641199</v>
      </c>
      <c r="AE307" s="2">
        <v>0.34576650240484602</v>
      </c>
      <c r="AF307" s="2">
        <v>0.26020548987818298</v>
      </c>
      <c r="AG307" s="2">
        <v>0.99291457488773305</v>
      </c>
      <c r="AH307" s="2">
        <v>0.94502939723754797</v>
      </c>
      <c r="AI307" s="2">
        <v>-0.24622175377469499</v>
      </c>
      <c r="AJ307" s="2">
        <v>0.96480899405399101</v>
      </c>
      <c r="AK307" s="2">
        <v>1.61805013338171E-3</v>
      </c>
      <c r="AL307" s="2">
        <v>9.7825273179557808</v>
      </c>
      <c r="AM307" s="2">
        <v>8.2817711095063604</v>
      </c>
      <c r="AN307" s="2">
        <v>2598.9420363222198</v>
      </c>
      <c r="AO307" s="2">
        <v>0.16445877594901101</v>
      </c>
      <c r="AP307" s="2">
        <v>360.67537809276701</v>
      </c>
      <c r="AQ307" s="2">
        <v>164.84589404595201</v>
      </c>
      <c r="AR307" s="2">
        <v>1298.5445801430101</v>
      </c>
      <c r="AS307" s="2">
        <v>15.661899639309</v>
      </c>
      <c r="AT307" s="2">
        <v>22217.3079794976</v>
      </c>
      <c r="AU307" s="2">
        <v>2.4163219935864101E-2</v>
      </c>
      <c r="AV307" s="2">
        <v>1.65211795800953E-3</v>
      </c>
      <c r="AW307" s="2">
        <v>0.53677140451484495</v>
      </c>
      <c r="AX307" s="2">
        <v>1.2851351836543499E-3</v>
      </c>
      <c r="AY307" s="2">
        <v>3534.71637729646</v>
      </c>
      <c r="AZ307" s="2">
        <v>0.192850138179746</v>
      </c>
      <c r="BA307" s="2">
        <v>1.7343181531537799</v>
      </c>
      <c r="BB307" s="2">
        <v>418</v>
      </c>
    </row>
    <row r="308" spans="1:54" ht="13" x14ac:dyDescent="0.15">
      <c r="A308" s="1" t="s">
        <v>933</v>
      </c>
      <c r="B308" s="1" t="s">
        <v>934</v>
      </c>
      <c r="C308" s="4" t="s">
        <v>935</v>
      </c>
      <c r="D308" s="1" t="s">
        <v>14</v>
      </c>
      <c r="E308" s="2">
        <v>1999</v>
      </c>
      <c r="F308" s="2">
        <v>69702</v>
      </c>
      <c r="G308" s="2">
        <v>21698</v>
      </c>
      <c r="H308" s="2">
        <f t="shared" si="2"/>
        <v>93399</v>
      </c>
      <c r="I308" s="2">
        <v>203006</v>
      </c>
      <c r="J308" s="2">
        <v>1673461</v>
      </c>
      <c r="K308" s="2">
        <f t="shared" si="3"/>
        <v>5.5811877300994767E-2</v>
      </c>
      <c r="M308" s="2">
        <v>0.69462560205014801</v>
      </c>
      <c r="N308" s="2">
        <v>0.194614316267291</v>
      </c>
      <c r="O308" s="2">
        <v>12.908946096133899</v>
      </c>
      <c r="P308" s="2">
        <v>66.330917189073602</v>
      </c>
      <c r="Q308" s="2">
        <v>46.872166581031898</v>
      </c>
      <c r="R308" s="2">
        <v>46.075153286998798</v>
      </c>
      <c r="S308" s="2">
        <v>0.46699668623123503</v>
      </c>
      <c r="T308" s="2">
        <v>1620.5054582319899</v>
      </c>
      <c r="U308" s="2">
        <v>645.79999999999995</v>
      </c>
      <c r="V308" s="2">
        <v>1224</v>
      </c>
      <c r="W308" s="2">
        <v>250.091830898713</v>
      </c>
      <c r="X308" s="2">
        <v>180441.29707960601</v>
      </c>
      <c r="Y308" s="2">
        <v>3027.0529056025998</v>
      </c>
      <c r="Z308" s="2">
        <v>338.017837799294</v>
      </c>
      <c r="AA308" s="2">
        <v>5.9378253482168599</v>
      </c>
      <c r="AB308" s="2">
        <v>0.96549334407124299</v>
      </c>
      <c r="AC308" s="2">
        <v>1.6724255452903101</v>
      </c>
      <c r="AD308" s="2">
        <v>2.4252618612727699</v>
      </c>
      <c r="AE308" s="2">
        <v>0.52181408366529403</v>
      </c>
      <c r="AF308" s="2">
        <v>0.46752078247135198</v>
      </c>
      <c r="AG308" s="2">
        <v>0.99473685330769901</v>
      </c>
      <c r="AH308" s="2">
        <v>0.95402818848238302</v>
      </c>
      <c r="AI308" s="2">
        <v>-0.36601684221845698</v>
      </c>
      <c r="AJ308" s="2">
        <v>0.97884010377550201</v>
      </c>
      <c r="AK308" s="2">
        <v>1.2296078157540099E-2</v>
      </c>
      <c r="AL308" s="2">
        <v>7.14182279101757</v>
      </c>
      <c r="AM308" s="2">
        <v>7.5158749296860403</v>
      </c>
      <c r="AN308" s="2">
        <v>185.545272636318</v>
      </c>
      <c r="AO308" s="2">
        <v>9.2819045841079598E-2</v>
      </c>
      <c r="AP308" s="2">
        <v>116.610805402701</v>
      </c>
      <c r="AQ308" s="2">
        <v>83.472102734708997</v>
      </c>
      <c r="AR308" s="2">
        <v>242.416208104052</v>
      </c>
      <c r="AS308" s="2">
        <v>41.456228114056998</v>
      </c>
      <c r="AT308" s="2">
        <v>11474.715357678801</v>
      </c>
      <c r="AU308" s="2">
        <v>1.6318728592727101</v>
      </c>
      <c r="AV308" s="2">
        <v>3.6139670279776798E-2</v>
      </c>
      <c r="AW308" s="2">
        <v>0.26110526718147098</v>
      </c>
      <c r="AX308" s="2">
        <v>9.3052536219447504E-3</v>
      </c>
      <c r="AY308" s="2">
        <v>519.60439041854102</v>
      </c>
      <c r="AZ308" s="2">
        <v>0.19831460497937001</v>
      </c>
      <c r="BA308" s="2">
        <v>5.0294666916239601</v>
      </c>
      <c r="BB308" s="2">
        <v>418</v>
      </c>
    </row>
    <row r="309" spans="1:54" ht="13" x14ac:dyDescent="0.15">
      <c r="A309" s="1" t="s">
        <v>936</v>
      </c>
      <c r="B309" s="1" t="s">
        <v>937</v>
      </c>
      <c r="C309" s="4" t="s">
        <v>938</v>
      </c>
      <c r="D309" s="1" t="s">
        <v>14</v>
      </c>
      <c r="E309" s="2">
        <v>7797</v>
      </c>
      <c r="F309" s="2">
        <v>193226</v>
      </c>
      <c r="G309" s="2">
        <v>10542</v>
      </c>
      <c r="H309" s="2">
        <f t="shared" si="2"/>
        <v>211565</v>
      </c>
      <c r="I309" s="2">
        <v>351607</v>
      </c>
      <c r="J309" s="2">
        <v>1421313</v>
      </c>
      <c r="K309" s="2">
        <f t="shared" si="3"/>
        <v>0.14885180111629176</v>
      </c>
      <c r="M309" s="2">
        <v>0.93422939759686996</v>
      </c>
      <c r="N309" s="2">
        <v>0.48737542250068</v>
      </c>
      <c r="O309" s="2">
        <v>15.425232648646499</v>
      </c>
      <c r="P309" s="2">
        <v>31.649590719000699</v>
      </c>
      <c r="Q309" s="2">
        <v>33.734255586865999</v>
      </c>
      <c r="R309" s="2">
        <v>29.567978071599502</v>
      </c>
      <c r="S309" s="2">
        <v>0.60302076254269099</v>
      </c>
      <c r="T309" s="2">
        <v>3148.3570604490901</v>
      </c>
      <c r="U309" s="2">
        <v>261.60000000000002</v>
      </c>
      <c r="V309" s="2">
        <v>1682.4</v>
      </c>
      <c r="W309" s="2">
        <v>2172.69236168113</v>
      </c>
      <c r="X309" s="2">
        <v>5062089.6039160602</v>
      </c>
      <c r="Y309" s="2">
        <v>-25592.4334618639</v>
      </c>
      <c r="Z309" s="2">
        <v>1605.9687549365999</v>
      </c>
      <c r="AA309" s="2">
        <v>88.029568800880696</v>
      </c>
      <c r="AB309" s="2">
        <v>0.89606946115959496</v>
      </c>
      <c r="AC309" s="2">
        <v>6.5506972356781201</v>
      </c>
      <c r="AD309" s="2">
        <v>4.2121456666370003</v>
      </c>
      <c r="AE309" s="2">
        <v>0.28142608540530301</v>
      </c>
      <c r="AF309" s="2">
        <v>0.20082442562922501</v>
      </c>
      <c r="AG309" s="2">
        <v>0.98556638286002995</v>
      </c>
      <c r="AH309" s="2">
        <v>0.92518605003571897</v>
      </c>
      <c r="AI309" s="2">
        <v>-0.24005116517324601</v>
      </c>
      <c r="AJ309" s="2">
        <v>0.97007634464556802</v>
      </c>
      <c r="AK309" s="2">
        <v>1.3253254751367299E-3</v>
      </c>
      <c r="AL309" s="2">
        <v>10.624878613281201</v>
      </c>
      <c r="AM309" s="2">
        <v>8.3114006864576702</v>
      </c>
      <c r="AN309" s="2">
        <v>1658.3528280107701</v>
      </c>
      <c r="AO309" s="2">
        <v>0.212691141209539</v>
      </c>
      <c r="AP309" s="2">
        <v>128.08118507118101</v>
      </c>
      <c r="AQ309" s="2">
        <v>417.11580956353203</v>
      </c>
      <c r="AR309" s="2">
        <v>2217.6524304219602</v>
      </c>
      <c r="AS309" s="2">
        <v>15.5681672438117</v>
      </c>
      <c r="AT309" s="2">
        <v>50124.5330255226</v>
      </c>
      <c r="AU309" s="2">
        <v>0.17464454542323099</v>
      </c>
      <c r="AV309" s="2">
        <v>5.58231605606527E-3</v>
      </c>
      <c r="AW309" s="2">
        <v>0.144174710415617</v>
      </c>
      <c r="AX309" s="2">
        <v>2.2366414813794599E-3</v>
      </c>
      <c r="AY309" s="2">
        <v>7678.9559640129901</v>
      </c>
      <c r="AZ309" s="2">
        <v>0.57639396757178896</v>
      </c>
      <c r="BA309" s="2">
        <v>4.5424859991497302</v>
      </c>
      <c r="BB309" s="2">
        <v>1084</v>
      </c>
    </row>
    <row r="310" spans="1:54" ht="13" x14ac:dyDescent="0.15">
      <c r="A310" s="1" t="s">
        <v>939</v>
      </c>
      <c r="B310" s="1" t="s">
        <v>940</v>
      </c>
      <c r="C310" s="4" t="s">
        <v>941</v>
      </c>
      <c r="D310" s="1" t="s">
        <v>14</v>
      </c>
      <c r="E310" s="2">
        <v>31705</v>
      </c>
      <c r="F310" s="2">
        <v>67607</v>
      </c>
      <c r="G310" s="2">
        <v>31773</v>
      </c>
      <c r="H310" s="2">
        <f t="shared" si="2"/>
        <v>131085</v>
      </c>
      <c r="I310" s="2">
        <v>190813</v>
      </c>
      <c r="J310" s="2">
        <v>1486027</v>
      </c>
      <c r="K310" s="2">
        <f t="shared" si="3"/>
        <v>8.8211721590522915E-2</v>
      </c>
      <c r="M310" s="2">
        <v>0.76124937856555297</v>
      </c>
      <c r="N310" s="2">
        <v>0.64916699988924298</v>
      </c>
      <c r="O310" s="2">
        <v>31.408176969197498</v>
      </c>
      <c r="P310" s="2">
        <v>48.382276016119398</v>
      </c>
      <c r="Q310" s="2">
        <v>46.141087980237302</v>
      </c>
      <c r="R310" s="2">
        <v>36.830977550857902</v>
      </c>
      <c r="S310" s="2">
        <v>0.41357052886768503</v>
      </c>
      <c r="T310" s="2">
        <v>11672.775616786001</v>
      </c>
      <c r="U310" s="2">
        <v>603</v>
      </c>
      <c r="V310" s="2">
        <v>1188</v>
      </c>
      <c r="W310" s="2">
        <v>1264.9951529638299</v>
      </c>
      <c r="X310" s="2">
        <v>470903.36598277802</v>
      </c>
      <c r="Y310" s="2">
        <v>-65.274418083812606</v>
      </c>
      <c r="Z310" s="2">
        <v>341.36224357741702</v>
      </c>
      <c r="AA310" s="2">
        <v>46.997157864279899</v>
      </c>
      <c r="AB310" s="2">
        <v>0.75782774265032804</v>
      </c>
      <c r="AC310" s="2">
        <v>4.9244212404906298</v>
      </c>
      <c r="AD310" s="2">
        <v>3.8090508667577798</v>
      </c>
      <c r="AE310" s="2">
        <v>0.30166165297494701</v>
      </c>
      <c r="AF310" s="2">
        <v>0.21298985382189101</v>
      </c>
      <c r="AG310" s="2">
        <v>0.99326667584866601</v>
      </c>
      <c r="AH310" s="2">
        <v>0.94594131237725199</v>
      </c>
      <c r="AI310" s="2">
        <v>-0.138614564802263</v>
      </c>
      <c r="AJ310" s="2">
        <v>0.869284045602016</v>
      </c>
      <c r="AK310" s="2">
        <v>1.9450040020306601E-3</v>
      </c>
      <c r="AL310" s="2">
        <v>9.8094732777636402</v>
      </c>
      <c r="AM310" s="2">
        <v>7.77772366836356</v>
      </c>
      <c r="AN310" s="2">
        <v>6180.8853177732199</v>
      </c>
      <c r="AO310" s="2">
        <v>0.19494986020416999</v>
      </c>
      <c r="AP310" s="2">
        <v>1048.4114492982201</v>
      </c>
      <c r="AQ310" s="2">
        <v>97.553180633611305</v>
      </c>
      <c r="AR310" s="2">
        <v>1268.9629080586701</v>
      </c>
      <c r="AS310" s="2">
        <v>11.192777164485101</v>
      </c>
      <c r="AT310" s="2">
        <v>13337.5886137833</v>
      </c>
      <c r="AU310" s="2">
        <v>4.7541235377653798E-2</v>
      </c>
      <c r="AV310" s="2">
        <v>2.4129245935622799E-3</v>
      </c>
      <c r="AW310" s="2">
        <v>0.750712657694936</v>
      </c>
      <c r="AX310" s="2">
        <v>3.6849277338317802E-4</v>
      </c>
      <c r="AY310" s="2">
        <v>9206.9519064772103</v>
      </c>
      <c r="AZ310" s="2">
        <v>9.3914309038342095E-2</v>
      </c>
      <c r="BA310" s="2">
        <v>1.15220004722972</v>
      </c>
      <c r="BB310" s="2">
        <v>1167</v>
      </c>
    </row>
    <row r="311" spans="1:54" ht="13" x14ac:dyDescent="0.15">
      <c r="A311" s="1" t="s">
        <v>942</v>
      </c>
      <c r="B311" s="1" t="s">
        <v>943</v>
      </c>
      <c r="C311" s="4" t="s">
        <v>944</v>
      </c>
      <c r="D311" s="1" t="s">
        <v>14</v>
      </c>
      <c r="E311" s="2">
        <v>0</v>
      </c>
      <c r="F311" s="2">
        <v>12329</v>
      </c>
      <c r="G311" s="2">
        <v>157</v>
      </c>
      <c r="H311" s="2">
        <f t="shared" si="2"/>
        <v>12486</v>
      </c>
      <c r="I311" s="2">
        <v>44656</v>
      </c>
      <c r="J311" s="2">
        <v>1566559</v>
      </c>
      <c r="K311" s="2">
        <f t="shared" si="3"/>
        <v>7.9703349825956116E-3</v>
      </c>
      <c r="M311" s="2">
        <v>0.74250028443055305</v>
      </c>
      <c r="N311" s="2">
        <v>0.51477877365464897</v>
      </c>
      <c r="O311" s="2">
        <v>19.1317339939025</v>
      </c>
      <c r="P311" s="2">
        <v>37.1649628404016</v>
      </c>
      <c r="Q311" s="2">
        <v>129.13945950018501</v>
      </c>
      <c r="R311" s="2">
        <v>27.5949954798491</v>
      </c>
      <c r="S311" s="2">
        <v>0.69915086833037599</v>
      </c>
      <c r="T311" s="2">
        <v>3682.1665023656601</v>
      </c>
      <c r="U311" s="2">
        <v>179</v>
      </c>
      <c r="V311" s="2">
        <v>301</v>
      </c>
      <c r="W311" s="2">
        <v>49.972423131178701</v>
      </c>
      <c r="X311" s="2">
        <v>3694.1232566377298</v>
      </c>
      <c r="Y311" s="2">
        <v>147.319736066627</v>
      </c>
      <c r="Z311" s="2">
        <v>16.5838446632382</v>
      </c>
      <c r="AA311" s="2">
        <v>4.9147838907755297</v>
      </c>
      <c r="AB311" s="2">
        <v>0.53711987459613197</v>
      </c>
      <c r="AC311" s="2">
        <v>1.3654709222443</v>
      </c>
      <c r="AD311" s="2">
        <v>2.2109633785373499</v>
      </c>
      <c r="AE311" s="2">
        <v>0.58399176978066802</v>
      </c>
      <c r="AF311" s="2">
        <v>0.54343752381501798</v>
      </c>
      <c r="AG311" s="2">
        <v>0.99597851624779998</v>
      </c>
      <c r="AH311" s="2">
        <v>0.96342865555855295</v>
      </c>
      <c r="AI311" s="2">
        <v>-0.126703683737064</v>
      </c>
      <c r="AJ311" s="2">
        <v>0.700247831290572</v>
      </c>
      <c r="AK311" s="2">
        <v>4.1336590281317503E-2</v>
      </c>
      <c r="AL311" s="2">
        <v>5.5272421396367397</v>
      </c>
      <c r="AM311" s="2">
        <v>6.91307691168248</v>
      </c>
      <c r="AN311" s="2">
        <v>752.58569227025703</v>
      </c>
      <c r="AO311" s="2">
        <v>6.1041908692534397E-2</v>
      </c>
      <c r="AP311" s="2">
        <v>2028.8491361829799</v>
      </c>
      <c r="AQ311" s="2">
        <v>6.4282891028020703</v>
      </c>
      <c r="AR311" s="2">
        <v>54.3027009489821</v>
      </c>
      <c r="AS311" s="2">
        <v>91.290372292967803</v>
      </c>
      <c r="AT311" s="2">
        <v>3633.6218671425099</v>
      </c>
      <c r="AU311" s="2">
        <v>2.7020757382905298</v>
      </c>
      <c r="AV311" s="2">
        <v>2.8200626311141799E-2</v>
      </c>
      <c r="AW311" s="2">
        <v>3.9633078819987899</v>
      </c>
      <c r="AX311" s="2">
        <v>7.1231506822312305E-4</v>
      </c>
      <c r="AY311" s="2">
        <v>635.45540544232597</v>
      </c>
      <c r="AZ311" s="2">
        <v>1.16197536770114E-2</v>
      </c>
      <c r="BA311" s="2">
        <v>1.14068908453993</v>
      </c>
      <c r="BB311" s="2">
        <v>421</v>
      </c>
    </row>
    <row r="312" spans="1:54" ht="13" x14ac:dyDescent="0.15">
      <c r="A312" s="1" t="s">
        <v>945</v>
      </c>
      <c r="B312" s="1" t="s">
        <v>946</v>
      </c>
      <c r="C312" s="4" t="s">
        <v>947</v>
      </c>
      <c r="D312" s="1" t="s">
        <v>14</v>
      </c>
      <c r="E312" s="2">
        <v>9464</v>
      </c>
      <c r="F312" s="2">
        <v>34029</v>
      </c>
      <c r="G312" s="2">
        <v>43011</v>
      </c>
      <c r="H312" s="2">
        <f t="shared" si="2"/>
        <v>86504</v>
      </c>
      <c r="I312" s="2">
        <v>179576</v>
      </c>
      <c r="J312" s="2">
        <v>1431673</v>
      </c>
      <c r="K312" s="2">
        <f t="shared" si="3"/>
        <v>6.0421618623805858E-2</v>
      </c>
      <c r="M312" s="2">
        <v>0.64754563894973505</v>
      </c>
      <c r="N312" s="2">
        <v>0.52823225299119003</v>
      </c>
      <c r="O312" s="2">
        <v>24.831537845080899</v>
      </c>
      <c r="P312" s="2">
        <v>47.008749852870103</v>
      </c>
      <c r="Q312" s="2">
        <v>53.084837759948002</v>
      </c>
      <c r="R312" s="2">
        <v>30.440310959704998</v>
      </c>
      <c r="S312" s="2">
        <v>0.31055669381884998</v>
      </c>
      <c r="T312" s="2">
        <v>6877.8373656671502</v>
      </c>
      <c r="U312" s="2">
        <v>564</v>
      </c>
      <c r="V312" s="2">
        <v>941</v>
      </c>
      <c r="W312" s="2">
        <v>733.91920598833099</v>
      </c>
      <c r="X312" s="2">
        <v>171192.07803484701</v>
      </c>
      <c r="Y312" s="2">
        <v>3001.5182059952099</v>
      </c>
      <c r="Z312" s="2">
        <v>170.20129876080301</v>
      </c>
      <c r="AA312" s="2">
        <v>17.4740723336622</v>
      </c>
      <c r="AB312" s="2">
        <v>0.813198361606288</v>
      </c>
      <c r="AC312" s="2">
        <v>2.81870327570482</v>
      </c>
      <c r="AD312" s="2">
        <v>3.0600677430757601</v>
      </c>
      <c r="AE312" s="2">
        <v>0.41155790727791303</v>
      </c>
      <c r="AF312" s="2">
        <v>0.33421755878272802</v>
      </c>
      <c r="AG312" s="2">
        <v>0.99576103382442405</v>
      </c>
      <c r="AH312" s="2">
        <v>0.95905918022229797</v>
      </c>
      <c r="AI312" s="2">
        <v>-0.19746864275317699</v>
      </c>
      <c r="AJ312" s="2">
        <v>0.90895662998942495</v>
      </c>
      <c r="AK312" s="2">
        <v>7.04174638515044E-3</v>
      </c>
      <c r="AL312" s="2">
        <v>8.1782978875768499</v>
      </c>
      <c r="AM312" s="2">
        <v>7.44335782854598</v>
      </c>
      <c r="AN312" s="2">
        <v>1310.67857142857</v>
      </c>
      <c r="AO312" s="2">
        <v>0.13849097331240201</v>
      </c>
      <c r="AP312" s="2">
        <v>574.44230769230796</v>
      </c>
      <c r="AQ312" s="2">
        <v>46.935875869245898</v>
      </c>
      <c r="AR312" s="2">
        <v>737.41367286559603</v>
      </c>
      <c r="AS312" s="2">
        <v>19.847844463229102</v>
      </c>
      <c r="AT312" s="2">
        <v>13010.782438715099</v>
      </c>
      <c r="AU312" s="2">
        <v>3.5968873424960697E-2</v>
      </c>
      <c r="AV312" s="2">
        <v>1.9645812350569101E-3</v>
      </c>
      <c r="AW312" s="2">
        <v>0.37266759022914397</v>
      </c>
      <c r="AX312" s="2">
        <v>1.25090625777357E-3</v>
      </c>
      <c r="AY312" s="2">
        <v>2923.576135879</v>
      </c>
      <c r="AZ312" s="2">
        <v>4.8228182704366497E-2</v>
      </c>
      <c r="BA312" s="2">
        <v>2.6044761253119102</v>
      </c>
      <c r="BB312" s="2">
        <v>809</v>
      </c>
    </row>
    <row r="313" spans="1:54" ht="13" x14ac:dyDescent="0.15">
      <c r="A313" s="1" t="s">
        <v>948</v>
      </c>
      <c r="B313" s="1" t="s">
        <v>949</v>
      </c>
      <c r="C313" s="4" t="s">
        <v>950</v>
      </c>
      <c r="D313" s="1" t="s">
        <v>14</v>
      </c>
      <c r="E313" s="2">
        <v>1637</v>
      </c>
      <c r="F313" s="2">
        <v>108994</v>
      </c>
      <c r="G313" s="2">
        <v>9759</v>
      </c>
      <c r="H313" s="2">
        <f t="shared" si="2"/>
        <v>120390</v>
      </c>
      <c r="I313" s="2">
        <v>171671</v>
      </c>
      <c r="J313" s="2">
        <v>1564372</v>
      </c>
      <c r="K313" s="2">
        <f t="shared" si="3"/>
        <v>7.6957398879550387E-2</v>
      </c>
      <c r="M313" s="2">
        <v>0.57446063003605297</v>
      </c>
      <c r="N313" s="2">
        <v>0.34459260535719599</v>
      </c>
      <c r="O313" s="2">
        <v>8.7528161983402306</v>
      </c>
      <c r="P313" s="2">
        <v>25.4004759889356</v>
      </c>
      <c r="Q313" s="2">
        <v>27.6586333718787</v>
      </c>
      <c r="R313" s="2">
        <v>14.5915734398196</v>
      </c>
      <c r="S313" s="2">
        <v>0.66994387303045999</v>
      </c>
      <c r="T313" s="2">
        <v>992.01191099855805</v>
      </c>
      <c r="U313" s="2">
        <v>2066.6</v>
      </c>
      <c r="V313" s="2">
        <v>2457</v>
      </c>
      <c r="W313" s="2">
        <v>1581.37986503415</v>
      </c>
      <c r="X313" s="2">
        <v>54002.142478463102</v>
      </c>
      <c r="Y313" s="2">
        <v>-1367.4555093614599</v>
      </c>
      <c r="Z313" s="2">
        <v>96.774445905733401</v>
      </c>
      <c r="AA313" s="2">
        <v>34.965165571061902</v>
      </c>
      <c r="AB313" s="2">
        <v>0.467207792935463</v>
      </c>
      <c r="AC313" s="2">
        <v>3.7824016047379798</v>
      </c>
      <c r="AD313" s="2">
        <v>3.4346477794199002</v>
      </c>
      <c r="AE313" s="2">
        <v>0.39474174945865598</v>
      </c>
      <c r="AF313" s="2">
        <v>0.32271440269308099</v>
      </c>
      <c r="AG313" s="2">
        <v>0.98719143776193696</v>
      </c>
      <c r="AH313" s="2">
        <v>0.93540505677959296</v>
      </c>
      <c r="AI313" s="2">
        <v>-0.15272889967939199</v>
      </c>
      <c r="AJ313" s="2">
        <v>0.84456641545880995</v>
      </c>
      <c r="AK313" s="2">
        <v>9.1160717135705203E-3</v>
      </c>
      <c r="AL313" s="2">
        <v>7.8105515363956997</v>
      </c>
      <c r="AM313" s="2">
        <v>7.0881150750045103</v>
      </c>
      <c r="AN313" s="2">
        <v>218.67990226023201</v>
      </c>
      <c r="AO313" s="2">
        <v>0.13358576802701999</v>
      </c>
      <c r="AP313" s="2">
        <v>99.521686010995694</v>
      </c>
      <c r="AQ313" s="2">
        <v>44.159923485942301</v>
      </c>
      <c r="AR313" s="2">
        <v>1530.8582773365899</v>
      </c>
      <c r="AS313" s="2">
        <v>26.408674404398301</v>
      </c>
      <c r="AT313" s="2">
        <v>45942.376908979801</v>
      </c>
      <c r="AU313" s="2">
        <v>1.6298048162551801E-2</v>
      </c>
      <c r="AV313" s="2">
        <v>1.46542532923428E-3</v>
      </c>
      <c r="AW313" s="2">
        <v>9.1116651128644296E-2</v>
      </c>
      <c r="AX313" s="2">
        <v>5.0935964946418697E-3</v>
      </c>
      <c r="AY313" s="2">
        <v>2534.90862723587</v>
      </c>
      <c r="AZ313" s="2">
        <v>0.160653625456772</v>
      </c>
      <c r="BA313" s="2">
        <v>5.0048917374022999</v>
      </c>
      <c r="BB313" s="2">
        <v>1366</v>
      </c>
    </row>
    <row r="314" spans="1:54" ht="13" x14ac:dyDescent="0.15">
      <c r="A314" s="1" t="s">
        <v>951</v>
      </c>
      <c r="B314" s="1" t="s">
        <v>952</v>
      </c>
      <c r="C314" s="4" t="s">
        <v>953</v>
      </c>
      <c r="D314" s="1" t="s">
        <v>14</v>
      </c>
      <c r="E314" s="2">
        <v>8099</v>
      </c>
      <c r="F314" s="2">
        <v>9678</v>
      </c>
      <c r="G314" s="2">
        <v>10473</v>
      </c>
      <c r="H314" s="2">
        <f t="shared" si="2"/>
        <v>28250</v>
      </c>
      <c r="I314" s="2">
        <v>41542</v>
      </c>
      <c r="J314" s="2">
        <v>1591271</v>
      </c>
      <c r="K314" s="2">
        <f t="shared" si="3"/>
        <v>1.775310427953504E-2</v>
      </c>
      <c r="M314" s="2">
        <v>0.68059693454908599</v>
      </c>
      <c r="N314" s="2">
        <v>0.56821445431087203</v>
      </c>
      <c r="O314" s="2">
        <v>18.8649928125865</v>
      </c>
      <c r="P314" s="2">
        <v>33.200480328269599</v>
      </c>
      <c r="Q314" s="2">
        <v>34.481879299133297</v>
      </c>
      <c r="R314" s="2">
        <v>22.596145136977501</v>
      </c>
      <c r="S314" s="2">
        <v>0.51603650514032695</v>
      </c>
      <c r="T314" s="2">
        <v>3764.0261592485199</v>
      </c>
      <c r="U314" s="2">
        <v>828</v>
      </c>
      <c r="V314" s="2">
        <v>1276</v>
      </c>
      <c r="W314" s="2">
        <v>715.55181924200394</v>
      </c>
      <c r="X314" s="2">
        <v>99235.598749147306</v>
      </c>
      <c r="Y314" s="2">
        <v>-2630.7205046347599</v>
      </c>
      <c r="Z314" s="2">
        <v>144.46928288765699</v>
      </c>
      <c r="AA314" s="2">
        <v>18.192383582660199</v>
      </c>
      <c r="AB314" s="2">
        <v>0.77527143052038605</v>
      </c>
      <c r="AC314" s="2">
        <v>2.6868991315806898</v>
      </c>
      <c r="AD314" s="2">
        <v>3.02407851881319</v>
      </c>
      <c r="AE314" s="2">
        <v>0.464956465259318</v>
      </c>
      <c r="AF314" s="2">
        <v>0.404394236454372</v>
      </c>
      <c r="AG314" s="2">
        <v>0.98781720555536801</v>
      </c>
      <c r="AH314" s="2">
        <v>0.93789602462761201</v>
      </c>
      <c r="AI314" s="2">
        <v>-0.18865442900471699</v>
      </c>
      <c r="AJ314" s="2">
        <v>0.88492661891260105</v>
      </c>
      <c r="AK314" s="2">
        <v>1.38551279633084E-2</v>
      </c>
      <c r="AL314" s="2">
        <v>7.5614736973212597</v>
      </c>
      <c r="AM314" s="2">
        <v>7.51649593670101</v>
      </c>
      <c r="AN314" s="2">
        <v>742.315717989875</v>
      </c>
      <c r="AO314" s="2">
        <v>9.1655231261868794E-2</v>
      </c>
      <c r="AP314" s="2">
        <v>582.53648598592395</v>
      </c>
      <c r="AQ314" s="2">
        <v>47.974883602186701</v>
      </c>
      <c r="AR314" s="2">
        <v>699.05951352018803</v>
      </c>
      <c r="AS314" s="2">
        <v>46.128534386961398</v>
      </c>
      <c r="AT314" s="2">
        <v>39649.017779972797</v>
      </c>
      <c r="AU314" s="2">
        <v>7.0628248034608598E-2</v>
      </c>
      <c r="AV314" s="2">
        <v>3.3317345931905599E-3</v>
      </c>
      <c r="AW314" s="2">
        <v>0.59921931284477703</v>
      </c>
      <c r="AX314" s="2">
        <v>1.28830131445625E-3</v>
      </c>
      <c r="AY314" s="2">
        <v>1080.6026017215099</v>
      </c>
      <c r="AZ314" s="2">
        <v>0.13116666002232899</v>
      </c>
      <c r="BA314" s="2">
        <v>1.02583574462605</v>
      </c>
      <c r="BB314" s="2">
        <v>483</v>
      </c>
    </row>
    <row r="315" spans="1:54" ht="13" x14ac:dyDescent="0.15">
      <c r="A315" s="1" t="s">
        <v>954</v>
      </c>
      <c r="B315" s="1" t="s">
        <v>955</v>
      </c>
      <c r="C315" s="4" t="s">
        <v>956</v>
      </c>
      <c r="D315" s="1" t="s">
        <v>14</v>
      </c>
      <c r="E315" s="2">
        <v>9811</v>
      </c>
      <c r="F315" s="2">
        <v>49062</v>
      </c>
      <c r="G315" s="2">
        <v>14413</v>
      </c>
      <c r="H315" s="2">
        <f t="shared" si="2"/>
        <v>73286</v>
      </c>
      <c r="I315" s="2">
        <v>95467</v>
      </c>
      <c r="J315" s="2">
        <v>1458110</v>
      </c>
      <c r="K315" s="2">
        <f t="shared" si="3"/>
        <v>5.0260954248993558E-2</v>
      </c>
      <c r="M315" s="2">
        <v>0.81380878056894901</v>
      </c>
      <c r="N315" s="2">
        <v>0.58132320042982999</v>
      </c>
      <c r="O315" s="2">
        <v>18.960218433343702</v>
      </c>
      <c r="P315" s="2">
        <v>32.615623149608503</v>
      </c>
      <c r="Q315" s="2">
        <v>39.319206502675002</v>
      </c>
      <c r="R315" s="2">
        <v>26.542880502879299</v>
      </c>
      <c r="S315" s="2">
        <v>0.53758138571405001</v>
      </c>
      <c r="T315" s="2">
        <v>4107.1641836787403</v>
      </c>
      <c r="U315" s="2">
        <v>523</v>
      </c>
      <c r="V315" s="2">
        <v>1160</v>
      </c>
      <c r="W315" s="2">
        <v>1240.12263082309</v>
      </c>
      <c r="X315" s="2">
        <v>318437.91008296597</v>
      </c>
      <c r="Y315" s="2">
        <v>-3091.5103230691602</v>
      </c>
      <c r="Z315" s="2">
        <v>336.90724547155202</v>
      </c>
      <c r="AA315" s="2">
        <v>38.175402826249901</v>
      </c>
      <c r="AB315" s="2">
        <v>0.796501936285958</v>
      </c>
      <c r="AC315" s="2">
        <v>4.4951407469081799</v>
      </c>
      <c r="AD315" s="2">
        <v>3.6725988494589799</v>
      </c>
      <c r="AE315" s="2">
        <v>0.31396889014707302</v>
      </c>
      <c r="AF315" s="2">
        <v>0.225094998812157</v>
      </c>
      <c r="AG315" s="2">
        <v>0.98888688276002201</v>
      </c>
      <c r="AH315" s="2">
        <v>0.93088082863966204</v>
      </c>
      <c r="AI315" s="2">
        <v>-0.169899781095114</v>
      </c>
      <c r="AJ315" s="2">
        <v>0.90606346003671401</v>
      </c>
      <c r="AK315" s="2">
        <v>1.8433989324882099E-3</v>
      </c>
      <c r="AL315" s="2">
        <v>9.6130679713179106</v>
      </c>
      <c r="AM315" s="2">
        <v>7.7563569492479303</v>
      </c>
      <c r="AN315" s="2">
        <v>1864.1152787687299</v>
      </c>
      <c r="AO315" s="2">
        <v>0.190002576574124</v>
      </c>
      <c r="AP315" s="2">
        <v>291.14758944042399</v>
      </c>
      <c r="AQ315" s="2">
        <v>92.924891768251399</v>
      </c>
      <c r="AR315" s="2">
        <v>1243.35908673937</v>
      </c>
      <c r="AS315" s="2">
        <v>11.6205279787993</v>
      </c>
      <c r="AT315" s="2">
        <v>16578.0002038528</v>
      </c>
      <c r="AU315" s="2">
        <v>1.31019251308661E-2</v>
      </c>
      <c r="AV315" s="2">
        <v>1.5483148326908499E-3</v>
      </c>
      <c r="AW315" s="2">
        <v>0.34479931028501698</v>
      </c>
      <c r="AX315" s="2">
        <v>1.4114057380788E-3</v>
      </c>
      <c r="AY315" s="2">
        <v>3623.06385318107</v>
      </c>
      <c r="AZ315" s="2">
        <v>0.16035648848558301</v>
      </c>
      <c r="BA315" s="2">
        <v>1.63601869266833</v>
      </c>
      <c r="BB315" s="2">
        <v>494</v>
      </c>
    </row>
    <row r="316" spans="1:54" ht="13" x14ac:dyDescent="0.15">
      <c r="A316" s="1" t="s">
        <v>957</v>
      </c>
      <c r="B316" s="1" t="s">
        <v>958</v>
      </c>
      <c r="C316" s="4" t="s">
        <v>959</v>
      </c>
      <c r="D316" s="1" t="s">
        <v>14</v>
      </c>
      <c r="E316" s="2">
        <v>1628</v>
      </c>
      <c r="F316" s="2">
        <v>26224</v>
      </c>
      <c r="G316" s="2">
        <v>5908</v>
      </c>
      <c r="H316" s="2">
        <f t="shared" si="2"/>
        <v>33760</v>
      </c>
      <c r="I316" s="2">
        <v>62594</v>
      </c>
      <c r="J316" s="2">
        <v>1615402</v>
      </c>
      <c r="K316" s="2">
        <f t="shared" si="3"/>
        <v>2.0898822707908001E-2</v>
      </c>
      <c r="M316" s="2">
        <v>0.68584330296334295</v>
      </c>
      <c r="N316" s="2">
        <v>0.56379820908600198</v>
      </c>
      <c r="O316" s="2">
        <v>11.2980940128062</v>
      </c>
      <c r="P316" s="2">
        <v>20.039251332709998</v>
      </c>
      <c r="Q316" s="2">
        <v>21.931712199461298</v>
      </c>
      <c r="R316" s="2">
        <v>13.7437863229384</v>
      </c>
      <c r="S316" s="2">
        <v>0.60462279724616796</v>
      </c>
      <c r="T316" s="2">
        <v>1096.4162098279301</v>
      </c>
      <c r="U316" s="2">
        <v>700</v>
      </c>
      <c r="V316" s="2">
        <v>1228.3</v>
      </c>
      <c r="W316" s="2">
        <v>480.58779910375699</v>
      </c>
      <c r="X316" s="2">
        <v>218741.06541702201</v>
      </c>
      <c r="Y316" s="2">
        <v>3060.4420893645001</v>
      </c>
      <c r="Z316" s="2">
        <v>251.908037833751</v>
      </c>
      <c r="AA316" s="2">
        <v>34.624775482325703</v>
      </c>
      <c r="AB316" s="2">
        <v>0.75759736880183604</v>
      </c>
      <c r="AC316" s="2">
        <v>4.3830276786221001</v>
      </c>
      <c r="AD316" s="2">
        <v>3.5821538762074199</v>
      </c>
      <c r="AE316" s="2">
        <v>0.30890463973031501</v>
      </c>
      <c r="AF316" s="2">
        <v>0.21702747913008599</v>
      </c>
      <c r="AG316" s="2">
        <v>0.98785715263892804</v>
      </c>
      <c r="AH316" s="2">
        <v>0.92634227189357798</v>
      </c>
      <c r="AI316" s="2">
        <v>-0.21840839138467</v>
      </c>
      <c r="AJ316" s="2">
        <v>0.93815188392163895</v>
      </c>
      <c r="AK316" s="2">
        <v>2.8087576532382602E-3</v>
      </c>
      <c r="AL316" s="2">
        <v>8.9304737710910995</v>
      </c>
      <c r="AM316" s="2">
        <v>7.1648356408492804</v>
      </c>
      <c r="AN316" s="2">
        <v>351.20270270270299</v>
      </c>
      <c r="AO316" s="2">
        <v>0.21572647586161101</v>
      </c>
      <c r="AP316" s="2">
        <v>59.160933660933701</v>
      </c>
      <c r="AQ316" s="2">
        <v>73.393683330415499</v>
      </c>
      <c r="AR316" s="2">
        <v>472.36240786240802</v>
      </c>
      <c r="AS316" s="2">
        <v>8.9852579852579897</v>
      </c>
      <c r="AT316" s="2">
        <v>3656.6167076167098</v>
      </c>
      <c r="AU316" s="2">
        <v>3.8852226551289303E-2</v>
      </c>
      <c r="AV316" s="2">
        <v>5.3688877824831999E-3</v>
      </c>
      <c r="AW316" s="2">
        <v>0.12547106790870799</v>
      </c>
      <c r="AX316" s="2">
        <v>8.3056604556434599E-3</v>
      </c>
      <c r="AY316" s="2">
        <v>2718.2786500686202</v>
      </c>
      <c r="AZ316" s="2">
        <v>0.1322141058488</v>
      </c>
      <c r="BA316" s="2">
        <v>9.1256365568550102</v>
      </c>
      <c r="BB316" s="2">
        <v>410</v>
      </c>
    </row>
    <row r="317" spans="1:54" ht="13" x14ac:dyDescent="0.15">
      <c r="A317" s="1" t="s">
        <v>960</v>
      </c>
      <c r="B317" s="1" t="s">
        <v>961</v>
      </c>
      <c r="C317" s="4" t="s">
        <v>962</v>
      </c>
      <c r="D317" s="1" t="s">
        <v>14</v>
      </c>
      <c r="E317" s="2">
        <v>24382</v>
      </c>
      <c r="F317" s="2">
        <v>167382</v>
      </c>
      <c r="G317" s="2">
        <v>33064</v>
      </c>
      <c r="H317" s="2">
        <f t="shared" si="2"/>
        <v>224828</v>
      </c>
      <c r="I317" s="2">
        <v>294548</v>
      </c>
      <c r="J317" s="2">
        <v>1591641</v>
      </c>
      <c r="K317" s="2">
        <f t="shared" si="3"/>
        <v>0.14125547155420098</v>
      </c>
      <c r="M317" s="2">
        <v>0.75985678361815001</v>
      </c>
      <c r="N317" s="2">
        <v>0.67559374081413404</v>
      </c>
      <c r="O317" s="2">
        <v>29.74386334834</v>
      </c>
      <c r="P317" s="2">
        <v>44.026256537689001</v>
      </c>
      <c r="Q317" s="2">
        <v>44.384682042344302</v>
      </c>
      <c r="R317" s="2">
        <v>33.453649687475902</v>
      </c>
      <c r="S317" s="2">
        <v>0.47008272747168101</v>
      </c>
      <c r="T317" s="2">
        <v>8628.8813082733304</v>
      </c>
      <c r="U317" s="2">
        <v>683</v>
      </c>
      <c r="V317" s="2">
        <v>1387</v>
      </c>
      <c r="W317" s="2">
        <v>1660.6172923076299</v>
      </c>
      <c r="X317" s="2">
        <v>561325.39471012203</v>
      </c>
      <c r="Y317" s="2">
        <v>-1334.8616630640499</v>
      </c>
      <c r="Z317" s="2">
        <v>435.30481332155301</v>
      </c>
      <c r="AA317" s="2">
        <v>41.017745270363399</v>
      </c>
      <c r="AB317" s="2">
        <v>0.82758570631791695</v>
      </c>
      <c r="AC317" s="2">
        <v>4.2514516435790801</v>
      </c>
      <c r="AD317" s="2">
        <v>3.60926068145212</v>
      </c>
      <c r="AE317" s="2">
        <v>0.341185440666743</v>
      </c>
      <c r="AF317" s="2">
        <v>0.25624196262328103</v>
      </c>
      <c r="AG317" s="2">
        <v>0.99173587247839401</v>
      </c>
      <c r="AH317" s="2">
        <v>0.94473092794318503</v>
      </c>
      <c r="AI317" s="2">
        <v>-0.20052997845481799</v>
      </c>
      <c r="AJ317" s="2">
        <v>0.93788952934000203</v>
      </c>
      <c r="AK317" s="2">
        <v>1.82749987892683E-3</v>
      </c>
      <c r="AL317" s="2">
        <v>9.7365293511636199</v>
      </c>
      <c r="AM317" s="2">
        <v>8.1840854938713008</v>
      </c>
      <c r="AN317" s="2">
        <v>3922.41030268231</v>
      </c>
      <c r="AO317" s="2">
        <v>0.160873197550747</v>
      </c>
      <c r="AP317" s="2">
        <v>656.17890246903505</v>
      </c>
      <c r="AQ317" s="2">
        <v>120.42183474026</v>
      </c>
      <c r="AR317" s="2">
        <v>1682.58731851366</v>
      </c>
      <c r="AS317" s="2">
        <v>15.503158067426799</v>
      </c>
      <c r="AT317" s="2">
        <v>29785.9736691002</v>
      </c>
      <c r="AU317" s="2">
        <v>1.26817845175038E-2</v>
      </c>
      <c r="AV317" s="2">
        <v>1.1591451852903301E-3</v>
      </c>
      <c r="AW317" s="2">
        <v>0.55711242188457799</v>
      </c>
      <c r="AX317" s="2">
        <v>6.3738009796360305E-4</v>
      </c>
      <c r="AY317" s="2">
        <v>5107.0038214385604</v>
      </c>
      <c r="AZ317" s="2">
        <v>0.140675669037368</v>
      </c>
      <c r="BA317" s="2">
        <v>1.1128252107575001</v>
      </c>
      <c r="BB317" s="2">
        <v>1296</v>
      </c>
    </row>
    <row r="318" spans="1:54" ht="13" x14ac:dyDescent="0.15">
      <c r="A318" s="1" t="s">
        <v>963</v>
      </c>
      <c r="B318" s="1" t="s">
        <v>964</v>
      </c>
      <c r="C318" s="4" t="s">
        <v>965</v>
      </c>
      <c r="D318" s="1" t="s">
        <v>14</v>
      </c>
      <c r="E318" s="2">
        <v>3003</v>
      </c>
      <c r="F318" s="2">
        <v>96733</v>
      </c>
      <c r="G318" s="2">
        <v>7359</v>
      </c>
      <c r="H318" s="2">
        <f t="shared" si="2"/>
        <v>107095</v>
      </c>
      <c r="I318" s="2">
        <v>140135</v>
      </c>
      <c r="J318" s="2">
        <v>1491153</v>
      </c>
      <c r="K318" s="2">
        <f t="shared" si="3"/>
        <v>7.1820262575335997E-2</v>
      </c>
      <c r="M318" s="2">
        <v>0.77062734278470102</v>
      </c>
      <c r="N318" s="2">
        <v>0.62370431767255596</v>
      </c>
      <c r="O318" s="2">
        <v>13.3236329235359</v>
      </c>
      <c r="P318" s="2">
        <v>21.3620982667797</v>
      </c>
      <c r="Q318" s="2">
        <v>22.847319317591701</v>
      </c>
      <c r="R318" s="2">
        <v>16.4622170236341</v>
      </c>
      <c r="S318" s="2">
        <v>0.65703798695745697</v>
      </c>
      <c r="T318" s="2">
        <v>1524.10023798107</v>
      </c>
      <c r="U318" s="2">
        <v>519.20000000000005</v>
      </c>
      <c r="V318" s="2">
        <v>1230.5999999999999</v>
      </c>
      <c r="W318" s="2">
        <v>899.18003762849798</v>
      </c>
      <c r="X318" s="2">
        <v>819729.63234956097</v>
      </c>
      <c r="Y318" s="2">
        <v>9120.8506830800798</v>
      </c>
      <c r="Z318" s="2">
        <v>423.16613104281203</v>
      </c>
      <c r="AA318" s="2">
        <v>86.581254659044205</v>
      </c>
      <c r="AB318" s="2">
        <v>0.659259576781979</v>
      </c>
      <c r="AC318" s="2">
        <v>6.23692763989024</v>
      </c>
      <c r="AD318" s="2">
        <v>4.1251121460285702</v>
      </c>
      <c r="AE318" s="2">
        <v>0.29506020117389598</v>
      </c>
      <c r="AF318" s="2">
        <v>0.21383295431924601</v>
      </c>
      <c r="AG318" s="2">
        <v>0.98512155894169295</v>
      </c>
      <c r="AH318" s="2">
        <v>0.927392118860774</v>
      </c>
      <c r="AI318" s="2">
        <v>-0.19094644221538801</v>
      </c>
      <c r="AJ318" s="2">
        <v>0.92888349829809203</v>
      </c>
      <c r="AK318" s="2">
        <v>3.0864246163823999E-3</v>
      </c>
      <c r="AL318" s="2">
        <v>9.5398187443988096</v>
      </c>
      <c r="AM318" s="2">
        <v>7.52330999670649</v>
      </c>
      <c r="AN318" s="2">
        <v>589.11188811188799</v>
      </c>
      <c r="AO318" s="2">
        <v>0.196174454915714</v>
      </c>
      <c r="AP318" s="2">
        <v>116.347319347319</v>
      </c>
      <c r="AQ318" s="2">
        <v>130.35760044151701</v>
      </c>
      <c r="AR318" s="2">
        <v>948.39760239760199</v>
      </c>
      <c r="AS318" s="2">
        <v>11.979020979021</v>
      </c>
      <c r="AT318" s="2">
        <v>9419.3679653679701</v>
      </c>
      <c r="AU318" s="2">
        <v>2.20682586807909E-2</v>
      </c>
      <c r="AV318" s="2">
        <v>3.2923047389702901E-3</v>
      </c>
      <c r="AW318" s="2">
        <v>0.126788814852515</v>
      </c>
      <c r="AX318" s="2">
        <v>3.6696777912057698E-3</v>
      </c>
      <c r="AY318" s="2">
        <v>7327.8756268242196</v>
      </c>
      <c r="AZ318" s="2">
        <v>0.204105580644733</v>
      </c>
      <c r="BA318" s="2">
        <v>7.2727268407070804</v>
      </c>
      <c r="BB318" s="2">
        <v>868</v>
      </c>
    </row>
    <row r="319" spans="1:54" ht="13" x14ac:dyDescent="0.15">
      <c r="A319" s="1" t="s">
        <v>966</v>
      </c>
      <c r="B319" s="1" t="s">
        <v>967</v>
      </c>
      <c r="C319" s="4" t="s">
        <v>968</v>
      </c>
      <c r="D319" s="1" t="s">
        <v>14</v>
      </c>
      <c r="E319" s="2">
        <v>1469</v>
      </c>
      <c r="F319" s="2">
        <v>19476</v>
      </c>
      <c r="G319" s="2">
        <v>9895</v>
      </c>
      <c r="H319" s="2">
        <f t="shared" si="2"/>
        <v>30840</v>
      </c>
      <c r="I319" s="2">
        <v>46413</v>
      </c>
      <c r="J319" s="2">
        <v>1411942</v>
      </c>
      <c r="K319" s="2">
        <f t="shared" si="3"/>
        <v>2.184225697656136E-2</v>
      </c>
      <c r="M319" s="2">
        <v>0.962424284994012</v>
      </c>
      <c r="N319" s="2">
        <v>0.58900839331723098</v>
      </c>
      <c r="O319" s="2">
        <v>12.8498420833374</v>
      </c>
      <c r="P319" s="2">
        <v>21.816059378998801</v>
      </c>
      <c r="Q319" s="2">
        <v>26.0768096208106</v>
      </c>
      <c r="R319" s="2">
        <v>20.996305349219799</v>
      </c>
      <c r="S319" s="2">
        <v>0.25754940978770302</v>
      </c>
      <c r="T319" s="2">
        <v>2291.0720301300198</v>
      </c>
      <c r="U319" s="2">
        <v>629</v>
      </c>
      <c r="V319" s="2">
        <v>735</v>
      </c>
      <c r="W319" s="2">
        <v>102.894051444063</v>
      </c>
      <c r="X319" s="2">
        <v>6104.4965490954501</v>
      </c>
      <c r="Y319" s="2">
        <v>186.45192416279599</v>
      </c>
      <c r="Z319" s="2">
        <v>15.0699236151783</v>
      </c>
      <c r="AA319" s="2">
        <v>3.8455304037128601</v>
      </c>
      <c r="AB319" s="2">
        <v>0.58250482656843305</v>
      </c>
      <c r="AC319" s="2">
        <v>1.2916456254900901</v>
      </c>
      <c r="AD319" s="2">
        <v>2.0693140944216402</v>
      </c>
      <c r="AE319" s="2">
        <v>0.57058759501376599</v>
      </c>
      <c r="AF319" s="2">
        <v>0.52860840473631199</v>
      </c>
      <c r="AG319" s="2">
        <v>0.99643260235073094</v>
      </c>
      <c r="AH319" s="2">
        <v>0.96285259525967104</v>
      </c>
      <c r="AI319" s="2">
        <v>-0.14675172350801699</v>
      </c>
      <c r="AJ319" s="2">
        <v>0.74009202230570703</v>
      </c>
      <c r="AK319" s="2">
        <v>3.9477983749210598E-2</v>
      </c>
      <c r="AL319" s="2">
        <v>5.2259601244732501</v>
      </c>
      <c r="AM319" s="2">
        <v>6.0468047509705096</v>
      </c>
      <c r="AN319" s="2">
        <v>163.60585432266799</v>
      </c>
      <c r="AO319" s="2">
        <v>0.111372262983437</v>
      </c>
      <c r="AP319" s="2">
        <v>248.07147719537099</v>
      </c>
      <c r="AQ319" s="2">
        <v>5.7858172599041398</v>
      </c>
      <c r="AR319" s="2">
        <v>105.119809394146</v>
      </c>
      <c r="AS319" s="2">
        <v>29.980258679373701</v>
      </c>
      <c r="AT319" s="2">
        <v>2943.4288631722302</v>
      </c>
      <c r="AU319" s="2">
        <v>0.33209713036675498</v>
      </c>
      <c r="AV319" s="2">
        <v>1.3098562357282999E-2</v>
      </c>
      <c r="AW319" s="2">
        <v>0.43731693345196798</v>
      </c>
      <c r="AX319" s="2">
        <v>5.5166657938244398E-3</v>
      </c>
      <c r="AY319" s="2">
        <v>381.07978411789799</v>
      </c>
      <c r="AZ319" s="2">
        <v>1.55038869808529E-2</v>
      </c>
      <c r="BA319" s="2">
        <v>4.3396525261946302</v>
      </c>
      <c r="BB319" s="2">
        <v>416</v>
      </c>
    </row>
    <row r="320" spans="1:54" ht="13" x14ac:dyDescent="0.15">
      <c r="A320" s="1" t="s">
        <v>969</v>
      </c>
      <c r="B320" s="1" t="s">
        <v>970</v>
      </c>
      <c r="C320" s="4" t="s">
        <v>971</v>
      </c>
      <c r="D320" s="1" t="s">
        <v>14</v>
      </c>
      <c r="E320" s="2">
        <v>7018</v>
      </c>
      <c r="F320" s="2">
        <v>83152</v>
      </c>
      <c r="G320" s="2">
        <v>19960</v>
      </c>
      <c r="H320" s="2">
        <f t="shared" si="2"/>
        <v>110130</v>
      </c>
      <c r="I320" s="2">
        <v>128464</v>
      </c>
      <c r="J320" s="2">
        <v>1590444</v>
      </c>
      <c r="K320" s="2">
        <f t="shared" si="3"/>
        <v>6.924481465553016E-2</v>
      </c>
      <c r="M320" s="2">
        <v>0.79188485319452995</v>
      </c>
      <c r="N320" s="2">
        <v>0.49463462331073399</v>
      </c>
      <c r="O320" s="2">
        <v>17.256452639196901</v>
      </c>
      <c r="P320" s="2">
        <v>34.887271990170099</v>
      </c>
      <c r="Q320" s="2">
        <v>41.231056256176601</v>
      </c>
      <c r="R320" s="2">
        <v>27.626702258293498</v>
      </c>
      <c r="S320" s="2">
        <v>0.35705183989463501</v>
      </c>
      <c r="T320" s="2">
        <v>4900.6516710874303</v>
      </c>
      <c r="U320" s="2">
        <v>675</v>
      </c>
      <c r="V320" s="2">
        <v>905</v>
      </c>
      <c r="W320" s="2">
        <v>178.93861379859499</v>
      </c>
      <c r="X320" s="2">
        <v>17531.233048973001</v>
      </c>
      <c r="Y320" s="2">
        <v>462.19505342592498</v>
      </c>
      <c r="Z320" s="2">
        <v>55.793024856525598</v>
      </c>
      <c r="AA320" s="2">
        <v>9.5754535062877899</v>
      </c>
      <c r="AB320" s="2">
        <v>0.70488578420441095</v>
      </c>
      <c r="AC320" s="2">
        <v>2.26853430966404</v>
      </c>
      <c r="AD320" s="2">
        <v>2.7706283318474298</v>
      </c>
      <c r="AE320" s="2">
        <v>0.44108297554278297</v>
      </c>
      <c r="AF320" s="2">
        <v>0.36690330519229603</v>
      </c>
      <c r="AG320" s="2">
        <v>0.99104706176660595</v>
      </c>
      <c r="AH320" s="2">
        <v>0.93702882800881804</v>
      </c>
      <c r="AI320" s="2">
        <v>-0.13989622393533899</v>
      </c>
      <c r="AJ320" s="2">
        <v>0.80647223623486597</v>
      </c>
      <c r="AK320" s="2">
        <v>9.7828479189225603E-3</v>
      </c>
      <c r="AL320" s="2">
        <v>7.3381518160102397</v>
      </c>
      <c r="AM320" s="2">
        <v>7.0013364812559402</v>
      </c>
      <c r="AN320" s="2">
        <v>891.83072100313495</v>
      </c>
      <c r="AO320" s="2">
        <v>0.12707761769779599</v>
      </c>
      <c r="AP320" s="2">
        <v>560.07409518381303</v>
      </c>
      <c r="AQ320" s="2">
        <v>16.5127566366208</v>
      </c>
      <c r="AR320" s="2">
        <v>184.78740381875201</v>
      </c>
      <c r="AS320" s="2">
        <v>23.932459390139599</v>
      </c>
      <c r="AT320" s="2">
        <v>3855.4554003989701</v>
      </c>
      <c r="AU320" s="2">
        <v>0.19856971630384301</v>
      </c>
      <c r="AV320" s="2">
        <v>8.3743017979678609E-3</v>
      </c>
      <c r="AW320" s="2">
        <v>1.37942955797662</v>
      </c>
      <c r="AX320" s="2">
        <v>1.44353612868292E-3</v>
      </c>
      <c r="AY320" s="2">
        <v>676.20626704334097</v>
      </c>
      <c r="AZ320" s="2">
        <v>4.8948451240846499E-2</v>
      </c>
      <c r="BA320" s="2">
        <v>0.70837955270734698</v>
      </c>
      <c r="BB320" s="2">
        <v>72</v>
      </c>
    </row>
    <row r="321" spans="1:54" ht="13" x14ac:dyDescent="0.15">
      <c r="A321" s="1" t="s">
        <v>972</v>
      </c>
      <c r="B321" s="1" t="s">
        <v>973</v>
      </c>
      <c r="C321" s="4" t="s">
        <v>974</v>
      </c>
      <c r="D321" s="1" t="s">
        <v>14</v>
      </c>
      <c r="E321" s="2">
        <v>4007</v>
      </c>
      <c r="F321" s="2">
        <v>117484</v>
      </c>
      <c r="G321" s="2">
        <v>24519</v>
      </c>
      <c r="H321" s="2">
        <f t="shared" si="2"/>
        <v>146010</v>
      </c>
      <c r="I321" s="2">
        <v>216696</v>
      </c>
      <c r="J321" s="2">
        <v>1628820</v>
      </c>
      <c r="K321" s="2">
        <f t="shared" si="3"/>
        <v>8.9641581021844038E-2</v>
      </c>
      <c r="M321" s="2">
        <v>0.67042719762018299</v>
      </c>
      <c r="N321" s="2">
        <v>0.59563864629045005</v>
      </c>
      <c r="O321" s="2">
        <v>17.424025157463198</v>
      </c>
      <c r="P321" s="2">
        <v>29.2526773841447</v>
      </c>
      <c r="Q321" s="2">
        <v>31.064449134018101</v>
      </c>
      <c r="R321" s="2">
        <v>19.611790521539401</v>
      </c>
      <c r="S321" s="2">
        <v>0.35884275435737101</v>
      </c>
      <c r="T321" s="2">
        <v>3359.6383566957302</v>
      </c>
      <c r="U321" s="2">
        <v>614</v>
      </c>
      <c r="V321" s="2">
        <v>1071.4000000000001</v>
      </c>
      <c r="W321" s="2">
        <v>438.04470609070898</v>
      </c>
      <c r="X321" s="2">
        <v>134820.09989108599</v>
      </c>
      <c r="Y321" s="2">
        <v>2623.9367264024099</v>
      </c>
      <c r="Z321" s="2">
        <v>206.441872069759</v>
      </c>
      <c r="AA321" s="2">
        <v>19.442484206540701</v>
      </c>
      <c r="AB321" s="2">
        <v>0.82876602265089905</v>
      </c>
      <c r="AC321" s="2">
        <v>3.1569499271714898</v>
      </c>
      <c r="AD321" s="2">
        <v>3.17936861821038</v>
      </c>
      <c r="AE321" s="2">
        <v>0.37985471460678</v>
      </c>
      <c r="AF321" s="2">
        <v>0.29646714502645999</v>
      </c>
      <c r="AG321" s="2">
        <v>0.98961063527647697</v>
      </c>
      <c r="AH321" s="2">
        <v>0.93395272554846398</v>
      </c>
      <c r="AI321" s="2">
        <v>-0.21016849383636199</v>
      </c>
      <c r="AJ321" s="2">
        <v>0.921757302311348</v>
      </c>
      <c r="AK321" s="2">
        <v>4.7127084881343701E-3</v>
      </c>
      <c r="AL321" s="2">
        <v>8.4813311206450894</v>
      </c>
      <c r="AM321" s="2">
        <v>7.2908491388943704</v>
      </c>
      <c r="AN321" s="2">
        <v>669.34090341901697</v>
      </c>
      <c r="AO321" s="2">
        <v>0.16704290077839201</v>
      </c>
      <c r="AP321" s="2">
        <v>199.431744447217</v>
      </c>
      <c r="AQ321" s="2">
        <v>50.014275990313699</v>
      </c>
      <c r="AR321" s="2">
        <v>422.21437484402298</v>
      </c>
      <c r="AS321" s="2">
        <v>14.685550286997801</v>
      </c>
      <c r="AT321" s="2">
        <v>5581.7252308460202</v>
      </c>
      <c r="AU321" s="2">
        <v>7.3748204107406706E-2</v>
      </c>
      <c r="AV321" s="2">
        <v>5.2079733398223997E-3</v>
      </c>
      <c r="AW321" s="2">
        <v>0.37526634858040903</v>
      </c>
      <c r="AX321" s="2">
        <v>3.4311291258013799E-3</v>
      </c>
      <c r="AY321" s="2">
        <v>1215.5265747897199</v>
      </c>
      <c r="AZ321" s="2">
        <v>9.8456602721895603E-2</v>
      </c>
      <c r="BA321" s="2">
        <v>2.4959496072729199</v>
      </c>
      <c r="BB321" s="2">
        <v>91</v>
      </c>
    </row>
    <row r="322" spans="1:54" ht="13" x14ac:dyDescent="0.15">
      <c r="A322" s="1" t="s">
        <v>975</v>
      </c>
      <c r="B322" s="1" t="s">
        <v>976</v>
      </c>
      <c r="C322" s="4" t="s">
        <v>977</v>
      </c>
      <c r="D322" s="1" t="s">
        <v>14</v>
      </c>
      <c r="E322" s="2">
        <v>24378</v>
      </c>
      <c r="F322" s="2">
        <v>97836</v>
      </c>
      <c r="G322" s="2">
        <v>20141</v>
      </c>
      <c r="H322" s="2">
        <f t="shared" si="2"/>
        <v>142355</v>
      </c>
      <c r="I322" s="2">
        <v>249900</v>
      </c>
      <c r="J322" s="2">
        <v>1580700</v>
      </c>
      <c r="K322" s="2">
        <f t="shared" si="3"/>
        <v>9.0058202062377427E-2</v>
      </c>
      <c r="M322" s="2">
        <v>0.76555733617375799</v>
      </c>
      <c r="N322" s="2">
        <v>0.56528685929452005</v>
      </c>
      <c r="O322" s="2">
        <v>24.846977472369101</v>
      </c>
      <c r="P322" s="2">
        <v>43.954634826251301</v>
      </c>
      <c r="Q322" s="2">
        <v>51.788029504896201</v>
      </c>
      <c r="R322" s="2">
        <v>33.649793150075197</v>
      </c>
      <c r="S322" s="2">
        <v>0.57875884302938896</v>
      </c>
      <c r="T322" s="2">
        <v>7015.4164331749298</v>
      </c>
      <c r="U322" s="2">
        <v>928</v>
      </c>
      <c r="V322" s="2">
        <v>1576</v>
      </c>
      <c r="W322" s="2">
        <v>2187.0894370143401</v>
      </c>
      <c r="X322" s="2">
        <v>358154.44014422601</v>
      </c>
      <c r="Y322" s="2">
        <v>-6609.45625244858</v>
      </c>
      <c r="Z322" s="2">
        <v>320.39396904229301</v>
      </c>
      <c r="AA322" s="2">
        <v>20.870270818803199</v>
      </c>
      <c r="AB322" s="2">
        <v>0.87697653684662402</v>
      </c>
      <c r="AC322" s="2">
        <v>2.8987707087695198</v>
      </c>
      <c r="AD322" s="2">
        <v>3.10656511752024</v>
      </c>
      <c r="AE322" s="2">
        <v>0.43390934037343099</v>
      </c>
      <c r="AF322" s="2">
        <v>0.36558942206973999</v>
      </c>
      <c r="AG322" s="2">
        <v>0.99463521516957398</v>
      </c>
      <c r="AH322" s="2">
        <v>0.95722441342958098</v>
      </c>
      <c r="AI322" s="2">
        <v>-0.237901209915373</v>
      </c>
      <c r="AJ322" s="2">
        <v>0.94471420414154395</v>
      </c>
      <c r="AK322" s="2">
        <v>6.04294140447687E-3</v>
      </c>
      <c r="AL322" s="2">
        <v>8.5062420484931796</v>
      </c>
      <c r="AM322" s="2">
        <v>8.1162834200685303</v>
      </c>
      <c r="AN322" s="2">
        <v>2459.1105915169401</v>
      </c>
      <c r="AO322" s="2">
        <v>0.100874173087084</v>
      </c>
      <c r="AP322" s="2">
        <v>1004.07071950119</v>
      </c>
      <c r="AQ322" s="2">
        <v>97.039859893660406</v>
      </c>
      <c r="AR322" s="2">
        <v>2103.2257773402298</v>
      </c>
      <c r="AS322" s="2">
        <v>34.807367298383802</v>
      </c>
      <c r="AT322" s="2">
        <v>86684.756091557996</v>
      </c>
      <c r="AU322" s="2">
        <v>1.5881173334189699E-2</v>
      </c>
      <c r="AV322" s="2">
        <v>6.9911227930141305E-4</v>
      </c>
      <c r="AW322" s="2">
        <v>0.40878297329867003</v>
      </c>
      <c r="AX322" s="2">
        <v>6.8454817687030095E-4</v>
      </c>
      <c r="AY322" s="2">
        <v>3281.67471777741</v>
      </c>
      <c r="AZ322" s="2">
        <v>0.10196954497097201</v>
      </c>
      <c r="BA322" s="2">
        <v>1.5256257662163799</v>
      </c>
      <c r="BB322" s="2">
        <v>39</v>
      </c>
    </row>
    <row r="323" spans="1:54" ht="13" x14ac:dyDescent="0.15">
      <c r="A323" s="1" t="s">
        <v>978</v>
      </c>
      <c r="B323" s="1" t="s">
        <v>979</v>
      </c>
      <c r="C323" s="4" t="s">
        <v>980</v>
      </c>
      <c r="D323" s="1" t="s">
        <v>14</v>
      </c>
      <c r="E323" s="2">
        <v>2899</v>
      </c>
      <c r="F323" s="2">
        <v>24525</v>
      </c>
      <c r="G323" s="2">
        <v>17130</v>
      </c>
      <c r="H323" s="2">
        <f t="shared" si="2"/>
        <v>44554</v>
      </c>
      <c r="I323" s="2">
        <v>66988</v>
      </c>
      <c r="J323" s="2">
        <v>1334462</v>
      </c>
      <c r="K323" s="2">
        <f t="shared" si="3"/>
        <v>3.3387237703284167E-2</v>
      </c>
      <c r="M323" s="2">
        <v>0.92314735730618402</v>
      </c>
      <c r="N323" s="2">
        <v>0.69039662308118099</v>
      </c>
      <c r="O323" s="2">
        <v>14.7220936965936</v>
      </c>
      <c r="P323" s="2">
        <v>21.324110235201001</v>
      </c>
      <c r="Q323" s="2">
        <v>30.149626863362698</v>
      </c>
      <c r="R323" s="2">
        <v>19.685296010531601</v>
      </c>
      <c r="S323" s="2">
        <v>0.67742268205396805</v>
      </c>
      <c r="T323" s="2">
        <v>1438.78177382177</v>
      </c>
      <c r="U323" s="2">
        <v>1232.4000000000001</v>
      </c>
      <c r="V323" s="2">
        <v>1880</v>
      </c>
      <c r="W323" s="2">
        <v>3438.05419603881</v>
      </c>
      <c r="X323" s="2">
        <v>2347178.5440366198</v>
      </c>
      <c r="Y323" s="2">
        <v>-26454.4235369667</v>
      </c>
      <c r="Z323" s="2">
        <v>490.24150613320199</v>
      </c>
      <c r="AA323" s="2">
        <v>64.636316846169095</v>
      </c>
      <c r="AB323" s="2">
        <v>0.76296190725926405</v>
      </c>
      <c r="AC323" s="2">
        <v>4.4569161534530704</v>
      </c>
      <c r="AD323" s="2">
        <v>3.49538746404283</v>
      </c>
      <c r="AE323" s="2">
        <v>0.40992810016528602</v>
      </c>
      <c r="AF323" s="2">
        <v>0.34546175167745402</v>
      </c>
      <c r="AG323" s="2">
        <v>0.98986140315056204</v>
      </c>
      <c r="AH323" s="2">
        <v>0.95005292905504302</v>
      </c>
      <c r="AI323" s="2">
        <v>-0.27109282625244502</v>
      </c>
      <c r="AJ323" s="2">
        <v>0.95970366889048497</v>
      </c>
      <c r="AK323" s="2">
        <v>6.5804905303472596E-3</v>
      </c>
      <c r="AL323" s="2">
        <v>8.4170901986991495</v>
      </c>
      <c r="AM323" s="2">
        <v>7.9465443969391796</v>
      </c>
      <c r="AN323" s="2">
        <v>326.11348740945198</v>
      </c>
      <c r="AO323" s="2">
        <v>0.112491716940135</v>
      </c>
      <c r="AP323" s="2">
        <v>127.404277337013</v>
      </c>
      <c r="AQ323" s="2">
        <v>167.52570577500501</v>
      </c>
      <c r="AR323" s="2">
        <v>3352.0041393584002</v>
      </c>
      <c r="AS323" s="2">
        <v>31.6284925836495</v>
      </c>
      <c r="AT323" s="2">
        <v>118738.11935150099</v>
      </c>
      <c r="AU323" s="2">
        <v>1.7705501449542301E-2</v>
      </c>
      <c r="AV323" s="2">
        <v>2.0212093815094498E-3</v>
      </c>
      <c r="AW323" s="2">
        <v>3.8015264730068499E-2</v>
      </c>
      <c r="AX323" s="2">
        <v>4.1710755657160797E-3</v>
      </c>
      <c r="AY323" s="2">
        <v>8020.46805215938</v>
      </c>
      <c r="AZ323" s="2">
        <v>0.18311428326481799</v>
      </c>
      <c r="BA323" s="2">
        <v>16.3311639017709</v>
      </c>
      <c r="BB323" s="2">
        <v>203</v>
      </c>
    </row>
    <row r="324" spans="1:54" ht="13" x14ac:dyDescent="0.15">
      <c r="A324" s="1" t="s">
        <v>981</v>
      </c>
      <c r="B324" s="1" t="s">
        <v>982</v>
      </c>
      <c r="C324" s="4" t="s">
        <v>983</v>
      </c>
      <c r="D324" s="1" t="s">
        <v>14</v>
      </c>
      <c r="E324" s="2">
        <v>1831</v>
      </c>
      <c r="F324" s="2">
        <v>38403</v>
      </c>
      <c r="G324" s="2">
        <v>5273</v>
      </c>
      <c r="H324" s="2">
        <f t="shared" si="2"/>
        <v>45507</v>
      </c>
      <c r="I324" s="2">
        <v>48403</v>
      </c>
      <c r="J324" s="2">
        <v>1474337</v>
      </c>
      <c r="K324" s="2">
        <f t="shared" si="3"/>
        <v>3.0866077430058394E-2</v>
      </c>
      <c r="M324" s="2">
        <v>0.82130570782474699</v>
      </c>
      <c r="N324" s="2">
        <v>0.46065733271331399</v>
      </c>
      <c r="O324" s="2">
        <v>10.1480008779593</v>
      </c>
      <c r="P324" s="2">
        <v>22.029391821870401</v>
      </c>
      <c r="Q324" s="2">
        <v>23.5372045918796</v>
      </c>
      <c r="R324" s="2">
        <v>18.092865243209999</v>
      </c>
      <c r="S324" s="2">
        <v>0.52226007625173099</v>
      </c>
      <c r="T324" s="2">
        <v>1369.21140195249</v>
      </c>
      <c r="U324" s="2">
        <v>766</v>
      </c>
      <c r="V324" s="2">
        <v>991</v>
      </c>
      <c r="W324" s="2">
        <v>308.89322292501299</v>
      </c>
      <c r="X324" s="2">
        <v>9460.8673370836004</v>
      </c>
      <c r="Y324" s="2">
        <v>49.369845942112001</v>
      </c>
      <c r="Z324" s="2">
        <v>48.967141384897701</v>
      </c>
      <c r="AA324" s="2">
        <v>8.0343001852753506</v>
      </c>
      <c r="AB324" s="2">
        <v>0.71899268072934996</v>
      </c>
      <c r="AC324" s="2">
        <v>2.0903338835314198</v>
      </c>
      <c r="AD324" s="2">
        <v>2.6312157278027901</v>
      </c>
      <c r="AE324" s="2">
        <v>0.456705814767984</v>
      </c>
      <c r="AF324" s="2">
        <v>0.38543387782739602</v>
      </c>
      <c r="AG324" s="2">
        <v>0.99084238724405405</v>
      </c>
      <c r="AH324" s="2">
        <v>0.936022282086305</v>
      </c>
      <c r="AI324" s="2">
        <v>-0.18574936279012999</v>
      </c>
      <c r="AJ324" s="2">
        <v>0.85864173146876599</v>
      </c>
      <c r="AK324" s="2">
        <v>1.2263145778746499E-2</v>
      </c>
      <c r="AL324" s="2">
        <v>7.0581497292164297</v>
      </c>
      <c r="AM324" s="2">
        <v>6.7603165592871397</v>
      </c>
      <c r="AN324" s="2">
        <v>238.37957400327701</v>
      </c>
      <c r="AO324" s="2">
        <v>0.13019091971779201</v>
      </c>
      <c r="AP324" s="2">
        <v>159.53959584926301</v>
      </c>
      <c r="AQ324" s="2">
        <v>13.4286188976129</v>
      </c>
      <c r="AR324" s="2">
        <v>308.62643364281797</v>
      </c>
      <c r="AS324" s="2">
        <v>25.411796832332101</v>
      </c>
      <c r="AT324" s="2">
        <v>7386.2725286728601</v>
      </c>
      <c r="AU324" s="2">
        <v>9.83923758208574E-2</v>
      </c>
      <c r="AV324" s="2">
        <v>4.75652012006494E-3</v>
      </c>
      <c r="AW324" s="2">
        <v>0.246164387122456</v>
      </c>
      <c r="AX324" s="2">
        <v>6.5416971376127502E-3</v>
      </c>
      <c r="AY324" s="2">
        <v>428.33234828244298</v>
      </c>
      <c r="AZ324" s="2">
        <v>3.8492444344026502E-2</v>
      </c>
      <c r="BA324" s="2">
        <v>2.4003411746648</v>
      </c>
      <c r="BB324" s="2">
        <v>624</v>
      </c>
    </row>
    <row r="325" spans="1:54" ht="13" x14ac:dyDescent="0.15">
      <c r="A325" s="1" t="s">
        <v>984</v>
      </c>
      <c r="B325" s="1" t="s">
        <v>985</v>
      </c>
      <c r="C325" s="4" t="s">
        <v>986</v>
      </c>
      <c r="D325" s="1" t="s">
        <v>14</v>
      </c>
      <c r="E325" s="2">
        <v>45458</v>
      </c>
      <c r="F325" s="2">
        <v>103690</v>
      </c>
      <c r="G325" s="2">
        <v>40110</v>
      </c>
      <c r="H325" s="2">
        <f t="shared" si="2"/>
        <v>189258</v>
      </c>
      <c r="I325" s="2">
        <v>260350</v>
      </c>
      <c r="J325" s="2">
        <v>1731671</v>
      </c>
      <c r="K325" s="2">
        <f t="shared" si="3"/>
        <v>0.10929212304184802</v>
      </c>
      <c r="M325" s="2">
        <v>0.61658701759940204</v>
      </c>
      <c r="N325" s="2">
        <v>0.58107303751628703</v>
      </c>
      <c r="O325" s="2">
        <v>33.803932334851098</v>
      </c>
      <c r="P325" s="2">
        <v>58.175014417019099</v>
      </c>
      <c r="Q325" s="2">
        <v>65.2763356814704</v>
      </c>
      <c r="R325" s="2">
        <v>35.869958638192102</v>
      </c>
      <c r="S325" s="2">
        <v>0.47413898246652397</v>
      </c>
      <c r="T325" s="2">
        <v>12954.524504512499</v>
      </c>
      <c r="U325" s="2">
        <v>885</v>
      </c>
      <c r="V325" s="2">
        <v>1287</v>
      </c>
      <c r="W325" s="2">
        <v>929.53015946360597</v>
      </c>
      <c r="X325" s="2">
        <v>53347.360200837596</v>
      </c>
      <c r="Y325" s="2">
        <v>-652.20458158819395</v>
      </c>
      <c r="Z325" s="2">
        <v>128.098366838658</v>
      </c>
      <c r="AA325" s="2">
        <v>16.640782174430999</v>
      </c>
      <c r="AB325" s="2">
        <v>0.76920286010676997</v>
      </c>
      <c r="AC325" s="2">
        <v>2.9964796795041999</v>
      </c>
      <c r="AD325" s="2">
        <v>3.1323793806189699</v>
      </c>
      <c r="AE325" s="2">
        <v>0.38561884523596002</v>
      </c>
      <c r="AF325" s="2">
        <v>0.30240590733887202</v>
      </c>
      <c r="AG325" s="2">
        <v>0.99354827877264396</v>
      </c>
      <c r="AH325" s="2">
        <v>0.94584311034508195</v>
      </c>
      <c r="AI325" s="2">
        <v>-0.155612780735158</v>
      </c>
      <c r="AJ325" s="2">
        <v>0.86386484821807297</v>
      </c>
      <c r="AK325" s="2">
        <v>4.1840459016632397E-3</v>
      </c>
      <c r="AL325" s="2">
        <v>8.4975040598256992</v>
      </c>
      <c r="AM325" s="2">
        <v>7.6413022503220498</v>
      </c>
      <c r="AN325" s="2">
        <v>6347.7550266179796</v>
      </c>
      <c r="AO325" s="2">
        <v>0.13963999794575199</v>
      </c>
      <c r="AP325" s="2">
        <v>2096.3762594042901</v>
      </c>
      <c r="AQ325" s="2">
        <v>39.642702072984697</v>
      </c>
      <c r="AR325" s="2">
        <v>910.09778256852496</v>
      </c>
      <c r="AS325" s="2">
        <v>20.584451581679801</v>
      </c>
      <c r="AT325" s="2">
        <v>20406.140811298301</v>
      </c>
      <c r="AU325" s="2">
        <v>2.4681429139411799E-2</v>
      </c>
      <c r="AV325" s="2">
        <v>1.4352252489974299E-3</v>
      </c>
      <c r="AW325" s="2">
        <v>1.8799565399162299</v>
      </c>
      <c r="AX325" s="2">
        <v>2.9258158060395698E-4</v>
      </c>
      <c r="AY325" s="2">
        <v>1984.9143499158199</v>
      </c>
      <c r="AZ325" s="2">
        <v>6.22508559234876E-2</v>
      </c>
      <c r="BA325" s="2">
        <v>0.30439275602428101</v>
      </c>
      <c r="BB325" s="2">
        <v>230</v>
      </c>
    </row>
    <row r="326" spans="1:54" ht="13" x14ac:dyDescent="0.15">
      <c r="A326" s="1" t="s">
        <v>987</v>
      </c>
      <c r="B326" s="1" t="s">
        <v>988</v>
      </c>
      <c r="C326" s="4" t="s">
        <v>989</v>
      </c>
      <c r="D326" s="1" t="s">
        <v>14</v>
      </c>
      <c r="E326" s="2">
        <v>29208</v>
      </c>
      <c r="F326" s="2">
        <v>84041</v>
      </c>
      <c r="G326" s="2">
        <v>45584</v>
      </c>
      <c r="H326" s="2">
        <f t="shared" si="2"/>
        <v>158833</v>
      </c>
      <c r="I326" s="2">
        <v>460810</v>
      </c>
      <c r="J326" s="2">
        <v>1523501</v>
      </c>
      <c r="K326" s="2">
        <f t="shared" si="3"/>
        <v>0.10425526468312131</v>
      </c>
      <c r="M326" s="2">
        <v>0.82108068837418002</v>
      </c>
      <c r="N326" s="2">
        <v>0.64991212184698999</v>
      </c>
      <c r="O326" s="2">
        <v>30.7967425579942</v>
      </c>
      <c r="P326" s="2">
        <v>47.386010389331801</v>
      </c>
      <c r="Q326" s="2">
        <v>57.558665724632597</v>
      </c>
      <c r="R326" s="2">
        <v>38.907738029778599</v>
      </c>
      <c r="S326" s="2">
        <v>0.34900119558414699</v>
      </c>
      <c r="T326" s="2">
        <v>13092.3676693163</v>
      </c>
      <c r="U326" s="2">
        <v>640</v>
      </c>
      <c r="V326" s="2">
        <v>1194</v>
      </c>
      <c r="W326" s="2">
        <v>871.65972310308803</v>
      </c>
      <c r="X326" s="2">
        <v>146047.83200060099</v>
      </c>
      <c r="Y326" s="2">
        <v>-1054.72085580014</v>
      </c>
      <c r="Z326" s="2">
        <v>266.06419634443301</v>
      </c>
      <c r="AA326" s="2">
        <v>8.6442912531315006</v>
      </c>
      <c r="AB326" s="2">
        <v>0.936999507023485</v>
      </c>
      <c r="AC326" s="2">
        <v>2.17838010292949</v>
      </c>
      <c r="AD326" s="2">
        <v>2.7073723039939401</v>
      </c>
      <c r="AE326" s="2">
        <v>0.44789828064894799</v>
      </c>
      <c r="AF326" s="2">
        <v>0.374897617710025</v>
      </c>
      <c r="AG326" s="2">
        <v>0.99630912069132005</v>
      </c>
      <c r="AH326" s="2">
        <v>0.95799145238230499</v>
      </c>
      <c r="AI326" s="2">
        <v>-0.30885197963656802</v>
      </c>
      <c r="AJ326" s="2">
        <v>0.97447689675640403</v>
      </c>
      <c r="AK326" s="2">
        <v>3.8911972071533898E-3</v>
      </c>
      <c r="AL326" s="2">
        <v>8.4279487908437893</v>
      </c>
      <c r="AM326" s="2">
        <v>8.1957366923829404</v>
      </c>
      <c r="AN326" s="2">
        <v>3497.4806902218602</v>
      </c>
      <c r="AO326" s="2">
        <v>0.11974392941049899</v>
      </c>
      <c r="AP326" s="2">
        <v>977.93686661188701</v>
      </c>
      <c r="AQ326" s="2">
        <v>70.582189466622594</v>
      </c>
      <c r="AR326" s="2">
        <v>824.48209394686398</v>
      </c>
      <c r="AS326" s="2">
        <v>28.727608874281</v>
      </c>
      <c r="AT326" s="2">
        <v>24697.594665845001</v>
      </c>
      <c r="AU326" s="2">
        <v>5.5905658014505297E-2</v>
      </c>
      <c r="AV326" s="2">
        <v>1.9934733379953101E-3</v>
      </c>
      <c r="AW326" s="2">
        <v>0.89561772891556402</v>
      </c>
      <c r="AX326" s="2">
        <v>8.4923917936116904E-4</v>
      </c>
      <c r="AY326" s="2">
        <v>1190.9180736388601</v>
      </c>
      <c r="AZ326" s="2">
        <v>7.6542002856460803E-2</v>
      </c>
      <c r="BA326" s="2">
        <v>0.72881270643622298</v>
      </c>
      <c r="BB326" s="2">
        <v>142</v>
      </c>
    </row>
    <row r="327" spans="1:54" ht="13" x14ac:dyDescent="0.15">
      <c r="A327" s="1" t="s">
        <v>990</v>
      </c>
      <c r="B327" s="1" t="s">
        <v>991</v>
      </c>
      <c r="C327" s="4" t="s">
        <v>992</v>
      </c>
      <c r="D327" s="1" t="s">
        <v>14</v>
      </c>
      <c r="E327" s="2">
        <v>6199</v>
      </c>
      <c r="F327" s="2">
        <v>49999</v>
      </c>
      <c r="G327" s="2">
        <v>29782</v>
      </c>
      <c r="H327" s="2">
        <f t="shared" si="2"/>
        <v>85980</v>
      </c>
      <c r="I327" s="2">
        <v>119795</v>
      </c>
      <c r="J327" s="2">
        <v>1570222</v>
      </c>
      <c r="K327" s="2">
        <f t="shared" si="3"/>
        <v>5.4756588558815253E-2</v>
      </c>
      <c r="M327" s="2">
        <v>0.47620173025617402</v>
      </c>
      <c r="N327" s="2">
        <v>0.396392957416146</v>
      </c>
      <c r="O327" s="2">
        <v>18.5524574596256</v>
      </c>
      <c r="P327" s="2">
        <v>46.803196455755099</v>
      </c>
      <c r="Q327" s="2">
        <v>50.990195135927898</v>
      </c>
      <c r="R327" s="2">
        <v>22.2877631337502</v>
      </c>
      <c r="S327" s="2">
        <v>0.38399251827192499</v>
      </c>
      <c r="T327" s="2">
        <v>4198.4115178506099</v>
      </c>
      <c r="U327" s="2">
        <v>1599</v>
      </c>
      <c r="V327" s="2">
        <v>1990</v>
      </c>
      <c r="W327" s="2">
        <v>1276.7096429656799</v>
      </c>
      <c r="X327" s="2">
        <v>93822.503630881503</v>
      </c>
      <c r="Y327" s="2">
        <v>-2056.1585683889798</v>
      </c>
      <c r="Z327" s="2">
        <v>143.67853546520399</v>
      </c>
      <c r="AA327" s="2">
        <v>21.018657626992201</v>
      </c>
      <c r="AB327" s="2">
        <v>0.74461443120113102</v>
      </c>
      <c r="AC327" s="2">
        <v>3.2217834726560399</v>
      </c>
      <c r="AD327" s="2">
        <v>3.23849549697524</v>
      </c>
      <c r="AE327" s="2">
        <v>0.380272360210132</v>
      </c>
      <c r="AF327" s="2">
        <v>0.29762732409717302</v>
      </c>
      <c r="AG327" s="2">
        <v>0.99168636905193097</v>
      </c>
      <c r="AH327" s="2">
        <v>0.94157934949284305</v>
      </c>
      <c r="AI327" s="2">
        <v>-0.15681813419332899</v>
      </c>
      <c r="AJ327" s="2">
        <v>0.86626487082759995</v>
      </c>
      <c r="AK327" s="2">
        <v>5.0991395396453101E-3</v>
      </c>
      <c r="AL327" s="2">
        <v>8.3511560991253795</v>
      </c>
      <c r="AM327" s="2">
        <v>7.3248213640080504</v>
      </c>
      <c r="AN327" s="2">
        <v>955.643006936603</v>
      </c>
      <c r="AO327" s="2">
        <v>0.15416083351130899</v>
      </c>
      <c r="AP327" s="2">
        <v>323.80367801258302</v>
      </c>
      <c r="AQ327" s="2">
        <v>43.025399581930699</v>
      </c>
      <c r="AR327" s="2">
        <v>1283.6922084207099</v>
      </c>
      <c r="AS327" s="2">
        <v>16.765446039683798</v>
      </c>
      <c r="AT327" s="2">
        <v>23173.691240522701</v>
      </c>
      <c r="AU327" s="2">
        <v>1.3631298857315999E-2</v>
      </c>
      <c r="AV327" s="2">
        <v>1.21351214387479E-3</v>
      </c>
      <c r="AW327" s="2">
        <v>0.28124949492061002</v>
      </c>
      <c r="AX327" s="2">
        <v>1.6719306853733499E-3</v>
      </c>
      <c r="AY327" s="2">
        <v>2315.3680074632598</v>
      </c>
      <c r="AZ327" s="2">
        <v>9.42014531586437E-2</v>
      </c>
      <c r="BA327" s="2">
        <v>2.0318169357436999</v>
      </c>
      <c r="BB327" s="2">
        <v>126</v>
      </c>
    </row>
    <row r="328" spans="1:54" ht="13" x14ac:dyDescent="0.15">
      <c r="A328" s="1" t="s">
        <v>993</v>
      </c>
      <c r="B328" s="1" t="s">
        <v>994</v>
      </c>
      <c r="C328" s="4" t="s">
        <v>995</v>
      </c>
      <c r="D328" s="1" t="s">
        <v>14</v>
      </c>
      <c r="E328" s="2">
        <v>118</v>
      </c>
      <c r="F328" s="2">
        <v>14524</v>
      </c>
      <c r="G328" s="2">
        <v>21449</v>
      </c>
      <c r="H328" s="2">
        <f t="shared" si="2"/>
        <v>36091</v>
      </c>
      <c r="I328" s="2">
        <v>133820</v>
      </c>
      <c r="J328" s="2">
        <v>1239924</v>
      </c>
      <c r="K328" s="2">
        <f t="shared" si="3"/>
        <v>2.910742916501334E-2</v>
      </c>
      <c r="M328" s="2">
        <v>0.43461180268321198</v>
      </c>
      <c r="N328" s="2">
        <v>0.36959191771190403</v>
      </c>
      <c r="O328" s="2">
        <v>7.6520472959902097</v>
      </c>
      <c r="P328" s="2">
        <v>20.704043917851401</v>
      </c>
      <c r="Q328" s="2">
        <v>35.693136595149497</v>
      </c>
      <c r="R328" s="2">
        <v>8.9982218499698199</v>
      </c>
      <c r="S328" s="2">
        <v>0.56153035241119997</v>
      </c>
      <c r="T328" s="2">
        <v>189.082261126318</v>
      </c>
      <c r="U328" s="2">
        <v>790.4</v>
      </c>
      <c r="V328" s="2">
        <v>1200.7</v>
      </c>
      <c r="W328" s="2">
        <v>182.21882181116999</v>
      </c>
      <c r="X328" s="2">
        <v>39216.318674828202</v>
      </c>
      <c r="Y328" s="2">
        <v>407.70660570147402</v>
      </c>
      <c r="Z328" s="2">
        <v>115.83514939997301</v>
      </c>
      <c r="AA328" s="2">
        <v>28.546801660416801</v>
      </c>
      <c r="AB328" s="2">
        <v>0.59814191752353896</v>
      </c>
      <c r="AC328" s="2">
        <v>4.2526180302090602</v>
      </c>
      <c r="AD328" s="2">
        <v>3.23651131611294</v>
      </c>
      <c r="AE328" s="2">
        <v>0.29357025006458398</v>
      </c>
      <c r="AF328" s="2">
        <v>0.195566382390544</v>
      </c>
      <c r="AG328" s="2">
        <v>0.97107932544831399</v>
      </c>
      <c r="AH328" s="2">
        <v>0.88305277460312803</v>
      </c>
      <c r="AI328" s="2">
        <v>-0.51291662921111303</v>
      </c>
      <c r="AJ328" s="2">
        <v>0.99349206884992702</v>
      </c>
      <c r="AK328" s="2">
        <v>1.29194314932766E-2</v>
      </c>
      <c r="AL328" s="2">
        <v>6.4191647056546897</v>
      </c>
      <c r="AM328" s="2">
        <v>5.4396097360157603</v>
      </c>
      <c r="AN328" s="2">
        <v>40.118644067796602</v>
      </c>
      <c r="AO328" s="2">
        <v>0.33998850904912398</v>
      </c>
      <c r="AP328" s="2">
        <v>6.2711864406779698</v>
      </c>
      <c r="AQ328" s="2">
        <v>39.950876185004297</v>
      </c>
      <c r="AR328" s="2">
        <v>216.52542372881399</v>
      </c>
      <c r="AS328" s="2">
        <v>4.1694915254237301</v>
      </c>
      <c r="AT328" s="2">
        <v>813.10169491525403</v>
      </c>
      <c r="AU328" s="2">
        <v>0.124467536827049</v>
      </c>
      <c r="AV328" s="2">
        <v>3.1247129231344799E-2</v>
      </c>
      <c r="AW328" s="2">
        <v>4.9687776716042797E-2</v>
      </c>
      <c r="AX328" s="2">
        <v>6.78212686076686E-2</v>
      </c>
      <c r="AY328" s="2">
        <v>739.65396762255898</v>
      </c>
      <c r="AZ328" s="2">
        <v>0.30303005829041502</v>
      </c>
      <c r="BA328" s="2">
        <v>18.286797871497299</v>
      </c>
      <c r="BB328" s="2">
        <v>10</v>
      </c>
    </row>
    <row r="329" spans="1:54" ht="13" x14ac:dyDescent="0.15">
      <c r="A329" s="1" t="s">
        <v>996</v>
      </c>
      <c r="B329" s="1" t="s">
        <v>997</v>
      </c>
      <c r="C329" s="4" t="s">
        <v>998</v>
      </c>
      <c r="D329" s="1" t="s">
        <v>14</v>
      </c>
      <c r="E329" s="2">
        <v>27206</v>
      </c>
      <c r="F329" s="2">
        <v>59503</v>
      </c>
      <c r="G329" s="2">
        <v>63077</v>
      </c>
      <c r="H329" s="2">
        <f t="shared" si="2"/>
        <v>149786</v>
      </c>
      <c r="I329" s="2">
        <v>168862</v>
      </c>
      <c r="J329" s="2">
        <v>1637181</v>
      </c>
      <c r="K329" s="2">
        <f t="shared" si="3"/>
        <v>9.1490189539214048E-2</v>
      </c>
      <c r="M329" s="2">
        <v>0.73324064967596203</v>
      </c>
      <c r="N329" s="2">
        <v>0.48944320879730502</v>
      </c>
      <c r="O329" s="2">
        <v>27.489092947718401</v>
      </c>
      <c r="P329" s="2">
        <v>56.164009334743</v>
      </c>
      <c r="Q329" s="2">
        <v>53.9351462406472</v>
      </c>
      <c r="R329" s="2">
        <v>41.181734693013802</v>
      </c>
      <c r="S329" s="2">
        <v>0.43140507930316302</v>
      </c>
      <c r="T329" s="2">
        <v>10109.4153765842</v>
      </c>
      <c r="U329" s="2">
        <v>1285</v>
      </c>
      <c r="V329" s="2">
        <v>2189</v>
      </c>
      <c r="W329" s="2">
        <v>3399.32553403575</v>
      </c>
      <c r="X329" s="2">
        <v>953047.26205969695</v>
      </c>
      <c r="Y329" s="2">
        <v>-5860.7275209570698</v>
      </c>
      <c r="Z329" s="2">
        <v>633.75679763147502</v>
      </c>
      <c r="AA329" s="2">
        <v>56.6404340591627</v>
      </c>
      <c r="AB329" s="2">
        <v>0.83576936190333595</v>
      </c>
      <c r="AC329" s="2">
        <v>5.1737340530213096</v>
      </c>
      <c r="AD329" s="2">
        <v>3.8988415654647599</v>
      </c>
      <c r="AE329" s="2">
        <v>0.31916299137186499</v>
      </c>
      <c r="AF329" s="2">
        <v>0.237782140673752</v>
      </c>
      <c r="AG329" s="2">
        <v>0.99265807810256201</v>
      </c>
      <c r="AH329" s="2">
        <v>0.94633131110049096</v>
      </c>
      <c r="AI329" s="2">
        <v>-0.18946328744063501</v>
      </c>
      <c r="AJ329" s="2">
        <v>0.93602737091285804</v>
      </c>
      <c r="AK329" s="2">
        <v>1.28780944219682E-3</v>
      </c>
      <c r="AL329" s="2">
        <v>10.269570999743999</v>
      </c>
      <c r="AM329" s="2">
        <v>8.4463528884721999</v>
      </c>
      <c r="AN329" s="2">
        <v>4708.9475850915196</v>
      </c>
      <c r="AO329" s="2">
        <v>0.173084892490316</v>
      </c>
      <c r="AP329" s="2">
        <v>564.58009262662597</v>
      </c>
      <c r="AQ329" s="2">
        <v>182.10220065288101</v>
      </c>
      <c r="AR329" s="2">
        <v>3340.12824376976</v>
      </c>
      <c r="AS329" s="2">
        <v>17.431448945085599</v>
      </c>
      <c r="AT329" s="2">
        <v>71690.879328089402</v>
      </c>
      <c r="AU329" s="2">
        <v>5.40457180287892E-3</v>
      </c>
      <c r="AV329" s="2">
        <v>4.3767784415645403E-4</v>
      </c>
      <c r="AW329" s="2">
        <v>0.42390870379788598</v>
      </c>
      <c r="AX329" s="2">
        <v>5.4273336908678001E-4</v>
      </c>
      <c r="AY329" s="2">
        <v>8721.8520194933608</v>
      </c>
      <c r="AZ329" s="2">
        <v>0.21627743296652299</v>
      </c>
      <c r="BA329" s="2">
        <v>1.2469035331643099</v>
      </c>
      <c r="BB329" s="2">
        <v>112</v>
      </c>
    </row>
    <row r="330" spans="1:54" ht="13" x14ac:dyDescent="0.15">
      <c r="A330" s="1" t="s">
        <v>999</v>
      </c>
      <c r="B330" s="1" t="s">
        <v>1000</v>
      </c>
      <c r="C330" s="4" t="s">
        <v>1001</v>
      </c>
      <c r="D330" s="1" t="s">
        <v>14</v>
      </c>
      <c r="E330" s="2">
        <v>23498</v>
      </c>
      <c r="F330" s="2">
        <v>171556</v>
      </c>
      <c r="G330" s="2">
        <v>57240</v>
      </c>
      <c r="H330" s="2">
        <f t="shared" si="2"/>
        <v>252294</v>
      </c>
      <c r="I330" s="2">
        <v>344942</v>
      </c>
      <c r="J330" s="2">
        <v>1543404</v>
      </c>
      <c r="K330" s="2">
        <f t="shared" si="3"/>
        <v>0.16346594929130676</v>
      </c>
      <c r="M330" s="2">
        <v>0.73386959423207299</v>
      </c>
      <c r="N330" s="2">
        <v>0.60546023935807902</v>
      </c>
      <c r="O330" s="2">
        <v>30.7752124095759</v>
      </c>
      <c r="P330" s="2">
        <v>50.829452388491099</v>
      </c>
      <c r="Q330" s="2">
        <v>53.160135440008098</v>
      </c>
      <c r="R330" s="2">
        <v>37.302189599380497</v>
      </c>
      <c r="S330" s="2">
        <v>0.32481622275503202</v>
      </c>
      <c r="T330" s="2">
        <v>12135.0455132113</v>
      </c>
      <c r="U330" s="2">
        <v>906</v>
      </c>
      <c r="V330" s="2">
        <v>1288</v>
      </c>
      <c r="W330" s="2">
        <v>1278.2632492252901</v>
      </c>
      <c r="X330" s="2">
        <v>127914.269086082</v>
      </c>
      <c r="Y330" s="2">
        <v>-1513.62360963744</v>
      </c>
      <c r="Z330" s="2">
        <v>152.93051986203699</v>
      </c>
      <c r="AA330" s="2">
        <v>13.527358420817601</v>
      </c>
      <c r="AB330" s="2">
        <v>0.83678404139284901</v>
      </c>
      <c r="AC330" s="2">
        <v>2.55295296159834</v>
      </c>
      <c r="AD330" s="2">
        <v>2.9313046062094701</v>
      </c>
      <c r="AE330" s="2">
        <v>0.425966234707428</v>
      </c>
      <c r="AF330" s="2">
        <v>0.350169862621802</v>
      </c>
      <c r="AG330" s="2">
        <v>0.99657884462871404</v>
      </c>
      <c r="AH330" s="2">
        <v>0.961924781388657</v>
      </c>
      <c r="AI330" s="2">
        <v>-0.214783332318884</v>
      </c>
      <c r="AJ330" s="2">
        <v>0.92328036864569396</v>
      </c>
      <c r="AK330" s="2">
        <v>5.7390301134430102E-3</v>
      </c>
      <c r="AL330" s="2">
        <v>8.2535001727580006</v>
      </c>
      <c r="AM330" s="2">
        <v>7.7699202621348098</v>
      </c>
      <c r="AN330" s="2">
        <v>2949.2415524725502</v>
      </c>
      <c r="AO330" s="2">
        <v>0.12551032226030101</v>
      </c>
      <c r="AP330" s="2">
        <v>1166.1148182824099</v>
      </c>
      <c r="AQ330" s="2">
        <v>44.200425037848497</v>
      </c>
      <c r="AR330" s="2">
        <v>1270.1598433909301</v>
      </c>
      <c r="AS330" s="2">
        <v>24.549748914801299</v>
      </c>
      <c r="AT330" s="2">
        <v>32480.663460720101</v>
      </c>
      <c r="AU330" s="2">
        <v>2.19984500640025E-2</v>
      </c>
      <c r="AV330" s="2">
        <v>1.24094267663325E-3</v>
      </c>
      <c r="AW330" s="2">
        <v>0.50420223842029099</v>
      </c>
      <c r="AX330" s="2">
        <v>6.4318208296184004E-4</v>
      </c>
      <c r="AY330" s="2">
        <v>2691.3029134580902</v>
      </c>
      <c r="AZ330" s="2">
        <v>3.6647928747493799E-2</v>
      </c>
      <c r="BA330" s="2">
        <v>1.26818662763257</v>
      </c>
      <c r="BB330" s="2">
        <v>262</v>
      </c>
    </row>
    <row r="331" spans="1:54" ht="13" x14ac:dyDescent="0.15">
      <c r="A331" s="1" t="s">
        <v>1002</v>
      </c>
      <c r="B331" s="1" t="s">
        <v>1003</v>
      </c>
      <c r="C331" s="4" t="s">
        <v>1004</v>
      </c>
      <c r="D331" s="1" t="s">
        <v>14</v>
      </c>
      <c r="E331" s="2">
        <v>57189</v>
      </c>
      <c r="F331" s="2">
        <v>35715</v>
      </c>
      <c r="G331" s="2">
        <v>84287</v>
      </c>
      <c r="H331" s="2">
        <f t="shared" si="2"/>
        <v>177191</v>
      </c>
      <c r="I331" s="2">
        <v>415340</v>
      </c>
      <c r="J331" s="2">
        <v>1718770</v>
      </c>
      <c r="K331" s="2">
        <f t="shared" si="3"/>
        <v>0.10309174584150294</v>
      </c>
      <c r="M331" s="2">
        <v>0.57306357762004601</v>
      </c>
      <c r="N331" s="2">
        <v>0.40391543260374002</v>
      </c>
      <c r="O331" s="2">
        <v>38.120372544219499</v>
      </c>
      <c r="P331" s="2">
        <v>94.377113294448904</v>
      </c>
      <c r="Q331" s="2">
        <v>126.0357092256</v>
      </c>
      <c r="R331" s="2">
        <v>54.084086189969398</v>
      </c>
      <c r="S331" s="2">
        <v>0.25889121318263603</v>
      </c>
      <c r="T331" s="2">
        <v>27592.381426100801</v>
      </c>
      <c r="U331" s="2">
        <v>890</v>
      </c>
      <c r="V331" s="2">
        <v>1523</v>
      </c>
      <c r="W331" s="2">
        <v>1774.40283517598</v>
      </c>
      <c r="X331" s="2">
        <v>352261.93282139901</v>
      </c>
      <c r="Y331" s="2">
        <v>2959.8152823217802</v>
      </c>
      <c r="Z331" s="2">
        <v>346.19719928187999</v>
      </c>
      <c r="AA331" s="2">
        <v>33.4345856806546</v>
      </c>
      <c r="AB331" s="2">
        <v>0.82358130396332097</v>
      </c>
      <c r="AC331" s="2">
        <v>4.2454915967741904</v>
      </c>
      <c r="AD331" s="2">
        <v>3.5914437880700398</v>
      </c>
      <c r="AE331" s="2">
        <v>0.31895144122202701</v>
      </c>
      <c r="AF331" s="2">
        <v>0.22870575193654799</v>
      </c>
      <c r="AG331" s="2">
        <v>0.99636836311439603</v>
      </c>
      <c r="AH331" s="2">
        <v>0.95862247318560501</v>
      </c>
      <c r="AI331" s="2">
        <v>-0.17119965149824001</v>
      </c>
      <c r="AJ331" s="2">
        <v>0.90869914001249597</v>
      </c>
      <c r="AK331" s="2">
        <v>1.79491642183961E-3</v>
      </c>
      <c r="AL331" s="2">
        <v>9.6688910612316903</v>
      </c>
      <c r="AM331" s="2">
        <v>7.8647702116296196</v>
      </c>
      <c r="AN331" s="2">
        <v>10909.564968787699</v>
      </c>
      <c r="AO331" s="2">
        <v>0.190763345552251</v>
      </c>
      <c r="AP331" s="2">
        <v>1696.93907919355</v>
      </c>
      <c r="AQ331" s="2">
        <v>96.870515303659701</v>
      </c>
      <c r="AR331" s="2">
        <v>1745.9214883981199</v>
      </c>
      <c r="AS331" s="2">
        <v>11.4319711832695</v>
      </c>
      <c r="AT331" s="2">
        <v>19206.828585916901</v>
      </c>
      <c r="AU331" s="2">
        <v>8.5049701580353701E-3</v>
      </c>
      <c r="AV331" s="2">
        <v>7.5088592428231905E-4</v>
      </c>
      <c r="AW331" s="2">
        <v>0.84541347789895005</v>
      </c>
      <c r="AX331" s="2">
        <v>2.42537878008678E-4</v>
      </c>
      <c r="AY331" s="2">
        <v>10511.835561956001</v>
      </c>
      <c r="AZ331" s="2">
        <v>6.1193369017691603E-2</v>
      </c>
      <c r="BA331" s="2">
        <v>1.0579740840857801</v>
      </c>
      <c r="BB331" s="2">
        <v>96</v>
      </c>
    </row>
    <row r="332" spans="1:54" ht="13" x14ac:dyDescent="0.15">
      <c r="A332" s="1" t="s">
        <v>1005</v>
      </c>
      <c r="B332" s="1" t="s">
        <v>1006</v>
      </c>
      <c r="C332" s="4" t="s">
        <v>1007</v>
      </c>
      <c r="D332" s="1" t="s">
        <v>14</v>
      </c>
      <c r="E332" s="2">
        <v>74</v>
      </c>
      <c r="F332" s="2">
        <v>85909</v>
      </c>
      <c r="G332" s="2">
        <v>5145</v>
      </c>
      <c r="H332" s="2">
        <f t="shared" si="2"/>
        <v>91128</v>
      </c>
      <c r="I332" s="2">
        <v>252790</v>
      </c>
      <c r="J332" s="2">
        <v>1558674</v>
      </c>
      <c r="K332" s="2">
        <f t="shared" si="3"/>
        <v>5.8465079933327946E-2</v>
      </c>
      <c r="M332" s="2">
        <v>2.4462457601306501E-2</v>
      </c>
      <c r="N332" s="2">
        <v>2.4141529003017199E-2</v>
      </c>
      <c r="O332" s="2">
        <v>4.0540983583483401</v>
      </c>
      <c r="P332" s="2">
        <v>167.93047192005301</v>
      </c>
      <c r="Q332" s="2">
        <v>5.8309518948452999</v>
      </c>
      <c r="R332" s="2">
        <v>4.1079920493116999</v>
      </c>
      <c r="S332" s="2">
        <v>0.65720506282177604</v>
      </c>
      <c r="T332" s="2">
        <v>116.96660171270599</v>
      </c>
      <c r="U332" s="2">
        <v>1202.3</v>
      </c>
      <c r="V332" s="2">
        <v>1510.7</v>
      </c>
      <c r="W332" s="2">
        <v>246.657997548851</v>
      </c>
      <c r="X332" s="2">
        <v>11915.689432880499</v>
      </c>
      <c r="Y332" s="2">
        <v>-107.406443365456</v>
      </c>
      <c r="Z332" s="2">
        <v>63.855868855879997</v>
      </c>
      <c r="AA332" s="2">
        <v>36.0150482080263</v>
      </c>
      <c r="AB332" s="2">
        <v>0.28468675330392701</v>
      </c>
      <c r="AC332" s="2">
        <v>4.70953833617288</v>
      </c>
      <c r="AD332" s="2">
        <v>3.1961959340489901</v>
      </c>
      <c r="AE332" s="2">
        <v>0.275635659317994</v>
      </c>
      <c r="AF332" s="2">
        <v>0.181937816904715</v>
      </c>
      <c r="AG332" s="2">
        <v>0.95094029912550404</v>
      </c>
      <c r="AH332" s="2">
        <v>0.85339505945683303</v>
      </c>
      <c r="AI332" s="2">
        <v>-0.56287425866372198</v>
      </c>
      <c r="AJ332" s="2">
        <v>0.994619947731195</v>
      </c>
      <c r="AK332" s="2">
        <v>1.8265104081569498E-2</v>
      </c>
      <c r="AL332" s="2">
        <v>5.8644487416838</v>
      </c>
      <c r="AM332" s="2">
        <v>5.0401381627508197</v>
      </c>
      <c r="AN332" s="2">
        <v>30.972972972973</v>
      </c>
      <c r="AO332" s="2">
        <v>0.41855368882395899</v>
      </c>
      <c r="AP332" s="2">
        <v>4.6216216216216202</v>
      </c>
      <c r="AQ332" s="2">
        <v>25.8292549306063</v>
      </c>
      <c r="AR332" s="2">
        <v>255.31081081081101</v>
      </c>
      <c r="AS332" s="2">
        <v>3</v>
      </c>
      <c r="AT332" s="2">
        <v>808.82432432432404</v>
      </c>
      <c r="AU332" s="2">
        <v>3.2174807784251198E-2</v>
      </c>
      <c r="AV332" s="2">
        <v>2.2630698049087201E-2</v>
      </c>
      <c r="AW332" s="2">
        <v>4.13377017005307E-2</v>
      </c>
      <c r="AX332" s="2">
        <v>9.2436919759641203E-2</v>
      </c>
      <c r="AY332" s="2">
        <v>532.53073658033395</v>
      </c>
      <c r="AZ332" s="2">
        <v>0.31796097800805501</v>
      </c>
      <c r="BA332" s="2">
        <v>15.638321475303201</v>
      </c>
      <c r="BB332" s="2">
        <v>169</v>
      </c>
    </row>
    <row r="333" spans="1:54" ht="13" x14ac:dyDescent="0.15">
      <c r="A333" s="1" t="s">
        <v>1008</v>
      </c>
      <c r="B333" s="1" t="s">
        <v>1009</v>
      </c>
      <c r="C333" s="4" t="s">
        <v>1010</v>
      </c>
      <c r="D333" s="1" t="s">
        <v>14</v>
      </c>
      <c r="E333" s="2">
        <v>40786</v>
      </c>
      <c r="F333" s="2">
        <v>22693</v>
      </c>
      <c r="G333" s="2">
        <v>44157</v>
      </c>
      <c r="H333" s="2">
        <f t="shared" si="2"/>
        <v>107636</v>
      </c>
      <c r="I333" s="2">
        <v>122428</v>
      </c>
      <c r="J333" s="2">
        <v>1540522</v>
      </c>
      <c r="K333" s="2">
        <f t="shared" si="3"/>
        <v>6.9869823345593246E-2</v>
      </c>
      <c r="M333" s="2">
        <v>0.800624768082143</v>
      </c>
      <c r="N333" s="2">
        <v>0.61277154497064201</v>
      </c>
      <c r="O333" s="2">
        <v>32.422864583992798</v>
      </c>
      <c r="P333" s="2">
        <v>52.911831252781496</v>
      </c>
      <c r="Q333" s="2">
        <v>61.0327780786685</v>
      </c>
      <c r="R333" s="2">
        <v>42.362522625559698</v>
      </c>
      <c r="S333" s="2">
        <v>0.35372220160929302</v>
      </c>
      <c r="T333" s="2">
        <v>16181.35320191</v>
      </c>
      <c r="U333" s="2">
        <v>611</v>
      </c>
      <c r="V333" s="2">
        <v>992</v>
      </c>
      <c r="W333" s="2">
        <v>479.57935661596298</v>
      </c>
      <c r="X333" s="2">
        <v>34224.719823826999</v>
      </c>
      <c r="Y333" s="2">
        <v>507.22809481924497</v>
      </c>
      <c r="Z333" s="2">
        <v>118.546345140884</v>
      </c>
      <c r="AA333" s="2">
        <v>12.1460361145847</v>
      </c>
      <c r="AB333" s="2">
        <v>0.81414759715531704</v>
      </c>
      <c r="AC333" s="2">
        <v>2.54639704171659</v>
      </c>
      <c r="AD333" s="2">
        <v>2.9305842032833902</v>
      </c>
      <c r="AE333" s="2">
        <v>0.42216020073820398</v>
      </c>
      <c r="AF333" s="2">
        <v>0.34518229290968699</v>
      </c>
      <c r="AG333" s="2">
        <v>0.99576481643397696</v>
      </c>
      <c r="AH333" s="2">
        <v>0.95580157898918905</v>
      </c>
      <c r="AI333" s="2">
        <v>-0.18893348379340499</v>
      </c>
      <c r="AJ333" s="2">
        <v>0.89681827991701502</v>
      </c>
      <c r="AK333" s="2">
        <v>5.0182062430279501E-3</v>
      </c>
      <c r="AL333" s="2">
        <v>8.1275273553413996</v>
      </c>
      <c r="AM333" s="2">
        <v>7.6395960217646799</v>
      </c>
      <c r="AN333" s="2">
        <v>5191.8774089148201</v>
      </c>
      <c r="AO333" s="2">
        <v>0.127295577132222</v>
      </c>
      <c r="AP333" s="2">
        <v>2055.1383317805098</v>
      </c>
      <c r="AQ333" s="2">
        <v>32.856135696377002</v>
      </c>
      <c r="AR333" s="2">
        <v>465.83401167067098</v>
      </c>
      <c r="AS333" s="2">
        <v>26.390624233805699</v>
      </c>
      <c r="AT333" s="2">
        <v>11148.128132202201</v>
      </c>
      <c r="AU333" s="2">
        <v>8.6691402613660901E-2</v>
      </c>
      <c r="AV333" s="2">
        <v>2.9615565567021299E-3</v>
      </c>
      <c r="AW333" s="2">
        <v>2.3691376841125198</v>
      </c>
      <c r="AX333" s="2">
        <v>3.3924523896216701E-4</v>
      </c>
      <c r="AY333" s="2">
        <v>1732.49213995899</v>
      </c>
      <c r="AZ333" s="2">
        <v>4.27596272427175E-2</v>
      </c>
      <c r="BA333" s="2">
        <v>0.404387133672377</v>
      </c>
      <c r="BB333" s="2">
        <v>249</v>
      </c>
    </row>
    <row r="334" spans="1:54" ht="13" x14ac:dyDescent="0.15">
      <c r="A334" s="1" t="s">
        <v>1011</v>
      </c>
      <c r="B334" s="1" t="s">
        <v>1012</v>
      </c>
      <c r="C334" s="4" t="s">
        <v>1013</v>
      </c>
      <c r="D334" s="1" t="s">
        <v>14</v>
      </c>
      <c r="E334" s="2">
        <v>1427</v>
      </c>
      <c r="F334" s="2">
        <v>61463</v>
      </c>
      <c r="G334" s="2">
        <v>7356</v>
      </c>
      <c r="H334" s="2">
        <f t="shared" si="2"/>
        <v>70246</v>
      </c>
      <c r="I334" s="2">
        <v>99195</v>
      </c>
      <c r="J334" s="2">
        <v>1549537</v>
      </c>
      <c r="K334" s="2">
        <f t="shared" si="3"/>
        <v>4.5333541567577927E-2</v>
      </c>
      <c r="M334" s="2">
        <v>0.25982054039660901</v>
      </c>
      <c r="N334" s="2">
        <v>0.20330101482054999</v>
      </c>
      <c r="O334" s="2">
        <v>9.4130422911039506</v>
      </c>
      <c r="P334" s="2">
        <v>46.301009856801002</v>
      </c>
      <c r="Q334" s="2">
        <v>14.560219778561001</v>
      </c>
      <c r="R334" s="2">
        <v>12.0299534019028</v>
      </c>
      <c r="S334" s="2">
        <v>0.54314412010939805</v>
      </c>
      <c r="T334" s="2">
        <v>1110.2135411782699</v>
      </c>
      <c r="U334" s="2">
        <v>885.6</v>
      </c>
      <c r="V334" s="2">
        <v>1229</v>
      </c>
      <c r="W334" s="2">
        <v>517.60441756410899</v>
      </c>
      <c r="X334" s="2">
        <v>30077.9384027915</v>
      </c>
      <c r="Y334" s="2">
        <v>-829.86021790775897</v>
      </c>
      <c r="Z334" s="2">
        <v>90.618374144567994</v>
      </c>
      <c r="AA334" s="2">
        <v>10.850257458510001</v>
      </c>
      <c r="AB334" s="2">
        <v>0.786187341299737</v>
      </c>
      <c r="AC334" s="2">
        <v>2.3735459796329201</v>
      </c>
      <c r="AD334" s="2">
        <v>2.7988548055129701</v>
      </c>
      <c r="AE334" s="2">
        <v>0.43422854546225498</v>
      </c>
      <c r="AF334" s="2">
        <v>0.35859854307710698</v>
      </c>
      <c r="AG334" s="2">
        <v>0.99107656440550496</v>
      </c>
      <c r="AH334" s="2">
        <v>0.93806835003998401</v>
      </c>
      <c r="AI334" s="2">
        <v>-0.22171110085695001</v>
      </c>
      <c r="AJ334" s="2">
        <v>0.91036297172948399</v>
      </c>
      <c r="AK334" s="2">
        <v>8.8160082991292806E-3</v>
      </c>
      <c r="AL334" s="2">
        <v>7.4712884409660099</v>
      </c>
      <c r="AM334" s="2">
        <v>7.0477986843417302</v>
      </c>
      <c r="AN334" s="2">
        <v>196.31885073580901</v>
      </c>
      <c r="AO334" s="2">
        <v>0.13757452749531099</v>
      </c>
      <c r="AP334" s="2">
        <v>93.046250875963594</v>
      </c>
      <c r="AQ334" s="2">
        <v>28.521029755015</v>
      </c>
      <c r="AR334" s="2">
        <v>521.84653118430299</v>
      </c>
      <c r="AS334" s="2">
        <v>21.874562018220001</v>
      </c>
      <c r="AT334" s="2">
        <v>12404.1142256482</v>
      </c>
      <c r="AU334" s="2">
        <v>4.8467562307065899E-2</v>
      </c>
      <c r="AV334" s="2">
        <v>3.67993604003383E-3</v>
      </c>
      <c r="AW334" s="2">
        <v>0.13033742505176299</v>
      </c>
      <c r="AX334" s="2">
        <v>8.85934726799106E-3</v>
      </c>
      <c r="AY334" s="2">
        <v>632.08456295290705</v>
      </c>
      <c r="AZ334" s="2">
        <v>8.4498551430564103E-2</v>
      </c>
      <c r="BA334" s="2">
        <v>4.0054319339856903</v>
      </c>
      <c r="BB334" s="2">
        <v>657</v>
      </c>
    </row>
    <row r="335" spans="1:54" ht="13" x14ac:dyDescent="0.15">
      <c r="A335" s="1" t="s">
        <v>1014</v>
      </c>
      <c r="B335" s="1" t="s">
        <v>1015</v>
      </c>
      <c r="C335" s="4" t="s">
        <v>1016</v>
      </c>
      <c r="D335" s="1" t="s">
        <v>14</v>
      </c>
      <c r="E335" s="2">
        <v>11063</v>
      </c>
      <c r="F335" s="2">
        <v>64684</v>
      </c>
      <c r="G335" s="2">
        <v>13721</v>
      </c>
      <c r="H335" s="2">
        <f t="shared" si="2"/>
        <v>89468</v>
      </c>
      <c r="I335" s="2">
        <v>152579</v>
      </c>
      <c r="J335" s="2">
        <v>1360674</v>
      </c>
      <c r="K335" s="2">
        <f t="shared" si="3"/>
        <v>6.5752707849198261E-2</v>
      </c>
      <c r="M335" s="2">
        <v>0.724578234421002</v>
      </c>
      <c r="N335" s="2">
        <v>0.56823227544226895</v>
      </c>
      <c r="O335" s="2">
        <v>20.262841596974901</v>
      </c>
      <c r="P335" s="2">
        <v>35.659434482499002</v>
      </c>
      <c r="Q335" s="2">
        <v>38.275318418009299</v>
      </c>
      <c r="R335" s="2">
        <v>25.838050077780501</v>
      </c>
      <c r="S335" s="2">
        <v>0.52226133369636196</v>
      </c>
      <c r="T335" s="2">
        <v>4571.3244010943399</v>
      </c>
      <c r="U335" s="2">
        <v>1069</v>
      </c>
      <c r="V335" s="2">
        <v>1935</v>
      </c>
      <c r="W335" s="2">
        <v>2994.6916131330199</v>
      </c>
      <c r="X335" s="2">
        <v>1079341.0362068899</v>
      </c>
      <c r="Y335" s="2">
        <v>-8553.2102297832807</v>
      </c>
      <c r="Z335" s="2">
        <v>635.15501693918202</v>
      </c>
      <c r="AA335" s="2">
        <v>49.074400941213597</v>
      </c>
      <c r="AB335" s="2">
        <v>0.85631629028835998</v>
      </c>
      <c r="AC335" s="2">
        <v>4.8058354464242097</v>
      </c>
      <c r="AD335" s="2">
        <v>3.7815805849255599</v>
      </c>
      <c r="AE335" s="2">
        <v>0.31841839441429198</v>
      </c>
      <c r="AF335" s="2">
        <v>0.23269645800084199</v>
      </c>
      <c r="AG335" s="2">
        <v>0.99196763894212703</v>
      </c>
      <c r="AH335" s="2">
        <v>0.94384104711000605</v>
      </c>
      <c r="AI335" s="2">
        <v>-0.21713822198862801</v>
      </c>
      <c r="AJ335" s="2">
        <v>0.95198344975029203</v>
      </c>
      <c r="AK335" s="2">
        <v>1.4571925902655801E-3</v>
      </c>
      <c r="AL335" s="2">
        <v>9.98758748877108</v>
      </c>
      <c r="AM335" s="2">
        <v>8.1683834791165104</v>
      </c>
      <c r="AN335" s="2">
        <v>1955.5868209346499</v>
      </c>
      <c r="AO335" s="2">
        <v>0.17676822027792199</v>
      </c>
      <c r="AP335" s="2">
        <v>246.40359757751099</v>
      </c>
      <c r="AQ335" s="2">
        <v>177.717012020814</v>
      </c>
      <c r="AR335" s="2">
        <v>2895.2803941064799</v>
      </c>
      <c r="AS335" s="2">
        <v>13.736328301545701</v>
      </c>
      <c r="AT335" s="2">
        <v>48326.760462803897</v>
      </c>
      <c r="AU335" s="2">
        <v>5.3471249363193103E-3</v>
      </c>
      <c r="AV335" s="2">
        <v>6.4045697099159103E-4</v>
      </c>
      <c r="AW335" s="2">
        <v>0.16114972430644101</v>
      </c>
      <c r="AX335" s="2">
        <v>1.5624802865835999E-3</v>
      </c>
      <c r="AY335" s="2">
        <v>6823.1573537673803</v>
      </c>
      <c r="AZ335" s="2">
        <v>0.184753201175197</v>
      </c>
      <c r="BA335" s="2">
        <v>3.8060073357958801</v>
      </c>
      <c r="BB335" s="2">
        <v>92</v>
      </c>
    </row>
    <row r="336" spans="1:54" ht="13" x14ac:dyDescent="0.15">
      <c r="A336" s="1" t="s">
        <v>1017</v>
      </c>
      <c r="B336" s="1" t="s">
        <v>1018</v>
      </c>
      <c r="C336" s="4" t="s">
        <v>1019</v>
      </c>
      <c r="D336" s="1" t="s">
        <v>14</v>
      </c>
      <c r="E336" s="2">
        <v>6003</v>
      </c>
      <c r="F336" s="2">
        <v>121707</v>
      </c>
      <c r="G336" s="2">
        <v>22243</v>
      </c>
      <c r="H336" s="2">
        <f t="shared" si="2"/>
        <v>149953</v>
      </c>
      <c r="I336" s="2">
        <v>198355</v>
      </c>
      <c r="J336" s="2">
        <v>1452677</v>
      </c>
      <c r="K336" s="2">
        <f t="shared" si="3"/>
        <v>0.10322528683251679</v>
      </c>
      <c r="M336" s="2">
        <v>0.33867776444044401</v>
      </c>
      <c r="N336" s="2">
        <v>0.246655768614893</v>
      </c>
      <c r="O336" s="2">
        <v>23.058769330674899</v>
      </c>
      <c r="P336" s="2">
        <v>93.4856276022348</v>
      </c>
      <c r="Q336" s="2">
        <v>62.641839053463301</v>
      </c>
      <c r="R336" s="2">
        <v>31.661503363636701</v>
      </c>
      <c r="S336" s="2">
        <v>0.30391559282345298</v>
      </c>
      <c r="T336" s="2">
        <v>5213.9155848330802</v>
      </c>
      <c r="U336" s="2">
        <v>1111</v>
      </c>
      <c r="V336" s="2">
        <v>1663</v>
      </c>
      <c r="W336" s="2">
        <v>1232.7473549424101</v>
      </c>
      <c r="X336" s="2">
        <v>142337.13510674701</v>
      </c>
      <c r="Y336" s="2">
        <v>1311.28487701156</v>
      </c>
      <c r="Z336" s="2">
        <v>249.294221146886</v>
      </c>
      <c r="AA336" s="2">
        <v>13.467621892032399</v>
      </c>
      <c r="AB336" s="2">
        <v>0.89743839940112902</v>
      </c>
      <c r="AC336" s="2">
        <v>2.55070173733621</v>
      </c>
      <c r="AD336" s="2">
        <v>2.9598824353356501</v>
      </c>
      <c r="AE336" s="2">
        <v>0.435559267470851</v>
      </c>
      <c r="AF336" s="2">
        <v>0.36339457561611399</v>
      </c>
      <c r="AG336" s="2">
        <v>0.99551271573715705</v>
      </c>
      <c r="AH336" s="2">
        <v>0.95680582911573198</v>
      </c>
      <c r="AI336" s="2">
        <v>-0.27491130113107898</v>
      </c>
      <c r="AJ336" s="2">
        <v>0.96533094612884196</v>
      </c>
      <c r="AK336" s="2">
        <v>3.9938858682269304E-3</v>
      </c>
      <c r="AL336" s="2">
        <v>8.5157466443539693</v>
      </c>
      <c r="AM336" s="2">
        <v>8.0027605629429104</v>
      </c>
      <c r="AN336" s="2">
        <v>762.68782275528895</v>
      </c>
      <c r="AO336" s="2">
        <v>0.12705111157009599</v>
      </c>
      <c r="AP336" s="2">
        <v>217.584374479427</v>
      </c>
      <c r="AQ336" s="2">
        <v>66.891356143240003</v>
      </c>
      <c r="AR336" s="2">
        <v>1200.964017991</v>
      </c>
      <c r="AS336" s="2">
        <v>25.388472430451401</v>
      </c>
      <c r="AT336" s="2">
        <v>35296.8207562885</v>
      </c>
      <c r="AU336" s="2">
        <v>2.26452601888225E-2</v>
      </c>
      <c r="AV336" s="2">
        <v>1.2988431424847801E-3</v>
      </c>
      <c r="AW336" s="2">
        <v>0.229890501414134</v>
      </c>
      <c r="AX336" s="2">
        <v>2.6334765518921102E-3</v>
      </c>
      <c r="AY336" s="2">
        <v>1995.5010525781399</v>
      </c>
      <c r="AZ336" s="2">
        <v>0.100910065244151</v>
      </c>
      <c r="BA336" s="2">
        <v>2.8315122424977601</v>
      </c>
      <c r="BB336" s="2">
        <v>21</v>
      </c>
    </row>
    <row r="337" spans="1:54" ht="13" x14ac:dyDescent="0.15">
      <c r="A337" s="1" t="s">
        <v>1020</v>
      </c>
      <c r="B337" s="1" t="s">
        <v>1021</v>
      </c>
      <c r="C337" s="4" t="s">
        <v>1022</v>
      </c>
      <c r="D337" s="1" t="s">
        <v>14</v>
      </c>
      <c r="E337" s="2">
        <v>4921</v>
      </c>
      <c r="F337" s="2">
        <v>51788</v>
      </c>
      <c r="G337" s="2">
        <v>20788</v>
      </c>
      <c r="H337" s="2">
        <f t="shared" si="2"/>
        <v>77497</v>
      </c>
      <c r="I337" s="2">
        <v>189180</v>
      </c>
      <c r="J337" s="2">
        <v>1344770</v>
      </c>
      <c r="K337" s="2">
        <f t="shared" si="3"/>
        <v>5.7628442038415488E-2</v>
      </c>
      <c r="M337" s="2">
        <v>0.22691648013736901</v>
      </c>
      <c r="N337" s="2">
        <v>0.14252134704677399</v>
      </c>
      <c r="O337" s="2">
        <v>15.4364473897834</v>
      </c>
      <c r="P337" s="2">
        <v>108.309721383122</v>
      </c>
      <c r="Q337" s="2">
        <v>81.1541742610939</v>
      </c>
      <c r="R337" s="2">
        <v>24.5772607409173</v>
      </c>
      <c r="S337" s="2">
        <v>0.29261175126726302</v>
      </c>
      <c r="T337" s="2">
        <v>4689.8824583098403</v>
      </c>
      <c r="U337" s="2">
        <v>704</v>
      </c>
      <c r="V337" s="2">
        <v>951</v>
      </c>
      <c r="W337" s="2">
        <v>253.11342859349699</v>
      </c>
      <c r="X337" s="2">
        <v>12613.1295313354</v>
      </c>
      <c r="Y337" s="2">
        <v>329.01001201803598</v>
      </c>
      <c r="Z337" s="2">
        <v>58.218246915865798</v>
      </c>
      <c r="AA337" s="2">
        <v>10.1856740927511</v>
      </c>
      <c r="AB337" s="2">
        <v>0.70210082165735399</v>
      </c>
      <c r="AC337" s="2">
        <v>2.3537773527339101</v>
      </c>
      <c r="AD337" s="2">
        <v>2.8135172258548198</v>
      </c>
      <c r="AE337" s="2">
        <v>0.43358714217409799</v>
      </c>
      <c r="AF337" s="2">
        <v>0.35777709224530602</v>
      </c>
      <c r="AG337" s="2">
        <v>0.99049117586742597</v>
      </c>
      <c r="AH337" s="2">
        <v>0.93485004575312902</v>
      </c>
      <c r="AI337" s="2">
        <v>-0.14869470386953201</v>
      </c>
      <c r="AJ337" s="2">
        <v>0.82404387214268804</v>
      </c>
      <c r="AK337" s="2">
        <v>8.6645484776572707E-3</v>
      </c>
      <c r="AL337" s="2">
        <v>7.4374752025839399</v>
      </c>
      <c r="AM337" s="2">
        <v>6.8822561233361599</v>
      </c>
      <c r="AN337" s="2">
        <v>708.779313147734</v>
      </c>
      <c r="AO337" s="2">
        <v>0.144031561298056</v>
      </c>
      <c r="AP337" s="2">
        <v>370.13838650680799</v>
      </c>
      <c r="AQ337" s="2">
        <v>16.660678674283101</v>
      </c>
      <c r="AR337" s="2">
        <v>248.96138996139001</v>
      </c>
      <c r="AS337" s="2">
        <v>19.724649461491602</v>
      </c>
      <c r="AT337" s="2">
        <v>4300.8435277382596</v>
      </c>
      <c r="AU337" s="2">
        <v>0.112652738174243</v>
      </c>
      <c r="AV337" s="2">
        <v>5.58221014415491E-3</v>
      </c>
      <c r="AW337" s="2">
        <v>0.80659007364398505</v>
      </c>
      <c r="AX337" s="2">
        <v>2.1425590187942501E-3</v>
      </c>
      <c r="AY337" s="2">
        <v>649.21769841893399</v>
      </c>
      <c r="AZ337" s="2">
        <v>4.8666676130160597E-2</v>
      </c>
      <c r="BA337" s="2">
        <v>0.92901797017452803</v>
      </c>
      <c r="BB337" s="2">
        <v>38</v>
      </c>
    </row>
    <row r="338" spans="1:54" ht="13" x14ac:dyDescent="0.15">
      <c r="A338" s="1" t="s">
        <v>1023</v>
      </c>
      <c r="B338" s="1" t="s">
        <v>1024</v>
      </c>
      <c r="C338" s="4" t="s">
        <v>1025</v>
      </c>
      <c r="D338" s="1" t="s">
        <v>14</v>
      </c>
      <c r="E338" s="2">
        <v>953</v>
      </c>
      <c r="F338" s="2">
        <v>20779</v>
      </c>
      <c r="G338" s="2">
        <v>4845</v>
      </c>
      <c r="H338" s="2">
        <f t="shared" si="2"/>
        <v>26577</v>
      </c>
      <c r="I338" s="2">
        <v>42392</v>
      </c>
      <c r="J338" s="2">
        <v>1475048</v>
      </c>
      <c r="K338" s="2">
        <f t="shared" si="3"/>
        <v>1.8017718745423877E-2</v>
      </c>
      <c r="M338" s="2">
        <v>0.73318714059157397</v>
      </c>
      <c r="N338" s="2">
        <v>0.443592968759352</v>
      </c>
      <c r="O338" s="2">
        <v>8.9367328698530795</v>
      </c>
      <c r="P338" s="2">
        <v>20.146245543177699</v>
      </c>
      <c r="Q338" s="2">
        <v>17.4928556845359</v>
      </c>
      <c r="R338" s="2">
        <v>14.7709681634582</v>
      </c>
      <c r="S338" s="2">
        <v>0.42783304833461799</v>
      </c>
      <c r="T338" s="2">
        <v>1066.02469436754</v>
      </c>
      <c r="U338" s="2">
        <v>747</v>
      </c>
      <c r="V338" s="2">
        <v>901</v>
      </c>
      <c r="W338" s="2">
        <v>81.216129780415798</v>
      </c>
      <c r="X338" s="2">
        <v>929.58606079480705</v>
      </c>
      <c r="Y338" s="2">
        <v>-29.975679509644799</v>
      </c>
      <c r="Z338" s="2">
        <v>18.237645753550598</v>
      </c>
      <c r="AA338" s="2">
        <v>3.64023809709881</v>
      </c>
      <c r="AB338" s="2">
        <v>0.66698838193972898</v>
      </c>
      <c r="AC338" s="2">
        <v>1.4730549224338001</v>
      </c>
      <c r="AD338" s="2">
        <v>2.16985360048055</v>
      </c>
      <c r="AE338" s="2">
        <v>0.51874441471306898</v>
      </c>
      <c r="AF338" s="2">
        <v>0.46127020404071301</v>
      </c>
      <c r="AG338" s="2">
        <v>0.98458862405261904</v>
      </c>
      <c r="AH338" s="2">
        <v>0.91526433329761803</v>
      </c>
      <c r="AI338" s="2">
        <v>-0.16505398283808401</v>
      </c>
      <c r="AJ338" s="2">
        <v>0.80533330654381297</v>
      </c>
      <c r="AK338" s="2">
        <v>2.0783105174793402E-2</v>
      </c>
      <c r="AL338" s="2">
        <v>5.96823016971552</v>
      </c>
      <c r="AM338" s="2">
        <v>6.2864120201603102</v>
      </c>
      <c r="AN338" s="2">
        <v>113.77439664218301</v>
      </c>
      <c r="AO338" s="2">
        <v>0.119385515888964</v>
      </c>
      <c r="AP338" s="2">
        <v>112.019937040923</v>
      </c>
      <c r="AQ338" s="2">
        <v>5.6481206418346401</v>
      </c>
      <c r="AR338" s="2">
        <v>78.945435466946506</v>
      </c>
      <c r="AS338" s="2">
        <v>27.497376705141701</v>
      </c>
      <c r="AT338" s="2">
        <v>2127.5603357817399</v>
      </c>
      <c r="AU338" s="2">
        <v>0.47824327813953699</v>
      </c>
      <c r="AV338" s="2">
        <v>2.0567917937210099E-2</v>
      </c>
      <c r="AW338" s="2">
        <v>0.722286416235426</v>
      </c>
      <c r="AX338" s="2">
        <v>1.0233783088868499E-2</v>
      </c>
      <c r="AY338" s="2">
        <v>88.151461505122498</v>
      </c>
      <c r="AZ338" s="2">
        <v>5.1999470738507997E-2</v>
      </c>
      <c r="BA338" s="2">
        <v>0.80206111114387002</v>
      </c>
      <c r="BB338" s="2">
        <v>518</v>
      </c>
    </row>
    <row r="339" spans="1:54" ht="13" x14ac:dyDescent="0.15">
      <c r="A339" s="1" t="s">
        <v>1026</v>
      </c>
      <c r="B339" s="1" t="s">
        <v>1027</v>
      </c>
      <c r="C339" s="4" t="s">
        <v>1028</v>
      </c>
      <c r="D339" s="1" t="s">
        <v>14</v>
      </c>
      <c r="E339" s="2">
        <v>21366</v>
      </c>
      <c r="F339" s="2">
        <v>92423</v>
      </c>
      <c r="G339" s="2">
        <v>18926</v>
      </c>
      <c r="H339" s="2">
        <f t="shared" si="2"/>
        <v>132715</v>
      </c>
      <c r="I339" s="2">
        <v>219411</v>
      </c>
      <c r="J339" s="2">
        <v>1535798</v>
      </c>
      <c r="K339" s="2">
        <f t="shared" si="3"/>
        <v>8.6414359180048417E-2</v>
      </c>
      <c r="M339" s="2">
        <v>0.77903070972982102</v>
      </c>
      <c r="N339" s="2">
        <v>0.59466236575405296</v>
      </c>
      <c r="O339" s="2">
        <v>24.635954093992702</v>
      </c>
      <c r="P339" s="2">
        <v>41.4284735553316</v>
      </c>
      <c r="Q339" s="2">
        <v>43.289721643826702</v>
      </c>
      <c r="R339" s="2">
        <v>32.274053156833098</v>
      </c>
      <c r="S339" s="2">
        <v>0.75658113837729402</v>
      </c>
      <c r="T339" s="2">
        <v>4914.6990932379504</v>
      </c>
      <c r="U339" s="2">
        <v>920</v>
      </c>
      <c r="V339" s="2">
        <v>1651</v>
      </c>
      <c r="W339" s="2">
        <v>2208.4150291548999</v>
      </c>
      <c r="X339" s="2">
        <v>592085.48214748094</v>
      </c>
      <c r="Y339" s="2">
        <v>-4441.8809261819697</v>
      </c>
      <c r="Z339" s="2">
        <v>492.330140458458</v>
      </c>
      <c r="AA339" s="2">
        <v>40.212142617125899</v>
      </c>
      <c r="AB339" s="2">
        <v>0.84890411884814299</v>
      </c>
      <c r="AC339" s="2">
        <v>4.4706322952093496</v>
      </c>
      <c r="AD339" s="2">
        <v>3.6890139848715</v>
      </c>
      <c r="AE339" s="2">
        <v>0.330996380075746</v>
      </c>
      <c r="AF339" s="2">
        <v>0.24704983834941499</v>
      </c>
      <c r="AG339" s="2">
        <v>0.99120288866987605</v>
      </c>
      <c r="AH339" s="2">
        <v>0.94001282458857205</v>
      </c>
      <c r="AI339" s="2">
        <v>-0.20391521795253201</v>
      </c>
      <c r="AJ339" s="2">
        <v>0.93879492796409303</v>
      </c>
      <c r="AK339" s="2">
        <v>1.9324808241718899E-3</v>
      </c>
      <c r="AL339" s="2">
        <v>9.7241196181360099</v>
      </c>
      <c r="AM339" s="2">
        <v>8.0832754103791107</v>
      </c>
      <c r="AN339" s="2">
        <v>3460.48085743705</v>
      </c>
      <c r="AO339" s="2">
        <v>0.16196203582500501</v>
      </c>
      <c r="AP339" s="2">
        <v>550.04811382570404</v>
      </c>
      <c r="AQ339" s="2">
        <v>133.62298046556</v>
      </c>
      <c r="AR339" s="2">
        <v>2180.0652906486898</v>
      </c>
      <c r="AS339" s="2">
        <v>18.216886642328902</v>
      </c>
      <c r="AT339" s="2">
        <v>53206.423804174898</v>
      </c>
      <c r="AU339" s="2">
        <v>8.1179544579439208E-3</v>
      </c>
      <c r="AV339" s="2">
        <v>8.1860658239691795E-4</v>
      </c>
      <c r="AW339" s="2">
        <v>0.404954527764538</v>
      </c>
      <c r="AX339" s="2">
        <v>7.6628713854415796E-4</v>
      </c>
      <c r="AY339" s="2">
        <v>5047.5432894314999</v>
      </c>
      <c r="AZ339" s="2">
        <v>0.167286427997443</v>
      </c>
      <c r="BA339" s="2">
        <v>1.45930597935393</v>
      </c>
      <c r="BB339" s="2">
        <v>483</v>
      </c>
    </row>
    <row r="340" spans="1:54" ht="13" x14ac:dyDescent="0.15">
      <c r="A340" s="1" t="s">
        <v>1029</v>
      </c>
      <c r="B340" s="1" t="s">
        <v>1030</v>
      </c>
      <c r="C340" s="4" t="s">
        <v>1031</v>
      </c>
      <c r="D340" s="1" t="s">
        <v>14</v>
      </c>
      <c r="E340" s="2">
        <v>21324</v>
      </c>
      <c r="F340" s="2">
        <v>47465</v>
      </c>
      <c r="G340" s="2">
        <v>32576</v>
      </c>
      <c r="H340" s="2">
        <f t="shared" si="2"/>
        <v>101365</v>
      </c>
      <c r="I340" s="2">
        <v>145961</v>
      </c>
      <c r="J340" s="2">
        <v>1655086</v>
      </c>
      <c r="K340" s="2">
        <f t="shared" si="3"/>
        <v>6.1244551642633677E-2</v>
      </c>
      <c r="M340" s="2">
        <v>0.59094528536343305</v>
      </c>
      <c r="N340" s="2">
        <v>0.38377122819522203</v>
      </c>
      <c r="O340" s="2">
        <v>22.379989486949899</v>
      </c>
      <c r="P340" s="2">
        <v>58.315964936186703</v>
      </c>
      <c r="Q340" s="2">
        <v>60.827625302982199</v>
      </c>
      <c r="R340" s="2">
        <v>34.461544540458803</v>
      </c>
      <c r="S340" s="2">
        <v>0.37389585785440299</v>
      </c>
      <c r="T340" s="2">
        <v>9947.7168510904594</v>
      </c>
      <c r="U340" s="2">
        <v>793</v>
      </c>
      <c r="V340" s="2">
        <v>1170</v>
      </c>
      <c r="W340" s="2">
        <v>702.24320879974596</v>
      </c>
      <c r="X340" s="2">
        <v>43630.008622424502</v>
      </c>
      <c r="Y340" s="2">
        <v>-136.151920911941</v>
      </c>
      <c r="Z340" s="2">
        <v>123.676340210742</v>
      </c>
      <c r="AA340" s="2">
        <v>7.2779151407085099</v>
      </c>
      <c r="AB340" s="2">
        <v>0.88885296907296796</v>
      </c>
      <c r="AC340" s="2">
        <v>2.00056108089092</v>
      </c>
      <c r="AD340" s="2">
        <v>2.5961393479681298</v>
      </c>
      <c r="AE340" s="2">
        <v>0.46331236298705197</v>
      </c>
      <c r="AF340" s="2">
        <v>0.39315444128972798</v>
      </c>
      <c r="AG340" s="2">
        <v>0.996616323425075</v>
      </c>
      <c r="AH340" s="2">
        <v>0.959611354109287</v>
      </c>
      <c r="AI340" s="2">
        <v>-0.26463335061204502</v>
      </c>
      <c r="AJ340" s="2">
        <v>0.95048610949655499</v>
      </c>
      <c r="AK340" s="2">
        <v>6.0739707621162804E-3</v>
      </c>
      <c r="AL340" s="2">
        <v>7.9004943794044902</v>
      </c>
      <c r="AM340" s="2">
        <v>7.8246681043467401</v>
      </c>
      <c r="AN340" s="2">
        <v>2435.3711311198699</v>
      </c>
      <c r="AO340" s="2">
        <v>0.114207987765891</v>
      </c>
      <c r="AP340" s="2">
        <v>1051.3842618645699</v>
      </c>
      <c r="AQ340" s="2">
        <v>32.810646272386101</v>
      </c>
      <c r="AR340" s="2">
        <v>695.37089664228097</v>
      </c>
      <c r="AS340" s="2">
        <v>30.808478709435398</v>
      </c>
      <c r="AT340" s="2">
        <v>21796.462061526901</v>
      </c>
      <c r="AU340" s="2">
        <v>5.4314396628183999E-2</v>
      </c>
      <c r="AV340" s="2">
        <v>2.0238628418021501E-3</v>
      </c>
      <c r="AW340" s="2">
        <v>0.82463374113469501</v>
      </c>
      <c r="AX340" s="2">
        <v>8.6030903964781202E-4</v>
      </c>
      <c r="AY340" s="2">
        <v>1059.7476873625501</v>
      </c>
      <c r="AZ340" s="2">
        <v>3.9160853944841999E-2</v>
      </c>
      <c r="BA340" s="2">
        <v>0.74961832216440505</v>
      </c>
      <c r="BB340" s="2">
        <v>84</v>
      </c>
    </row>
    <row r="341" spans="1:54" ht="13" x14ac:dyDescent="0.15">
      <c r="A341" s="1" t="s">
        <v>1032</v>
      </c>
      <c r="B341" s="1" t="s">
        <v>1033</v>
      </c>
      <c r="C341" s="4" t="s">
        <v>1034</v>
      </c>
      <c r="D341" s="1" t="s">
        <v>14</v>
      </c>
      <c r="E341" s="2">
        <v>10879</v>
      </c>
      <c r="F341" s="2">
        <v>78356</v>
      </c>
      <c r="G341" s="2">
        <v>39664</v>
      </c>
      <c r="H341" s="2">
        <f t="shared" si="2"/>
        <v>128899</v>
      </c>
      <c r="I341" s="2">
        <v>253811</v>
      </c>
      <c r="J341" s="2">
        <v>1464820</v>
      </c>
      <c r="K341" s="2">
        <f t="shared" si="3"/>
        <v>8.7996477382886629E-2</v>
      </c>
      <c r="M341" s="2">
        <v>0.70883595571925695</v>
      </c>
      <c r="N341" s="2">
        <v>0.41475062031948801</v>
      </c>
      <c r="O341" s="2">
        <v>20.540087502753298</v>
      </c>
      <c r="P341" s="2">
        <v>49.523946430582697</v>
      </c>
      <c r="Q341" s="2">
        <v>56.568542494923797</v>
      </c>
      <c r="R341" s="2">
        <v>35.104353899111402</v>
      </c>
      <c r="S341" s="2">
        <v>0.339125086546395</v>
      </c>
      <c r="T341" s="2">
        <v>6916.1492084040101</v>
      </c>
      <c r="U341" s="2">
        <v>660</v>
      </c>
      <c r="V341" s="2">
        <v>983</v>
      </c>
      <c r="W341" s="2">
        <v>963.74330984393202</v>
      </c>
      <c r="X341" s="2">
        <v>36043.514552774199</v>
      </c>
      <c r="Y341" s="2">
        <v>-437.26344319183403</v>
      </c>
      <c r="Z341" s="2">
        <v>95.635873120979994</v>
      </c>
      <c r="AA341" s="2">
        <v>20.3692405972762</v>
      </c>
      <c r="AB341" s="2">
        <v>0.64890258872587403</v>
      </c>
      <c r="AC341" s="2">
        <v>3.2266874087570598</v>
      </c>
      <c r="AD341" s="2">
        <v>3.2381906118930002</v>
      </c>
      <c r="AE341" s="2">
        <v>0.37778827911077401</v>
      </c>
      <c r="AF341" s="2">
        <v>0.29484269001637597</v>
      </c>
      <c r="AG341" s="2">
        <v>0.99219919261362399</v>
      </c>
      <c r="AH341" s="2">
        <v>0.94237388082349305</v>
      </c>
      <c r="AI341" s="2">
        <v>-0.12261914660063999</v>
      </c>
      <c r="AJ341" s="2">
        <v>0.80270742818248897</v>
      </c>
      <c r="AK341" s="2">
        <v>4.9847114905177403E-3</v>
      </c>
      <c r="AL341" s="2">
        <v>8.3326688552287198</v>
      </c>
      <c r="AM341" s="2">
        <v>7.2356751078372303</v>
      </c>
      <c r="AN341" s="2">
        <v>1697.47743358765</v>
      </c>
      <c r="AO341" s="2">
        <v>0.15603248769074801</v>
      </c>
      <c r="AP341" s="2">
        <v>608.83932346722997</v>
      </c>
      <c r="AQ341" s="2">
        <v>28.772281541228999</v>
      </c>
      <c r="AR341" s="2">
        <v>956.67717621104896</v>
      </c>
      <c r="AS341" s="2">
        <v>16.741888041180299</v>
      </c>
      <c r="AT341" s="2">
        <v>16478.229524772501</v>
      </c>
      <c r="AU341" s="2">
        <v>1.8593793466633899E-2</v>
      </c>
      <c r="AV341" s="2">
        <v>1.3518514525095099E-3</v>
      </c>
      <c r="AW341" s="2">
        <v>0.47298211830971398</v>
      </c>
      <c r="AX341" s="2">
        <v>1.0432796616889901E-3</v>
      </c>
      <c r="AY341" s="2">
        <v>2117.4840786976001</v>
      </c>
      <c r="AZ341" s="2">
        <v>4.7648189764676198E-2</v>
      </c>
      <c r="BA341" s="2">
        <v>1.15572310373609</v>
      </c>
      <c r="BB341" s="2">
        <v>475</v>
      </c>
    </row>
    <row r="342" spans="1:54" ht="13" x14ac:dyDescent="0.15">
      <c r="A342" s="1" t="s">
        <v>1035</v>
      </c>
      <c r="B342" s="1" t="s">
        <v>1036</v>
      </c>
      <c r="C342" s="4" t="s">
        <v>1037</v>
      </c>
      <c r="D342" s="1" t="s">
        <v>14</v>
      </c>
      <c r="E342" s="2">
        <v>1603</v>
      </c>
      <c r="F342" s="2">
        <v>86231</v>
      </c>
      <c r="G342" s="2">
        <v>16884</v>
      </c>
      <c r="H342" s="2">
        <f t="shared" si="2"/>
        <v>104718</v>
      </c>
      <c r="I342" s="2">
        <v>160415</v>
      </c>
      <c r="J342" s="2">
        <v>1483800</v>
      </c>
      <c r="K342" s="2">
        <f t="shared" si="3"/>
        <v>7.0574201374848364E-2</v>
      </c>
      <c r="M342" s="2">
        <v>0.68060667302003697</v>
      </c>
      <c r="N342" s="2">
        <v>0.31752011545189501</v>
      </c>
      <c r="O342" s="2">
        <v>8.9607751427021807</v>
      </c>
      <c r="P342" s="2">
        <v>28.2211258645745</v>
      </c>
      <c r="Q342" s="2">
        <v>23.769728648009401</v>
      </c>
      <c r="R342" s="2">
        <v>19.2074865835678</v>
      </c>
      <c r="S342" s="2">
        <v>0.45631654216711798</v>
      </c>
      <c r="T342" s="2">
        <v>1424.4858905034901</v>
      </c>
      <c r="U342" s="2">
        <v>676</v>
      </c>
      <c r="V342" s="2">
        <v>1143</v>
      </c>
      <c r="W342" s="2">
        <v>241.251268037209</v>
      </c>
      <c r="X342" s="2">
        <v>591887.75046630402</v>
      </c>
      <c r="Y342" s="2">
        <v>10269.459967107599</v>
      </c>
      <c r="Z342" s="2">
        <v>301.67266138321497</v>
      </c>
      <c r="AA342" s="2">
        <v>24.128275446124</v>
      </c>
      <c r="AB342" s="2">
        <v>0.84780518840660102</v>
      </c>
      <c r="AC342" s="2">
        <v>3.3292792126166399</v>
      </c>
      <c r="AD342" s="2">
        <v>3.2475301732557602</v>
      </c>
      <c r="AE342" s="2">
        <v>0.37862359401387102</v>
      </c>
      <c r="AF342" s="2">
        <v>0.29552620756258702</v>
      </c>
      <c r="AG342" s="2">
        <v>0.98996102684202802</v>
      </c>
      <c r="AH342" s="2">
        <v>0.93795838476470506</v>
      </c>
      <c r="AI342" s="2">
        <v>-0.23751151105995499</v>
      </c>
      <c r="AJ342" s="2">
        <v>0.93878164132504904</v>
      </c>
      <c r="AK342" s="2">
        <v>6.2308350986182903E-3</v>
      </c>
      <c r="AL342" s="2">
        <v>8.0448906590995701</v>
      </c>
      <c r="AM342" s="2">
        <v>7.0598445418054201</v>
      </c>
      <c r="AN342" s="2">
        <v>266.75670617591999</v>
      </c>
      <c r="AO342" s="2">
        <v>0.16641092088329401</v>
      </c>
      <c r="AP342" s="2">
        <v>87.630068621334999</v>
      </c>
      <c r="AQ342" s="2">
        <v>81.266971745506794</v>
      </c>
      <c r="AR342" s="2">
        <v>261.20835932626301</v>
      </c>
      <c r="AS342" s="2">
        <v>15.0374298190892</v>
      </c>
      <c r="AT342" s="2">
        <v>2929.57641921397</v>
      </c>
      <c r="AU342" s="2">
        <v>0.26335318430480198</v>
      </c>
      <c r="AV342" s="2">
        <v>1.6298898670696001E-2</v>
      </c>
      <c r="AW342" s="2">
        <v>0.242613555384362</v>
      </c>
      <c r="AX342" s="2">
        <v>7.1722603337126796E-3</v>
      </c>
      <c r="AY342" s="2">
        <v>2089.9347852153801</v>
      </c>
      <c r="AZ342" s="2">
        <v>0.159551225329601</v>
      </c>
      <c r="BA342" s="2">
        <v>10.2264410385676</v>
      </c>
      <c r="BB342" s="2">
        <v>204</v>
      </c>
    </row>
    <row r="343" spans="1:54" ht="13" x14ac:dyDescent="0.15">
      <c r="A343" s="1" t="s">
        <v>1038</v>
      </c>
      <c r="B343" s="1" t="s">
        <v>1039</v>
      </c>
      <c r="C343" s="4" t="s">
        <v>1040</v>
      </c>
      <c r="D343" s="1" t="s">
        <v>14</v>
      </c>
      <c r="E343" s="2">
        <v>0</v>
      </c>
      <c r="F343" s="2">
        <v>23043</v>
      </c>
      <c r="G343" s="2">
        <v>3792</v>
      </c>
      <c r="H343" s="2">
        <f t="shared" si="2"/>
        <v>26835</v>
      </c>
      <c r="I343" s="2">
        <v>86817</v>
      </c>
      <c r="J343" s="2">
        <v>1557221</v>
      </c>
      <c r="K343" s="2">
        <f t="shared" si="3"/>
        <v>1.7232621445510944E-2</v>
      </c>
      <c r="M343" s="2">
        <v>0.89302990042170405</v>
      </c>
      <c r="N343" s="2">
        <v>0.61171774900112297</v>
      </c>
      <c r="O343" s="2">
        <v>33.907784142801503</v>
      </c>
      <c r="P343" s="2">
        <v>55.430440261329103</v>
      </c>
      <c r="Q343" s="2">
        <v>62.9364759102383</v>
      </c>
      <c r="R343" s="2">
        <v>49.501040546905998</v>
      </c>
      <c r="S343" s="2">
        <v>0.29632165444012998</v>
      </c>
      <c r="T343" s="2">
        <v>13165.434401856201</v>
      </c>
      <c r="U343" s="2">
        <v>584</v>
      </c>
      <c r="V343" s="2">
        <v>833</v>
      </c>
      <c r="W343" s="2">
        <v>533.15756502612305</v>
      </c>
      <c r="X343" s="2">
        <v>14787.5091707787</v>
      </c>
      <c r="Y343" s="2">
        <v>368.06004682552202</v>
      </c>
      <c r="Z343" s="2">
        <v>56.921551489408102</v>
      </c>
      <c r="AA343" s="2">
        <v>10.4448838354316</v>
      </c>
      <c r="AB343" s="2">
        <v>0.69030650057152199</v>
      </c>
      <c r="AC343" s="2">
        <v>2.2645097625100301</v>
      </c>
      <c r="AD343" s="2">
        <v>2.78513734155201</v>
      </c>
      <c r="AE343" s="2">
        <v>0.45301366408945898</v>
      </c>
      <c r="AF343" s="2">
        <v>0.38299485560124502</v>
      </c>
      <c r="AG343" s="2">
        <v>0.99637034776239697</v>
      </c>
      <c r="AH343" s="2">
        <v>0.96056628556924895</v>
      </c>
      <c r="AI343" s="2">
        <v>-0.14406941669377399</v>
      </c>
      <c r="AJ343" s="2">
        <v>0.81114291043133901</v>
      </c>
      <c r="AK343" s="2">
        <v>9.3128775926299805E-3</v>
      </c>
      <c r="AL343" s="2">
        <v>7.4245567706627904</v>
      </c>
      <c r="AM343" s="2">
        <v>7.2645501046909997</v>
      </c>
      <c r="AN343" s="2">
        <v>2653.4322353860198</v>
      </c>
      <c r="AO343" s="2">
        <v>0.11515133599731001</v>
      </c>
      <c r="AP343" s="2">
        <v>1738.2974873063399</v>
      </c>
      <c r="AQ343" s="2">
        <v>17.2266324630335</v>
      </c>
      <c r="AR343" s="2">
        <v>520.61485049689702</v>
      </c>
      <c r="AS343" s="2">
        <v>29.656511738922902</v>
      </c>
      <c r="AT343" s="2">
        <v>14778.4292843814</v>
      </c>
      <c r="AU343" s="2">
        <v>6.5280985038910902E-2</v>
      </c>
      <c r="AV343" s="2">
        <v>2.2477422799169399E-3</v>
      </c>
      <c r="AW343" s="2">
        <v>1.3405737696364499</v>
      </c>
      <c r="AX343" s="2">
        <v>4.73984684651739E-4</v>
      </c>
      <c r="AY343" s="2">
        <v>1617.1487002430799</v>
      </c>
      <c r="AZ343" s="2">
        <v>2.18304255920675E-2</v>
      </c>
      <c r="BA343" s="2">
        <v>0.70030469677259799</v>
      </c>
      <c r="BB343" s="2">
        <v>55</v>
      </c>
    </row>
    <row r="344" spans="1:54" ht="13" x14ac:dyDescent="0.15">
      <c r="A344" s="1" t="s">
        <v>1041</v>
      </c>
      <c r="B344" s="1" t="s">
        <v>1042</v>
      </c>
      <c r="C344" s="4" t="s">
        <v>1043</v>
      </c>
      <c r="D344" s="1" t="s">
        <v>14</v>
      </c>
      <c r="E344" s="2">
        <v>484</v>
      </c>
      <c r="F344" s="2">
        <v>28005</v>
      </c>
      <c r="G344" s="2">
        <v>6645</v>
      </c>
      <c r="H344" s="2">
        <f t="shared" si="2"/>
        <v>35134</v>
      </c>
      <c r="I344" s="2">
        <v>45448</v>
      </c>
      <c r="J344" s="2">
        <v>1395295</v>
      </c>
      <c r="K344" s="2">
        <f t="shared" si="3"/>
        <v>2.5180338208049192E-2</v>
      </c>
      <c r="M344" s="2">
        <v>0.68055583506120498</v>
      </c>
      <c r="N344" s="2">
        <v>0.542152244528745</v>
      </c>
      <c r="O344" s="2">
        <v>7.4247967647857704</v>
      </c>
      <c r="P344" s="2">
        <v>13.695040165774101</v>
      </c>
      <c r="Q344" s="2">
        <v>13.6014705087354</v>
      </c>
      <c r="R344" s="2">
        <v>9.3202394962151605</v>
      </c>
      <c r="S344" s="2">
        <v>0.56098441354288398</v>
      </c>
      <c r="T344" s="2">
        <v>524.12690595472804</v>
      </c>
      <c r="U344" s="2">
        <v>1277.5999999999999</v>
      </c>
      <c r="V344" s="2">
        <v>1637.7</v>
      </c>
      <c r="W344" s="2">
        <v>252.98458353727401</v>
      </c>
      <c r="X344" s="2">
        <v>13455.232291198499</v>
      </c>
      <c r="Y344" s="2">
        <v>-18.638974833167399</v>
      </c>
      <c r="Z344" s="2">
        <v>71.811213414298194</v>
      </c>
      <c r="AA344" s="2">
        <v>43.312024381541299</v>
      </c>
      <c r="AB344" s="2">
        <v>0.24964133817020301</v>
      </c>
      <c r="AC344" s="2">
        <v>5.1881059689443303</v>
      </c>
      <c r="AD344" s="2">
        <v>3.7364462093105901</v>
      </c>
      <c r="AE344" s="2">
        <v>0.27095685880582998</v>
      </c>
      <c r="AF344" s="2">
        <v>0.17794036464203</v>
      </c>
      <c r="AG344" s="2">
        <v>0.94903064391522096</v>
      </c>
      <c r="AH344" s="2">
        <v>0.85107056197234998</v>
      </c>
      <c r="AI344" s="2">
        <v>-0.170616189445157</v>
      </c>
      <c r="AJ344" s="2">
        <v>0.87977375297855098</v>
      </c>
      <c r="AK344" s="2">
        <v>4.4462444315623703E-3</v>
      </c>
      <c r="AL344" s="2">
        <v>8.0461329273990696</v>
      </c>
      <c r="AM344" s="2">
        <v>6.11408555087724</v>
      </c>
      <c r="AN344" s="2">
        <v>138.47933884297501</v>
      </c>
      <c r="AO344" s="2">
        <v>0.28611433645242801</v>
      </c>
      <c r="AP344" s="2">
        <v>24.801652892562</v>
      </c>
      <c r="AQ344" s="2">
        <v>29.677015743460199</v>
      </c>
      <c r="AR344" s="2">
        <v>246.873966942149</v>
      </c>
      <c r="AS344" s="2">
        <v>5.6694214876033104</v>
      </c>
      <c r="AT344" s="2">
        <v>1546.82438016529</v>
      </c>
      <c r="AU344" s="2">
        <v>3.9285163869221297E-2</v>
      </c>
      <c r="AV344" s="2">
        <v>1.13345098871788E-2</v>
      </c>
      <c r="AW344" s="2">
        <v>0.235746927372844</v>
      </c>
      <c r="AX344" s="2">
        <v>1.35154375631279E-2</v>
      </c>
      <c r="AY344" s="2">
        <v>944.79034971001897</v>
      </c>
      <c r="AZ344" s="2">
        <v>0.30100599599008898</v>
      </c>
      <c r="BA344" s="2">
        <v>2.84833896824138</v>
      </c>
      <c r="BB344" s="2">
        <v>316</v>
      </c>
    </row>
    <row r="345" spans="1:54" ht="13" x14ac:dyDescent="0.15">
      <c r="A345" s="1" t="s">
        <v>1044</v>
      </c>
      <c r="B345" s="1" t="s">
        <v>1045</v>
      </c>
      <c r="C345" s="4" t="s">
        <v>1046</v>
      </c>
      <c r="D345" s="1" t="s">
        <v>14</v>
      </c>
      <c r="E345" s="2">
        <v>6878</v>
      </c>
      <c r="F345" s="2">
        <v>139863</v>
      </c>
      <c r="G345" s="2">
        <v>19086</v>
      </c>
      <c r="H345" s="2">
        <f t="shared" si="2"/>
        <v>165827</v>
      </c>
      <c r="I345" s="2">
        <v>430253</v>
      </c>
      <c r="J345" s="2">
        <v>1614633</v>
      </c>
      <c r="K345" s="2">
        <f t="shared" si="3"/>
        <v>0.10270259557435034</v>
      </c>
      <c r="M345" s="2">
        <v>0.41369246271559301</v>
      </c>
      <c r="N345" s="2">
        <v>0.36679113538465002</v>
      </c>
      <c r="O345" s="2">
        <v>17.881741706982901</v>
      </c>
      <c r="P345" s="2">
        <v>48.751837168121703</v>
      </c>
      <c r="Q345" s="2">
        <v>49.254441424098999</v>
      </c>
      <c r="R345" s="2">
        <v>20.168267579989799</v>
      </c>
      <c r="S345" s="2">
        <v>0.36425068465546701</v>
      </c>
      <c r="T345" s="2">
        <v>4761.2830299467396</v>
      </c>
      <c r="U345" s="2">
        <v>969</v>
      </c>
      <c r="V345" s="2">
        <v>1170</v>
      </c>
      <c r="W345" s="2">
        <v>235.02553740555601</v>
      </c>
      <c r="X345" s="2">
        <v>9235.0773647990609</v>
      </c>
      <c r="Y345" s="2">
        <v>253.045914194679</v>
      </c>
      <c r="Z345" s="2">
        <v>37.8307966870005</v>
      </c>
      <c r="AA345" s="2">
        <v>6.84690060771098</v>
      </c>
      <c r="AB345" s="2">
        <v>0.69262699490630797</v>
      </c>
      <c r="AC345" s="2">
        <v>1.8955117382031501</v>
      </c>
      <c r="AD345" s="2">
        <v>2.5353906508711801</v>
      </c>
      <c r="AE345" s="2">
        <v>0.47812632087111401</v>
      </c>
      <c r="AF345" s="2">
        <v>0.41140939109980401</v>
      </c>
      <c r="AG345" s="2">
        <v>0.99514139754122799</v>
      </c>
      <c r="AH345" s="2">
        <v>0.953153945834736</v>
      </c>
      <c r="AI345" s="2">
        <v>-0.150545110762516</v>
      </c>
      <c r="AJ345" s="2">
        <v>0.80595149538745503</v>
      </c>
      <c r="AK345" s="2">
        <v>1.3374072655779499E-2</v>
      </c>
      <c r="AL345" s="2">
        <v>6.81412351923582</v>
      </c>
      <c r="AM345" s="2">
        <v>6.9226403029641501</v>
      </c>
      <c r="AN345" s="2">
        <v>787.68304739749897</v>
      </c>
      <c r="AO345" s="2">
        <v>0.11452210633868801</v>
      </c>
      <c r="AP345" s="2">
        <v>628.13230590287901</v>
      </c>
      <c r="AQ345" s="2">
        <v>11.995962955412599</v>
      </c>
      <c r="AR345" s="2">
        <v>240.938644954929</v>
      </c>
      <c r="AS345" s="2">
        <v>30.075894155277702</v>
      </c>
      <c r="AT345" s="2">
        <v>6560.9563826693802</v>
      </c>
      <c r="AU345" s="2">
        <v>0.157514161892719</v>
      </c>
      <c r="AV345" s="2">
        <v>5.2561430229182702E-3</v>
      </c>
      <c r="AW345" s="2">
        <v>0.81858452602312004</v>
      </c>
      <c r="AX345" s="2">
        <v>1.5951251261256401E-3</v>
      </c>
      <c r="AY345" s="2">
        <v>722.26110322807097</v>
      </c>
      <c r="AZ345" s="2">
        <v>2.2437139346564799E-2</v>
      </c>
      <c r="BA345" s="2">
        <v>1.18671720935253</v>
      </c>
      <c r="BB345" s="2">
        <v>375</v>
      </c>
    </row>
    <row r="346" spans="1:54" ht="13" x14ac:dyDescent="0.15">
      <c r="A346" s="1" t="s">
        <v>1047</v>
      </c>
      <c r="B346" s="1" t="s">
        <v>1048</v>
      </c>
      <c r="C346" s="4" t="s">
        <v>1049</v>
      </c>
      <c r="D346" s="1" t="s">
        <v>14</v>
      </c>
      <c r="E346" s="2">
        <v>16285</v>
      </c>
      <c r="F346" s="2">
        <v>45218</v>
      </c>
      <c r="G346" s="2">
        <v>14367</v>
      </c>
      <c r="H346" s="2">
        <f t="shared" si="2"/>
        <v>75870</v>
      </c>
      <c r="I346" s="2">
        <v>105767</v>
      </c>
      <c r="J346" s="2">
        <v>1633977</v>
      </c>
      <c r="K346" s="2">
        <f t="shared" si="3"/>
        <v>4.6432722125219636E-2</v>
      </c>
      <c r="M346" s="2">
        <v>0.74380111712150199</v>
      </c>
      <c r="N346" s="2">
        <v>0.615912457186092</v>
      </c>
      <c r="O346" s="2">
        <v>23.698129137537599</v>
      </c>
      <c r="P346" s="2">
        <v>38.476456939687203</v>
      </c>
      <c r="Q346" s="2">
        <v>37.8549864614954</v>
      </c>
      <c r="R346" s="2">
        <v>28.618831654616699</v>
      </c>
      <c r="S346" s="2">
        <v>0.51487173125469299</v>
      </c>
      <c r="T346" s="2">
        <v>6020.0096207844599</v>
      </c>
      <c r="U346" s="2">
        <v>309</v>
      </c>
      <c r="V346" s="2">
        <v>494</v>
      </c>
      <c r="W346" s="2">
        <v>218.332516422748</v>
      </c>
      <c r="X346" s="2">
        <v>3895.3672673091901</v>
      </c>
      <c r="Y346" s="2">
        <v>3.0775519721817299</v>
      </c>
      <c r="Z346" s="2">
        <v>31.750302255531899</v>
      </c>
      <c r="AA346" s="2">
        <v>5.7038635411372498</v>
      </c>
      <c r="AB346" s="2">
        <v>0.69533720097414098</v>
      </c>
      <c r="AC346" s="2">
        <v>1.77554952814061</v>
      </c>
      <c r="AD346" s="2">
        <v>2.4507316978670799</v>
      </c>
      <c r="AE346" s="2">
        <v>0.490462058417937</v>
      </c>
      <c r="AF346" s="2">
        <v>0.426700109267239</v>
      </c>
      <c r="AG346" s="2">
        <v>0.99339970978103698</v>
      </c>
      <c r="AH346" s="2">
        <v>0.944694751596869</v>
      </c>
      <c r="AI346" s="2">
        <v>-0.146932450181049</v>
      </c>
      <c r="AJ346" s="2">
        <v>0.79255545519941895</v>
      </c>
      <c r="AK346" s="2">
        <v>1.50906380245801E-2</v>
      </c>
      <c r="AL346" s="2">
        <v>6.7407110735959703</v>
      </c>
      <c r="AM346" s="2">
        <v>6.9936607647375899</v>
      </c>
      <c r="AN346" s="2">
        <v>1694.17457783236</v>
      </c>
      <c r="AO346" s="2">
        <v>0.104032826394373</v>
      </c>
      <c r="AP346" s="2">
        <v>1613.1457783236101</v>
      </c>
      <c r="AQ346" s="2">
        <v>9.2927966150985899</v>
      </c>
      <c r="AR346" s="2">
        <v>219.48848633712001</v>
      </c>
      <c r="AS346" s="2">
        <v>39.5288302118514</v>
      </c>
      <c r="AT346" s="2">
        <v>8346.4035615597204</v>
      </c>
      <c r="AU346" s="2">
        <v>0.212425854726916</v>
      </c>
      <c r="AV346" s="2">
        <v>5.7899242567908699E-3</v>
      </c>
      <c r="AW346" s="2">
        <v>2.5607607197364102</v>
      </c>
      <c r="AX346" s="2">
        <v>7.1790050857967495E-4</v>
      </c>
      <c r="AY346" s="2">
        <v>363.20544463473698</v>
      </c>
      <c r="AZ346" s="2">
        <v>2.5620195376771099E-2</v>
      </c>
      <c r="BA346" s="2">
        <v>0.24926787241977499</v>
      </c>
      <c r="BB346" s="2">
        <v>134</v>
      </c>
    </row>
    <row r="347" spans="1:54" ht="13" x14ac:dyDescent="0.15">
      <c r="A347" s="1" t="s">
        <v>1050</v>
      </c>
      <c r="B347" s="1" t="s">
        <v>1051</v>
      </c>
      <c r="C347" s="4" t="s">
        <v>1052</v>
      </c>
      <c r="D347" s="1" t="s">
        <v>14</v>
      </c>
      <c r="E347" s="2">
        <v>40282</v>
      </c>
      <c r="F347" s="2">
        <v>84536</v>
      </c>
      <c r="G347" s="2">
        <v>28868</v>
      </c>
      <c r="H347" s="2">
        <f t="shared" si="2"/>
        <v>153686</v>
      </c>
      <c r="I347" s="2">
        <v>190868</v>
      </c>
      <c r="J347" s="2">
        <v>1972933</v>
      </c>
      <c r="K347" s="2">
        <f t="shared" si="3"/>
        <v>7.7897222054676973E-2</v>
      </c>
      <c r="M347" s="2">
        <v>0.79675534998781805</v>
      </c>
      <c r="N347" s="2">
        <v>0.55704978674440897</v>
      </c>
      <c r="O347" s="2">
        <v>28.2732641735969</v>
      </c>
      <c r="P347" s="2">
        <v>50.755363068776198</v>
      </c>
      <c r="Q347" s="2">
        <v>53.150729063673197</v>
      </c>
      <c r="R347" s="2">
        <v>40.439607065621601</v>
      </c>
      <c r="S347" s="2">
        <v>0.72403045894875395</v>
      </c>
      <c r="T347" s="2">
        <v>7836.97202960101</v>
      </c>
      <c r="U347" s="2">
        <v>1134</v>
      </c>
      <c r="V347" s="2">
        <v>1422</v>
      </c>
      <c r="W347" s="2">
        <v>868.58260568445405</v>
      </c>
      <c r="X347" s="2">
        <v>27485.666295358202</v>
      </c>
      <c r="Y347" s="2">
        <v>232.90553070051399</v>
      </c>
      <c r="Z347" s="2">
        <v>81.044863649967596</v>
      </c>
      <c r="AA347" s="2">
        <v>8.5208126319525608</v>
      </c>
      <c r="AB347" s="2">
        <v>0.80842634724989304</v>
      </c>
      <c r="AC347" s="2">
        <v>1.5354033954021999</v>
      </c>
      <c r="AD347" s="2">
        <v>2.3099808426479802</v>
      </c>
      <c r="AE347" s="2">
        <v>0.61005474501812296</v>
      </c>
      <c r="AF347" s="2">
        <v>0.57679182239012206</v>
      </c>
      <c r="AG347" s="2">
        <v>0.99709323533725902</v>
      </c>
      <c r="AH347" s="2">
        <v>0.97360717007197595</v>
      </c>
      <c r="AI347" s="2">
        <v>-0.34831149858632898</v>
      </c>
      <c r="AJ347" s="2">
        <v>0.97031734154211102</v>
      </c>
      <c r="AK347" s="2">
        <v>1.7077319817953299E-2</v>
      </c>
      <c r="AL347" s="2">
        <v>6.9358580229379898</v>
      </c>
      <c r="AM347" s="2">
        <v>8.2472622081983094</v>
      </c>
      <c r="AN347" s="2">
        <v>2056.9064098108302</v>
      </c>
      <c r="AO347" s="2">
        <v>5.1062668432819501E-2</v>
      </c>
      <c r="AP347" s="2">
        <v>2538.4186981778498</v>
      </c>
      <c r="AQ347" s="2">
        <v>25.123323528756799</v>
      </c>
      <c r="AR347" s="2">
        <v>868.47768233950706</v>
      </c>
      <c r="AS347" s="2">
        <v>129.79241348493099</v>
      </c>
      <c r="AT347" s="2">
        <v>98765.766943051494</v>
      </c>
      <c r="AU347" s="2">
        <v>0.18169709121326799</v>
      </c>
      <c r="AV347" s="2">
        <v>1.3861502631590699E-3</v>
      </c>
      <c r="AW347" s="2">
        <v>0.923805436227774</v>
      </c>
      <c r="AX347" s="2">
        <v>4.9197407311982102E-4</v>
      </c>
      <c r="AY347" s="2">
        <v>1406.41163271909</v>
      </c>
      <c r="AZ347" s="2">
        <v>2.0590770052938901E-2</v>
      </c>
      <c r="BA347" s="2">
        <v>0.61345104729615696</v>
      </c>
      <c r="BB347" s="2">
        <v>334</v>
      </c>
    </row>
    <row r="348" spans="1:54" ht="13" x14ac:dyDescent="0.15">
      <c r="A348" s="1" t="s">
        <v>1053</v>
      </c>
      <c r="B348" s="1" t="s">
        <v>1054</v>
      </c>
      <c r="C348" s="4" t="s">
        <v>1055</v>
      </c>
      <c r="D348" s="1" t="s">
        <v>14</v>
      </c>
      <c r="E348" s="2">
        <v>763</v>
      </c>
      <c r="F348" s="2">
        <v>11280</v>
      </c>
      <c r="G348" s="2">
        <v>8147</v>
      </c>
      <c r="H348" s="2">
        <f t="shared" si="2"/>
        <v>20190</v>
      </c>
      <c r="I348" s="2">
        <v>23588</v>
      </c>
      <c r="J348" s="2">
        <v>1734355</v>
      </c>
      <c r="K348" s="2">
        <f t="shared" si="3"/>
        <v>1.1641215322122634E-2</v>
      </c>
      <c r="M348" s="2">
        <v>0.89679651673867899</v>
      </c>
      <c r="N348" s="2">
        <v>0.49961605358607297</v>
      </c>
      <c r="O348" s="2">
        <v>8.6964512314087496</v>
      </c>
      <c r="P348" s="2">
        <v>17.406268611643998</v>
      </c>
      <c r="Q348" s="2">
        <v>19.9248588451713</v>
      </c>
      <c r="R348" s="2">
        <v>15.609881060340101</v>
      </c>
      <c r="S348" s="2">
        <v>0.49358176420078398</v>
      </c>
      <c r="T348" s="2">
        <v>793.25239003147999</v>
      </c>
      <c r="U348" s="2">
        <v>811.2</v>
      </c>
      <c r="V348" s="2">
        <v>1386.2</v>
      </c>
      <c r="W348" s="2">
        <v>744.07499531738097</v>
      </c>
      <c r="X348" s="2">
        <v>247525.36780602601</v>
      </c>
      <c r="Y348" s="2">
        <v>3675.83689867562</v>
      </c>
      <c r="Z348" s="2">
        <v>277.67278209230102</v>
      </c>
      <c r="AA348" s="2">
        <v>39.510171928178899</v>
      </c>
      <c r="AB348" s="2">
        <v>0.75022064898685403</v>
      </c>
      <c r="AC348" s="2">
        <v>4.4589226800433499</v>
      </c>
      <c r="AD348" s="2">
        <v>3.6215414802918202</v>
      </c>
      <c r="AE348" s="2">
        <v>0.320505978212066</v>
      </c>
      <c r="AF348" s="2">
        <v>0.231781186649517</v>
      </c>
      <c r="AG348" s="2">
        <v>0.98741289155831702</v>
      </c>
      <c r="AH348" s="2">
        <v>0.92840040506542498</v>
      </c>
      <c r="AI348" s="2">
        <v>-0.299921734995103</v>
      </c>
      <c r="AJ348" s="2">
        <v>0.97365863719024204</v>
      </c>
      <c r="AK348" s="2">
        <v>4.0242696943882496E-3</v>
      </c>
      <c r="AL348" s="2">
        <v>8.4330093144523595</v>
      </c>
      <c r="AM348" s="2">
        <v>6.9588196608569701</v>
      </c>
      <c r="AN348" s="2">
        <v>164.86369593709</v>
      </c>
      <c r="AO348" s="2">
        <v>0.21607299598570201</v>
      </c>
      <c r="AP348" s="2">
        <v>32.3446920052425</v>
      </c>
      <c r="AQ348" s="2">
        <v>80.559284331525703</v>
      </c>
      <c r="AR348" s="2">
        <v>731.04325032765405</v>
      </c>
      <c r="AS348" s="2">
        <v>9.2359108781127102</v>
      </c>
      <c r="AT348" s="2">
        <v>6269.3211009174302</v>
      </c>
      <c r="AU348" s="2">
        <v>2.1430422402263099E-2</v>
      </c>
      <c r="AV348" s="2">
        <v>5.0662742458478897E-3</v>
      </c>
      <c r="AW348" s="2">
        <v>5.8830103724890302E-2</v>
      </c>
      <c r="AX348" s="2">
        <v>1.4055964053567099E-2</v>
      </c>
      <c r="AY348" s="2">
        <v>2658.4125534139098</v>
      </c>
      <c r="AZ348" s="2">
        <v>0.194765524463624</v>
      </c>
      <c r="BA348" s="2">
        <v>13.4295051296699</v>
      </c>
      <c r="BB348" s="2">
        <v>205</v>
      </c>
    </row>
    <row r="349" spans="1:54" ht="13" x14ac:dyDescent="0.15">
      <c r="A349" s="1" t="s">
        <v>1056</v>
      </c>
      <c r="B349" s="1" t="s">
        <v>1057</v>
      </c>
      <c r="C349" s="4" t="s">
        <v>1058</v>
      </c>
      <c r="D349" s="1" t="s">
        <v>14</v>
      </c>
      <c r="E349" s="2">
        <v>217</v>
      </c>
      <c r="F349" s="2">
        <v>47135</v>
      </c>
      <c r="G349" s="2">
        <v>7801</v>
      </c>
      <c r="H349" s="2">
        <f t="shared" si="2"/>
        <v>55153</v>
      </c>
      <c r="I349" s="2">
        <v>88387</v>
      </c>
      <c r="J349" s="2">
        <v>1460749</v>
      </c>
      <c r="K349" s="2">
        <f t="shared" si="3"/>
        <v>3.7756657714638174E-2</v>
      </c>
      <c r="M349" s="2">
        <v>0.41790128610618299</v>
      </c>
      <c r="N349" s="2">
        <v>0.34898687860108901</v>
      </c>
      <c r="O349" s="2">
        <v>8.6397040071957996</v>
      </c>
      <c r="P349" s="2">
        <v>24.756529648988401</v>
      </c>
      <c r="Q349" s="2">
        <v>22.847319317591701</v>
      </c>
      <c r="R349" s="2">
        <v>10.3457855798381</v>
      </c>
      <c r="S349" s="2">
        <v>0.43745972080231599</v>
      </c>
      <c r="T349" s="2">
        <v>362.89383900087199</v>
      </c>
      <c r="U349" s="2">
        <v>596.4</v>
      </c>
      <c r="V349" s="2">
        <v>839.8</v>
      </c>
      <c r="W349" s="2">
        <v>378.37928032250801</v>
      </c>
      <c r="X349" s="2">
        <v>21707.921232152799</v>
      </c>
      <c r="Y349" s="2">
        <v>67.225916601200893</v>
      </c>
      <c r="Z349" s="2">
        <v>54.857984242901701</v>
      </c>
      <c r="AA349" s="2">
        <v>12.4382762469057</v>
      </c>
      <c r="AB349" s="2">
        <v>0.595356380595219</v>
      </c>
      <c r="AC349" s="2">
        <v>2.4909402938153402</v>
      </c>
      <c r="AD349" s="2">
        <v>2.7792457413245302</v>
      </c>
      <c r="AE349" s="2">
        <v>0.42548995274781198</v>
      </c>
      <c r="AF349" s="2">
        <v>0.34910906707753903</v>
      </c>
      <c r="AG349" s="2">
        <v>0.99220478266534795</v>
      </c>
      <c r="AH349" s="2">
        <v>0.94301491268489002</v>
      </c>
      <c r="AI349" s="2">
        <v>-0.33577347272653102</v>
      </c>
      <c r="AJ349" s="2">
        <v>0.95231101773969795</v>
      </c>
      <c r="AK349" s="2">
        <v>1.8777881265039899E-2</v>
      </c>
      <c r="AL349" s="2">
        <v>6.1145653294178297</v>
      </c>
      <c r="AM349" s="2">
        <v>5.9660380605865404</v>
      </c>
      <c r="AN349" s="2">
        <v>44.216589861751203</v>
      </c>
      <c r="AO349" s="2">
        <v>0.20376308692051201</v>
      </c>
      <c r="AP349" s="2">
        <v>18.400921658986199</v>
      </c>
      <c r="AQ349" s="2">
        <v>23.963388477138999</v>
      </c>
      <c r="AR349" s="2">
        <v>394.30414746543801</v>
      </c>
      <c r="AS349" s="2">
        <v>11.2396313364055</v>
      </c>
      <c r="AT349" s="2">
        <v>4120.7188940092201</v>
      </c>
      <c r="AU349" s="2">
        <v>3.7533801812897498E-2</v>
      </c>
      <c r="AV349" s="2">
        <v>7.9541386173872103E-3</v>
      </c>
      <c r="AW349" s="2">
        <v>3.12950411408646E-2</v>
      </c>
      <c r="AX349" s="2">
        <v>4.3885002296321501E-2</v>
      </c>
      <c r="AY349" s="2">
        <v>748.90548033099606</v>
      </c>
      <c r="AZ349" s="2">
        <v>9.2143943432451705E-2</v>
      </c>
      <c r="BA349" s="2">
        <v>19.9650794467778</v>
      </c>
      <c r="BB349" s="2">
        <v>680</v>
      </c>
    </row>
    <row r="350" spans="1:54" ht="13" x14ac:dyDescent="0.15">
      <c r="A350" s="1" t="s">
        <v>1059</v>
      </c>
      <c r="B350" s="1" t="s">
        <v>1060</v>
      </c>
      <c r="C350" s="4" t="s">
        <v>1061</v>
      </c>
      <c r="D350" s="1" t="s">
        <v>14</v>
      </c>
      <c r="E350" s="2">
        <v>1107</v>
      </c>
      <c r="F350" s="2">
        <v>41148</v>
      </c>
      <c r="G350" s="2">
        <v>19303</v>
      </c>
      <c r="H350" s="2">
        <f t="shared" si="2"/>
        <v>61558</v>
      </c>
      <c r="I350" s="2">
        <v>101856</v>
      </c>
      <c r="J350" s="2">
        <v>1542381</v>
      </c>
      <c r="K350" s="2">
        <f t="shared" si="3"/>
        <v>3.9911020688143853E-2</v>
      </c>
      <c r="M350" s="2">
        <v>0.32400933081085198</v>
      </c>
      <c r="N350" s="2">
        <v>0.16345594505812699</v>
      </c>
      <c r="O350" s="2">
        <v>8.5640739874687792</v>
      </c>
      <c r="P350" s="2">
        <v>52.393774875690397</v>
      </c>
      <c r="Q350" s="2">
        <v>41.880783182743897</v>
      </c>
      <c r="R350" s="2">
        <v>16.9760719361269</v>
      </c>
      <c r="S350" s="2">
        <v>0.378795482726281</v>
      </c>
      <c r="T350" s="2">
        <v>1302.78165852179</v>
      </c>
      <c r="U350" s="2">
        <v>722</v>
      </c>
      <c r="V350" s="2">
        <v>933</v>
      </c>
      <c r="W350" s="2">
        <v>77.978212064153894</v>
      </c>
      <c r="X350" s="2">
        <v>6466.6623110247301</v>
      </c>
      <c r="Y350" s="2">
        <v>137.496565323434</v>
      </c>
      <c r="Z350" s="2">
        <v>36.4644840825434</v>
      </c>
      <c r="AA350" s="2">
        <v>8.5812707540534294</v>
      </c>
      <c r="AB350" s="2">
        <v>0.61701497737362199</v>
      </c>
      <c r="AC350" s="2">
        <v>2.23139789070897</v>
      </c>
      <c r="AD350" s="2">
        <v>2.7081897884474602</v>
      </c>
      <c r="AE350" s="2">
        <v>0.43632025939719199</v>
      </c>
      <c r="AF350" s="2">
        <v>0.35913217443551099</v>
      </c>
      <c r="AG350" s="2">
        <v>0.99498906336032999</v>
      </c>
      <c r="AH350" s="2">
        <v>0.950127362752758</v>
      </c>
      <c r="AI350" s="2">
        <v>-0.139440426542524</v>
      </c>
      <c r="AJ350" s="2">
        <v>0.79313729568518798</v>
      </c>
      <c r="AK350" s="2">
        <v>1.09112495539875E-2</v>
      </c>
      <c r="AL350" s="2">
        <v>6.90605740066776</v>
      </c>
      <c r="AM350" s="2">
        <v>6.41371522742722</v>
      </c>
      <c r="AN350" s="2">
        <v>173.041553748871</v>
      </c>
      <c r="AO350" s="2">
        <v>0.15631576671081401</v>
      </c>
      <c r="AP350" s="2">
        <v>95.912375790424605</v>
      </c>
      <c r="AQ350" s="2">
        <v>12.905031543540399</v>
      </c>
      <c r="AR350" s="2">
        <v>84.030713640469699</v>
      </c>
      <c r="AS350" s="2">
        <v>16.971093044263799</v>
      </c>
      <c r="AT350" s="2">
        <v>1094.6720867208701</v>
      </c>
      <c r="AU350" s="2">
        <v>0.48575362334491901</v>
      </c>
      <c r="AV350" s="2">
        <v>2.81825306603476E-2</v>
      </c>
      <c r="AW350" s="2">
        <v>0.63277007740380198</v>
      </c>
      <c r="AX350" s="2">
        <v>7.7140351928351204E-3</v>
      </c>
      <c r="AY350" s="2">
        <v>490.10520281375301</v>
      </c>
      <c r="AZ350" s="2">
        <v>7.69933701599433E-2</v>
      </c>
      <c r="BA350" s="2">
        <v>4.1737637896474498</v>
      </c>
      <c r="BB350" s="2">
        <v>37</v>
      </c>
    </row>
    <row r="351" spans="1:54" ht="13" x14ac:dyDescent="0.15">
      <c r="A351" s="1" t="s">
        <v>1062</v>
      </c>
      <c r="B351" s="1" t="s">
        <v>1063</v>
      </c>
      <c r="C351" s="4" t="s">
        <v>1064</v>
      </c>
      <c r="D351" s="1" t="s">
        <v>14</v>
      </c>
      <c r="E351" s="2">
        <v>46498</v>
      </c>
      <c r="F351" s="2">
        <v>55456</v>
      </c>
      <c r="G351" s="2">
        <v>25556</v>
      </c>
      <c r="H351" s="2">
        <f t="shared" si="2"/>
        <v>127510</v>
      </c>
      <c r="I351" s="2">
        <v>154706</v>
      </c>
      <c r="J351" s="2">
        <v>1626024</v>
      </c>
      <c r="K351" s="2">
        <f t="shared" si="3"/>
        <v>7.841827672900277E-2</v>
      </c>
      <c r="M351" s="2">
        <v>0.90097497447553598</v>
      </c>
      <c r="N351" s="2">
        <v>0.65954507106355398</v>
      </c>
      <c r="O351" s="2">
        <v>31.737304558082801</v>
      </c>
      <c r="P351" s="2">
        <v>48.119993538735102</v>
      </c>
      <c r="Q351" s="2">
        <v>54.744862772684002</v>
      </c>
      <c r="R351" s="2">
        <v>43.354909950324803</v>
      </c>
      <c r="S351" s="2">
        <v>0.77885484074669298</v>
      </c>
      <c r="T351" s="2">
        <v>8023.5627854355698</v>
      </c>
      <c r="U351" s="2">
        <v>749</v>
      </c>
      <c r="V351" s="2">
        <v>918</v>
      </c>
      <c r="W351" s="2">
        <v>222.59273726621399</v>
      </c>
      <c r="X351" s="2">
        <v>1899.3723487004099</v>
      </c>
      <c r="Y351" s="2">
        <v>-11.3620921351554</v>
      </c>
      <c r="Z351" s="2">
        <v>24.996234387579801</v>
      </c>
      <c r="AA351" s="2">
        <v>2.0093924821232401</v>
      </c>
      <c r="AB351" s="2">
        <v>0.85105350114466705</v>
      </c>
      <c r="AC351" s="2">
        <v>0.75588195512943401</v>
      </c>
      <c r="AD351" s="2">
        <v>1.6220745665654199</v>
      </c>
      <c r="AE351" s="2">
        <v>0.72484035497440402</v>
      </c>
      <c r="AF351" s="2">
        <v>0.71033443131597296</v>
      </c>
      <c r="AG351" s="2">
        <v>0.99609906448893004</v>
      </c>
      <c r="AH351" s="2">
        <v>0.96908787696260901</v>
      </c>
      <c r="AI351" s="2">
        <v>-0.40082910312048298</v>
      </c>
      <c r="AJ351" s="2">
        <v>0.96519208744909402</v>
      </c>
      <c r="AK351" s="2">
        <v>4.0027074074574197E-2</v>
      </c>
      <c r="AL351" s="2">
        <v>5.4084400790446603</v>
      </c>
      <c r="AM351" s="2">
        <v>7.91467038225107</v>
      </c>
      <c r="AN351" s="2">
        <v>2009.2728719514801</v>
      </c>
      <c r="AO351" s="2">
        <v>4.3212027871123097E-2</v>
      </c>
      <c r="AP351" s="2">
        <v>5115.7553443158904</v>
      </c>
      <c r="AQ351" s="2">
        <v>7.1771292280392602</v>
      </c>
      <c r="AR351" s="2">
        <v>220.57658393909401</v>
      </c>
      <c r="AS351" s="2">
        <v>219.42565271624599</v>
      </c>
      <c r="AT351" s="2">
        <v>50132.588326379599</v>
      </c>
      <c r="AU351" s="2">
        <v>1.06274323038966</v>
      </c>
      <c r="AV351" s="2">
        <v>5.4643880817127899E-3</v>
      </c>
      <c r="AW351" s="2">
        <v>6.3400928370692897</v>
      </c>
      <c r="AX351" s="2">
        <v>3.8845944306182103E-4</v>
      </c>
      <c r="AY351" s="2">
        <v>134.28466937878301</v>
      </c>
      <c r="AZ351" s="2">
        <v>1.9019073453068198E-2</v>
      </c>
      <c r="BA351" s="2">
        <v>8.8249622131464103E-2</v>
      </c>
      <c r="BB351" s="2">
        <v>306</v>
      </c>
    </row>
    <row r="352" spans="1:54" ht="13" x14ac:dyDescent="0.15">
      <c r="A352" s="1" t="s">
        <v>1065</v>
      </c>
      <c r="B352" s="1" t="s">
        <v>1066</v>
      </c>
      <c r="C352" s="4" t="s">
        <v>1067</v>
      </c>
      <c r="D352" s="1" t="s">
        <v>14</v>
      </c>
      <c r="E352" s="2">
        <v>1729</v>
      </c>
      <c r="F352" s="2">
        <v>20460</v>
      </c>
      <c r="G352" s="2">
        <v>9735</v>
      </c>
      <c r="H352" s="2">
        <f t="shared" si="2"/>
        <v>31924</v>
      </c>
      <c r="I352" s="2">
        <v>65265</v>
      </c>
      <c r="J352" s="2">
        <v>1514808</v>
      </c>
      <c r="K352" s="2">
        <f t="shared" si="3"/>
        <v>2.1074618037401439E-2</v>
      </c>
      <c r="M352" s="2">
        <v>0.67390108616042899</v>
      </c>
      <c r="N352" s="2">
        <v>0.48830594803454502</v>
      </c>
      <c r="O352" s="2">
        <v>11.1289595778438</v>
      </c>
      <c r="P352" s="2">
        <v>22.7909564129587</v>
      </c>
      <c r="Q352" s="2">
        <v>24.413111231467401</v>
      </c>
      <c r="R352" s="2">
        <v>15.358850281327801</v>
      </c>
      <c r="S352" s="2">
        <v>0.47742176801417302</v>
      </c>
      <c r="T352" s="2">
        <v>1442.33273729244</v>
      </c>
      <c r="U352" s="2">
        <v>454.8</v>
      </c>
      <c r="V352" s="2">
        <v>663</v>
      </c>
      <c r="W352" s="2">
        <v>191.24340966722701</v>
      </c>
      <c r="X352" s="2">
        <v>5499.0533100496104</v>
      </c>
      <c r="Y352" s="2">
        <v>36.409774680732298</v>
      </c>
      <c r="Z352" s="2">
        <v>42.199769047148401</v>
      </c>
      <c r="AA352" s="2">
        <v>10.641236746767101</v>
      </c>
      <c r="AB352" s="2">
        <v>0.59815074819405201</v>
      </c>
      <c r="AC352" s="2">
        <v>2.4503918792871802</v>
      </c>
      <c r="AD352" s="2">
        <v>2.8531392091618901</v>
      </c>
      <c r="AE352" s="2">
        <v>0.426234711515317</v>
      </c>
      <c r="AF352" s="2">
        <v>0.34899418691580297</v>
      </c>
      <c r="AG352" s="2">
        <v>0.98395596798051299</v>
      </c>
      <c r="AH352" s="2">
        <v>0.91592585073218602</v>
      </c>
      <c r="AI352" s="2">
        <v>-0.12852234170855401</v>
      </c>
      <c r="AJ352" s="2">
        <v>0.77901105112991798</v>
      </c>
      <c r="AK352" s="2">
        <v>1.0655061455536199E-2</v>
      </c>
      <c r="AL352" s="2">
        <v>7.1958330407052999</v>
      </c>
      <c r="AM352" s="2">
        <v>6.56467316543631</v>
      </c>
      <c r="AN352" s="2">
        <v>248.25968768074</v>
      </c>
      <c r="AO352" s="2">
        <v>0.14358570716063601</v>
      </c>
      <c r="AP352" s="2">
        <v>160.305957200694</v>
      </c>
      <c r="AQ352" s="2">
        <v>11.796650276757401</v>
      </c>
      <c r="AR352" s="2">
        <v>188.66049739734001</v>
      </c>
      <c r="AS352" s="2">
        <v>21.5795257374205</v>
      </c>
      <c r="AT352" s="2">
        <v>3668.0069404279898</v>
      </c>
      <c r="AU352" s="2">
        <v>0.155873593903811</v>
      </c>
      <c r="AV352" s="2">
        <v>8.0230589209585607E-3</v>
      </c>
      <c r="AW352" s="2">
        <v>0.512950011458017</v>
      </c>
      <c r="AX352" s="2">
        <v>5.0557044469503503E-3</v>
      </c>
      <c r="AY352" s="2">
        <v>384.74519008361699</v>
      </c>
      <c r="AZ352" s="2">
        <v>5.7301981530524397E-2</v>
      </c>
      <c r="BA352" s="2">
        <v>1.2677947074481599</v>
      </c>
      <c r="BB352" s="2">
        <v>422</v>
      </c>
    </row>
    <row r="353" spans="1:54" ht="13" x14ac:dyDescent="0.15">
      <c r="A353" s="1" t="s">
        <v>1068</v>
      </c>
      <c r="B353" s="1" t="s">
        <v>1069</v>
      </c>
      <c r="C353" s="4" t="s">
        <v>1070</v>
      </c>
      <c r="D353" s="1" t="s">
        <v>14</v>
      </c>
      <c r="E353" s="2">
        <v>128</v>
      </c>
      <c r="F353" s="2">
        <v>133725</v>
      </c>
      <c r="G353" s="2">
        <v>8510</v>
      </c>
      <c r="H353" s="2">
        <f t="shared" si="2"/>
        <v>142363</v>
      </c>
      <c r="I353" s="2">
        <v>656916</v>
      </c>
      <c r="J353" s="2">
        <v>1640069</v>
      </c>
      <c r="K353" s="2">
        <f t="shared" si="3"/>
        <v>8.6803055237310134E-2</v>
      </c>
      <c r="M353" s="2">
        <v>0.59052161824732996</v>
      </c>
      <c r="N353" s="2">
        <v>0.28161578081620298</v>
      </c>
      <c r="O353" s="2">
        <v>6.5646318296888504</v>
      </c>
      <c r="P353" s="2">
        <v>23.3105964824225</v>
      </c>
      <c r="Q353" s="2">
        <v>13</v>
      </c>
      <c r="R353" s="2">
        <v>13.7654111571106</v>
      </c>
      <c r="S353" s="2">
        <v>0.59879583806564596</v>
      </c>
      <c r="T353" s="2">
        <v>189.87826392257199</v>
      </c>
      <c r="U353" s="2">
        <v>929.8</v>
      </c>
      <c r="V353" s="2">
        <v>1565.3</v>
      </c>
      <c r="W353" s="2">
        <v>735.15267945717403</v>
      </c>
      <c r="X353" s="2">
        <v>134056.948137378</v>
      </c>
      <c r="Y353" s="2">
        <v>-2371.7128777801499</v>
      </c>
      <c r="Z353" s="2">
        <v>243.52417536457199</v>
      </c>
      <c r="AA353" s="2">
        <v>69.689633781101406</v>
      </c>
      <c r="AB353" s="2">
        <v>0.545500614325235</v>
      </c>
      <c r="AC353" s="2">
        <v>6.5561218837062398</v>
      </c>
      <c r="AD353" s="2">
        <v>3.81963504840733</v>
      </c>
      <c r="AE353" s="2">
        <v>0.24153477111279301</v>
      </c>
      <c r="AF353" s="2">
        <v>0.15352089254467699</v>
      </c>
      <c r="AG353" s="2">
        <v>0.96456739759518195</v>
      </c>
      <c r="AH353" s="2">
        <v>0.87407237316723596</v>
      </c>
      <c r="AI353" s="2">
        <v>-0.576530722321832</v>
      </c>
      <c r="AJ353" s="2">
        <v>0.99755824458509301</v>
      </c>
      <c r="AK353" s="2">
        <v>1.07081368115536E-2</v>
      </c>
      <c r="AL353" s="2">
        <v>6.6844079816582598</v>
      </c>
      <c r="AM353" s="2">
        <v>5.6131012228697301</v>
      </c>
      <c r="AN353" s="2">
        <v>48.859375</v>
      </c>
      <c r="AO353" s="2">
        <v>0.3817138671875</v>
      </c>
      <c r="AP353" s="2">
        <v>5.109375</v>
      </c>
      <c r="AQ353" s="2">
        <v>88.482177734375</v>
      </c>
      <c r="AR353" s="2">
        <v>691.03125</v>
      </c>
      <c r="AS353" s="2">
        <v>4.15625</v>
      </c>
      <c r="AT353" s="2">
        <v>3759.78125</v>
      </c>
      <c r="AU353" s="2">
        <v>1.8303278278318801E-2</v>
      </c>
      <c r="AV353" s="2">
        <v>1.28153918829821E-2</v>
      </c>
      <c r="AW353" s="2">
        <v>2.6309415701822901E-2</v>
      </c>
      <c r="AX353" s="2">
        <v>4.7330321060043201E-2</v>
      </c>
      <c r="AY353" s="2">
        <v>2116.1234443057901</v>
      </c>
      <c r="AZ353" s="2">
        <v>0.64627750482323898</v>
      </c>
      <c r="BA353" s="2">
        <v>26.340800431321799</v>
      </c>
      <c r="BB353" s="2">
        <v>28</v>
      </c>
    </row>
    <row r="354" spans="1:54" ht="13" x14ac:dyDescent="0.15">
      <c r="A354" s="1" t="s">
        <v>1071</v>
      </c>
      <c r="B354" s="1" t="s">
        <v>1072</v>
      </c>
      <c r="C354" s="4" t="s">
        <v>1073</v>
      </c>
      <c r="D354" s="1" t="s">
        <v>14</v>
      </c>
      <c r="E354" s="2">
        <v>1519</v>
      </c>
      <c r="F354" s="2">
        <v>36799</v>
      </c>
      <c r="G354" s="2">
        <v>6651</v>
      </c>
      <c r="H354" s="2">
        <f t="shared" si="2"/>
        <v>44969</v>
      </c>
      <c r="I354" s="2">
        <v>46655</v>
      </c>
      <c r="J354" s="2">
        <v>1436353</v>
      </c>
      <c r="K354" s="2">
        <f t="shared" si="3"/>
        <v>3.1307763481539706E-2</v>
      </c>
      <c r="M354" s="2">
        <v>0.77098613269353899</v>
      </c>
      <c r="N354" s="2">
        <v>0.43838580025646301</v>
      </c>
      <c r="O354" s="2">
        <v>9.4438020105541103</v>
      </c>
      <c r="P354" s="2">
        <v>21.542216935469401</v>
      </c>
      <c r="Q354" s="2">
        <v>23.409399821439301</v>
      </c>
      <c r="R354" s="2">
        <v>16.608750524722801</v>
      </c>
      <c r="S354" s="2">
        <v>0.48645448582714002</v>
      </c>
      <c r="T354" s="2">
        <v>1289.34876832037</v>
      </c>
      <c r="U354" s="2">
        <v>867</v>
      </c>
      <c r="V354" s="2">
        <v>1185</v>
      </c>
      <c r="W354" s="2">
        <v>677.53763849653706</v>
      </c>
      <c r="X354" s="2">
        <v>43838.552356979402</v>
      </c>
      <c r="Y354" s="2">
        <v>-604.05307479401597</v>
      </c>
      <c r="Z354" s="2">
        <v>103.646789574284</v>
      </c>
      <c r="AA354" s="2">
        <v>20.718185942061499</v>
      </c>
      <c r="AB354" s="2">
        <v>0.668193749728072</v>
      </c>
      <c r="AC354" s="2">
        <v>3.3925029466321899</v>
      </c>
      <c r="AD354" s="2">
        <v>3.2606446003640701</v>
      </c>
      <c r="AE354" s="2">
        <v>0.35624644288429003</v>
      </c>
      <c r="AF354" s="2">
        <v>0.26790546880390798</v>
      </c>
      <c r="AG354" s="2">
        <v>0.98774484387726103</v>
      </c>
      <c r="AH354" s="2">
        <v>0.92592545256054304</v>
      </c>
      <c r="AI354" s="2">
        <v>-0.16662548480258099</v>
      </c>
      <c r="AJ354" s="2">
        <v>0.87382636747661402</v>
      </c>
      <c r="AK354" s="2">
        <v>4.891853692514E-3</v>
      </c>
      <c r="AL354" s="2">
        <v>8.1615226637494303</v>
      </c>
      <c r="AM354" s="2">
        <v>6.7785828373213199</v>
      </c>
      <c r="AN354" s="2">
        <v>296.72745227123102</v>
      </c>
      <c r="AO354" s="2">
        <v>0.19534394487901999</v>
      </c>
      <c r="AP354" s="2">
        <v>87.745227123107298</v>
      </c>
      <c r="AQ354" s="2">
        <v>27.846970630083501</v>
      </c>
      <c r="AR354" s="2">
        <v>671.416063199473</v>
      </c>
      <c r="AS354" s="2">
        <v>11.973008558262</v>
      </c>
      <c r="AT354" s="2">
        <v>8578.6576695194199</v>
      </c>
      <c r="AU354" s="2">
        <v>2.2253572736810699E-2</v>
      </c>
      <c r="AV354" s="2">
        <v>2.9287832885412498E-3</v>
      </c>
      <c r="AW354" s="2">
        <v>0.13494866854688101</v>
      </c>
      <c r="AX354" s="2">
        <v>6.7123364599515102E-3</v>
      </c>
      <c r="AY354" s="2">
        <v>1199.9024206977699</v>
      </c>
      <c r="AZ354" s="2">
        <v>8.3357012088090807E-2</v>
      </c>
      <c r="BA354" s="2">
        <v>3.9746037013524802</v>
      </c>
      <c r="BB354" s="2">
        <v>624</v>
      </c>
    </row>
    <row r="355" spans="1:54" ht="13" x14ac:dyDescent="0.15">
      <c r="A355" s="1" t="s">
        <v>1074</v>
      </c>
      <c r="B355" s="1" t="s">
        <v>1075</v>
      </c>
      <c r="C355" s="4" t="s">
        <v>1076</v>
      </c>
      <c r="D355" s="1" t="s">
        <v>14</v>
      </c>
      <c r="E355" s="2">
        <v>49901</v>
      </c>
      <c r="F355" s="2">
        <v>19205</v>
      </c>
      <c r="G355" s="2">
        <v>37353</v>
      </c>
      <c r="H355" s="2">
        <f t="shared" si="2"/>
        <v>106459</v>
      </c>
      <c r="I355" s="2">
        <v>148656</v>
      </c>
      <c r="J355" s="2">
        <v>1570266</v>
      </c>
      <c r="K355" s="2">
        <f t="shared" si="3"/>
        <v>6.7796793664258156E-2</v>
      </c>
      <c r="M355" s="2">
        <v>0.88918139015300002</v>
      </c>
      <c r="N355" s="2">
        <v>0.70946217650281695</v>
      </c>
      <c r="O355" s="2">
        <v>36.222486495663397</v>
      </c>
      <c r="P355" s="2">
        <v>51.056261623722499</v>
      </c>
      <c r="Q355" s="2">
        <v>61.814237842102401</v>
      </c>
      <c r="R355" s="2">
        <v>45.398277686596899</v>
      </c>
      <c r="S355" s="2">
        <v>0.57678914901699796</v>
      </c>
      <c r="T355" s="2">
        <v>11347.127111527199</v>
      </c>
      <c r="U355" s="2">
        <v>459</v>
      </c>
      <c r="V355" s="2">
        <v>988</v>
      </c>
      <c r="W355" s="2">
        <v>951.73661358395395</v>
      </c>
      <c r="X355" s="2">
        <v>188802.624955056</v>
      </c>
      <c r="Y355" s="2">
        <v>-2372.5658054175201</v>
      </c>
      <c r="Z355" s="2">
        <v>245.672505159194</v>
      </c>
      <c r="AA355" s="2">
        <v>25.746108690650601</v>
      </c>
      <c r="AB355" s="2">
        <v>0.80992156595180298</v>
      </c>
      <c r="AC355" s="2">
        <v>3.4509888656504302</v>
      </c>
      <c r="AD355" s="2">
        <v>3.3566885539348799</v>
      </c>
      <c r="AE355" s="2">
        <v>0.39184145179770902</v>
      </c>
      <c r="AF355" s="2">
        <v>0.316337372570622</v>
      </c>
      <c r="AG355" s="2">
        <v>0.99490146797071299</v>
      </c>
      <c r="AH355" s="2">
        <v>0.95526177879416896</v>
      </c>
      <c r="AI355" s="2">
        <v>-0.19777671614614101</v>
      </c>
      <c r="AJ355" s="2">
        <v>0.92179136865103894</v>
      </c>
      <c r="AK355" s="2">
        <v>3.76933698374631E-3</v>
      </c>
      <c r="AL355" s="2">
        <v>8.9793573794005503</v>
      </c>
      <c r="AM355" s="2">
        <v>8.0877043514743399</v>
      </c>
      <c r="AN355" s="2">
        <v>5997.8959339492203</v>
      </c>
      <c r="AO355" s="2">
        <v>0.120195906574001</v>
      </c>
      <c r="AP355" s="2">
        <v>1825.1252479910199</v>
      </c>
      <c r="AQ355" s="2">
        <v>69.649292879515102</v>
      </c>
      <c r="AR355" s="2">
        <v>945.43492114386504</v>
      </c>
      <c r="AS355" s="2">
        <v>29.204244403919802</v>
      </c>
      <c r="AT355" s="2">
        <v>34353.719083785902</v>
      </c>
      <c r="AU355" s="2">
        <v>3.8645874530828302E-2</v>
      </c>
      <c r="AV355" s="2">
        <v>2.16781744098845E-3</v>
      </c>
      <c r="AW355" s="2">
        <v>1.2470369808237201</v>
      </c>
      <c r="AX355" s="2">
        <v>3.0356327408096801E-4</v>
      </c>
      <c r="AY355" s="2">
        <v>4445.1019883293502</v>
      </c>
      <c r="AZ355" s="2">
        <v>6.8721733540206706E-2</v>
      </c>
      <c r="BA355" s="2">
        <v>0.60888422943971499</v>
      </c>
      <c r="BB355" s="2">
        <v>150</v>
      </c>
    </row>
    <row r="356" spans="1:54" ht="13" x14ac:dyDescent="0.15">
      <c r="A356" s="1" t="s">
        <v>1077</v>
      </c>
      <c r="B356" s="1" t="s">
        <v>1078</v>
      </c>
      <c r="C356" s="4" t="s">
        <v>1079</v>
      </c>
      <c r="D356" s="1" t="s">
        <v>14</v>
      </c>
      <c r="E356" s="2">
        <v>9459</v>
      </c>
      <c r="F356" s="2">
        <v>55</v>
      </c>
      <c r="G356" s="2">
        <v>23527</v>
      </c>
      <c r="H356" s="2">
        <f t="shared" si="2"/>
        <v>33041</v>
      </c>
      <c r="I356" s="2">
        <v>37778</v>
      </c>
      <c r="J356" s="2">
        <v>1631377</v>
      </c>
      <c r="K356" s="2">
        <f t="shared" si="3"/>
        <v>2.0253442337362853E-2</v>
      </c>
      <c r="M356" s="2">
        <v>0.76726115570483899</v>
      </c>
      <c r="N356" s="2">
        <v>0.52502270070899304</v>
      </c>
      <c r="O356" s="2">
        <v>18.885229036775002</v>
      </c>
      <c r="P356" s="2">
        <v>35.970309495708101</v>
      </c>
      <c r="Q356" s="2">
        <v>43.289721643826702</v>
      </c>
      <c r="R356" s="2">
        <v>27.598621234737699</v>
      </c>
      <c r="S356" s="2">
        <v>0.346319018082477</v>
      </c>
      <c r="T356" s="2">
        <v>6228.4160168592098</v>
      </c>
      <c r="U356" s="2">
        <v>750</v>
      </c>
      <c r="V356" s="2">
        <v>1035</v>
      </c>
      <c r="W356" s="2">
        <v>821.73684745181095</v>
      </c>
      <c r="X356" s="2">
        <v>9706.5358818316308</v>
      </c>
      <c r="Y356" s="2">
        <v>8.6918230017219607</v>
      </c>
      <c r="Z356" s="2">
        <v>62.881122344685302</v>
      </c>
      <c r="AA356" s="2">
        <v>8.54216632821616</v>
      </c>
      <c r="AB356" s="2">
        <v>0.76065720476619403</v>
      </c>
      <c r="AC356" s="2">
        <v>2.2323436446281799</v>
      </c>
      <c r="AD356" s="2">
        <v>2.7199871913475802</v>
      </c>
      <c r="AE356" s="2">
        <v>0.435214590059054</v>
      </c>
      <c r="AF356" s="2">
        <v>0.35804268645468901</v>
      </c>
      <c r="AG356" s="2">
        <v>0.99500984542747895</v>
      </c>
      <c r="AH356" s="2">
        <v>0.950087992783885</v>
      </c>
      <c r="AI356" s="2">
        <v>-0.16383666017981199</v>
      </c>
      <c r="AJ356" s="2">
        <v>0.85257062238789205</v>
      </c>
      <c r="AK356" s="2">
        <v>7.0533439789422997E-3</v>
      </c>
      <c r="AL356" s="2">
        <v>7.54910754327737</v>
      </c>
      <c r="AM356" s="2">
        <v>7.1735199261820197</v>
      </c>
      <c r="AN356" s="2">
        <v>1255.0589914367299</v>
      </c>
      <c r="AO356" s="2">
        <v>0.132684109465771</v>
      </c>
      <c r="AP356" s="2">
        <v>605.67216407654098</v>
      </c>
      <c r="AQ356" s="2">
        <v>18.3710440732183</v>
      </c>
      <c r="AR356" s="2">
        <v>810.05655989005197</v>
      </c>
      <c r="AS356" s="2">
        <v>22.904218204884199</v>
      </c>
      <c r="AT356" s="2">
        <v>18702.337773548999</v>
      </c>
      <c r="AU356" s="2">
        <v>3.06695108825665E-2</v>
      </c>
      <c r="AV356" s="2">
        <v>1.46521801317004E-3</v>
      </c>
      <c r="AW356" s="2">
        <v>0.80341595574372304</v>
      </c>
      <c r="AX356" s="2">
        <v>1.22113399160467E-3</v>
      </c>
      <c r="AY356" s="2">
        <v>693.574137152915</v>
      </c>
      <c r="AZ356" s="2">
        <v>5.3796540665605998E-2</v>
      </c>
      <c r="BA356" s="2">
        <v>0.57441045832150495</v>
      </c>
      <c r="BB356" s="2">
        <v>78</v>
      </c>
    </row>
    <row r="357" spans="1:54" ht="13" x14ac:dyDescent="0.15">
      <c r="A357" s="1" t="s">
        <v>1080</v>
      </c>
      <c r="B357" s="1" t="s">
        <v>1081</v>
      </c>
      <c r="C357" s="4" t="s">
        <v>1082</v>
      </c>
      <c r="D357" s="1" t="s">
        <v>14</v>
      </c>
      <c r="E357" s="2">
        <v>1266</v>
      </c>
      <c r="F357" s="2">
        <v>12742</v>
      </c>
      <c r="G357" s="2">
        <v>5530</v>
      </c>
      <c r="H357" s="2">
        <f t="shared" si="2"/>
        <v>19538</v>
      </c>
      <c r="I357" s="2">
        <v>49961</v>
      </c>
      <c r="J357" s="2">
        <v>1359592</v>
      </c>
      <c r="K357" s="2">
        <f t="shared" si="3"/>
        <v>1.4370487616873297E-2</v>
      </c>
      <c r="M357" s="2">
        <v>0.209648328116841</v>
      </c>
      <c r="N357" s="2">
        <v>0.13094321234474099</v>
      </c>
      <c r="O357" s="2">
        <v>8.7697880062799101</v>
      </c>
      <c r="P357" s="2">
        <v>66.973979401018497</v>
      </c>
      <c r="Q357" s="2">
        <v>21.633307652783898</v>
      </c>
      <c r="R357" s="2">
        <v>14.040982808755199</v>
      </c>
      <c r="S357" s="2">
        <v>0.43612609129695001</v>
      </c>
      <c r="T357" s="2">
        <v>1274.7529818425501</v>
      </c>
      <c r="U357" s="2">
        <v>777</v>
      </c>
      <c r="V357" s="2">
        <v>1081.5</v>
      </c>
      <c r="W357" s="2">
        <v>726.80217771883497</v>
      </c>
      <c r="X357" s="2">
        <v>44454.699788206999</v>
      </c>
      <c r="Y357" s="2">
        <v>-123.195966259069</v>
      </c>
      <c r="Z357" s="2">
        <v>93.896638866643599</v>
      </c>
      <c r="AA357" s="2">
        <v>21.2819063180205</v>
      </c>
      <c r="AB357" s="2">
        <v>0.631360238954913</v>
      </c>
      <c r="AC357" s="2">
        <v>3.3112943106202501</v>
      </c>
      <c r="AD357" s="2">
        <v>3.2580482181287498</v>
      </c>
      <c r="AE357" s="2">
        <v>0.37844208816817798</v>
      </c>
      <c r="AF357" s="2">
        <v>0.29651144558201398</v>
      </c>
      <c r="AG357" s="2">
        <v>0.98955598274044998</v>
      </c>
      <c r="AH357" s="2">
        <v>0.93390652580247602</v>
      </c>
      <c r="AI357" s="2">
        <v>-0.184877707011043</v>
      </c>
      <c r="AJ357" s="2">
        <v>0.88845200488055498</v>
      </c>
      <c r="AK357" s="2">
        <v>6.99949579742256E-3</v>
      </c>
      <c r="AL357" s="2">
        <v>7.8559640309595498</v>
      </c>
      <c r="AM357" s="2">
        <v>6.7902233961328804</v>
      </c>
      <c r="AN357" s="2">
        <v>215.95576619273299</v>
      </c>
      <c r="AO357" s="2">
        <v>0.170581173927909</v>
      </c>
      <c r="AP357" s="2">
        <v>86.290679304897296</v>
      </c>
      <c r="AQ357" s="2">
        <v>28.644500472935398</v>
      </c>
      <c r="AR357" s="2">
        <v>692.90758293838906</v>
      </c>
      <c r="AS357" s="2">
        <v>14.3522906793049</v>
      </c>
      <c r="AT357" s="2">
        <v>9790.7985781990501</v>
      </c>
      <c r="AU357" s="2">
        <v>3.00145284514804E-2</v>
      </c>
      <c r="AV357" s="2">
        <v>3.6174068795383602E-3</v>
      </c>
      <c r="AW357" s="2">
        <v>8.2805426001421698E-2</v>
      </c>
      <c r="AX357" s="2">
        <v>8.2145315013753099E-3</v>
      </c>
      <c r="AY357" s="2">
        <v>1484.7198770380701</v>
      </c>
      <c r="AZ357" s="2">
        <v>5.8573990411124599E-2</v>
      </c>
      <c r="BA357" s="2">
        <v>7.0437208812007501</v>
      </c>
      <c r="BB357" s="2">
        <v>406</v>
      </c>
    </row>
    <row r="358" spans="1:54" ht="13" x14ac:dyDescent="0.15">
      <c r="A358" s="1" t="s">
        <v>1083</v>
      </c>
      <c r="B358" s="1" t="s">
        <v>1084</v>
      </c>
      <c r="C358" s="4" t="s">
        <v>1085</v>
      </c>
      <c r="D358" s="1" t="s">
        <v>14</v>
      </c>
      <c r="E358" s="2">
        <v>1704</v>
      </c>
      <c r="F358" s="2">
        <v>6521</v>
      </c>
      <c r="G358" s="2">
        <v>9477</v>
      </c>
      <c r="H358" s="2">
        <f t="shared" si="2"/>
        <v>17702</v>
      </c>
      <c r="I358" s="2">
        <v>45875</v>
      </c>
      <c r="J358" s="2">
        <v>1515979</v>
      </c>
      <c r="K358" s="2">
        <f t="shared" si="3"/>
        <v>1.1676942754484066E-2</v>
      </c>
      <c r="M358" s="2">
        <v>0.64295753357256802</v>
      </c>
      <c r="N358" s="2">
        <v>0.47564755400835501</v>
      </c>
      <c r="O358" s="2">
        <v>10.723318203820901</v>
      </c>
      <c r="P358" s="2">
        <v>22.5446722335769</v>
      </c>
      <c r="Q358" s="2">
        <v>21.931712199461298</v>
      </c>
      <c r="R358" s="2">
        <v>14.4952668545025</v>
      </c>
      <c r="S358" s="2">
        <v>0.50957610016461596</v>
      </c>
      <c r="T358" s="2">
        <v>1330.47442777418</v>
      </c>
      <c r="U358" s="2">
        <v>250.3</v>
      </c>
      <c r="V358" s="2">
        <v>1008.7</v>
      </c>
      <c r="W358" s="2">
        <v>690.71805663756004</v>
      </c>
      <c r="X358" s="2">
        <v>429658.13130628702</v>
      </c>
      <c r="Y358" s="2">
        <v>-3327.8313788249202</v>
      </c>
      <c r="Z358" s="2">
        <v>463.06223346321502</v>
      </c>
      <c r="AA358" s="2">
        <v>60.041580027824899</v>
      </c>
      <c r="AB358" s="2">
        <v>0.77095939419581605</v>
      </c>
      <c r="AC358" s="2">
        <v>5.6538775062597404</v>
      </c>
      <c r="AD358" s="2">
        <v>3.9655979400692201</v>
      </c>
      <c r="AE358" s="2">
        <v>0.28172440427759698</v>
      </c>
      <c r="AF358" s="2">
        <v>0.19493443364180599</v>
      </c>
      <c r="AG358" s="2">
        <v>0.97731968605576403</v>
      </c>
      <c r="AH358" s="2">
        <v>0.90407245465910302</v>
      </c>
      <c r="AI358" s="2">
        <v>-0.22258933886521601</v>
      </c>
      <c r="AJ358" s="2">
        <v>0.95033197852958795</v>
      </c>
      <c r="AK358" s="2">
        <v>1.83843517523735E-3</v>
      </c>
      <c r="AL358" s="2">
        <v>9.4998046710293593</v>
      </c>
      <c r="AM358" s="2">
        <v>7.3208502198229404</v>
      </c>
      <c r="AN358" s="2">
        <v>405.03286384976502</v>
      </c>
      <c r="AO358" s="2">
        <v>0.23769534263483899</v>
      </c>
      <c r="AP358" s="2">
        <v>50.454225352112701</v>
      </c>
      <c r="AQ358" s="2">
        <v>119.64493927571699</v>
      </c>
      <c r="AR358" s="2">
        <v>773.61150234741797</v>
      </c>
      <c r="AS358" s="2">
        <v>7.8744131455399096</v>
      </c>
      <c r="AT358" s="2">
        <v>6129.02112676056</v>
      </c>
      <c r="AU358" s="2">
        <v>0.12429138843014299</v>
      </c>
      <c r="AV358" s="2">
        <v>1.44473862633784E-2</v>
      </c>
      <c r="AW358" s="2">
        <v>0.12243639917445</v>
      </c>
      <c r="AX358" s="2">
        <v>6.5466553573920398E-3</v>
      </c>
      <c r="AY358" s="2">
        <v>2792.2945505775401</v>
      </c>
      <c r="AZ358" s="2">
        <v>0.34500461908912</v>
      </c>
      <c r="BA358" s="2">
        <v>5.4329014256655102</v>
      </c>
      <c r="BB358" s="2">
        <v>35</v>
      </c>
    </row>
    <row r="359" spans="1:54" ht="13" x14ac:dyDescent="0.15">
      <c r="A359" s="1" t="s">
        <v>1086</v>
      </c>
      <c r="B359" s="1" t="s">
        <v>1087</v>
      </c>
      <c r="C359" s="4" t="s">
        <v>1088</v>
      </c>
      <c r="D359" s="1" t="s">
        <v>14</v>
      </c>
      <c r="E359" s="2">
        <v>13922</v>
      </c>
      <c r="F359" s="2">
        <v>55857</v>
      </c>
      <c r="G359" s="2">
        <v>55416</v>
      </c>
      <c r="H359" s="2">
        <f t="shared" si="2"/>
        <v>125195</v>
      </c>
      <c r="I359" s="2">
        <v>207766</v>
      </c>
      <c r="J359" s="2">
        <v>1565617</v>
      </c>
      <c r="K359" s="2">
        <f t="shared" si="3"/>
        <v>7.9965278864498793E-2</v>
      </c>
      <c r="M359" s="2">
        <v>0.48015553767936398</v>
      </c>
      <c r="N359" s="2">
        <v>0.37958695126583802</v>
      </c>
      <c r="O359" s="2">
        <v>24.4749907299468</v>
      </c>
      <c r="P359" s="2">
        <v>64.477955968528804</v>
      </c>
      <c r="Q359" s="2">
        <v>49.739320461783599</v>
      </c>
      <c r="R359" s="2">
        <v>30.9594476165353</v>
      </c>
      <c r="S359" s="2">
        <v>0.38229974347080198</v>
      </c>
      <c r="T359" s="2">
        <v>7272.6323344276298</v>
      </c>
      <c r="U359" s="2">
        <v>940</v>
      </c>
      <c r="V359" s="2">
        <v>1393</v>
      </c>
      <c r="W359" s="2">
        <v>1981.06546749419</v>
      </c>
      <c r="X359" s="2">
        <v>152815.96550599</v>
      </c>
      <c r="Y359" s="2">
        <v>-723.93876347282298</v>
      </c>
      <c r="Z359" s="2">
        <v>190.80567647446</v>
      </c>
      <c r="AA359" s="2">
        <v>20.1259897975592</v>
      </c>
      <c r="AB359" s="2">
        <v>0.80891428421450795</v>
      </c>
      <c r="AC359" s="2">
        <v>3.3059625393103498</v>
      </c>
      <c r="AD359" s="2">
        <v>3.2537504695673101</v>
      </c>
      <c r="AE359" s="2">
        <v>0.36408702160246398</v>
      </c>
      <c r="AF359" s="2">
        <v>0.27740436151987702</v>
      </c>
      <c r="AG359" s="2">
        <v>0.99534459848234202</v>
      </c>
      <c r="AH359" s="2">
        <v>0.95335242777539297</v>
      </c>
      <c r="AI359" s="2">
        <v>-0.177688999634007</v>
      </c>
      <c r="AJ359" s="2">
        <v>0.90055387066187997</v>
      </c>
      <c r="AK359" s="2">
        <v>3.0467945534299401E-3</v>
      </c>
      <c r="AL359" s="2">
        <v>8.8337180012010492</v>
      </c>
      <c r="AM359" s="2">
        <v>7.5928896751271902</v>
      </c>
      <c r="AN359" s="2">
        <v>2259.2472345927299</v>
      </c>
      <c r="AO359" s="2">
        <v>0.16227892792650001</v>
      </c>
      <c r="AP359" s="2">
        <v>557.32251113345797</v>
      </c>
      <c r="AQ359" s="2">
        <v>53.5240329631375</v>
      </c>
      <c r="AR359" s="2">
        <v>1948.42457980175</v>
      </c>
      <c r="AS359" s="2">
        <v>15.3202126131303</v>
      </c>
      <c r="AT359" s="2">
        <v>31363.610472633201</v>
      </c>
      <c r="AU359" s="2">
        <v>8.8152719477443305E-3</v>
      </c>
      <c r="AV359" s="2">
        <v>7.5230091810989997E-4</v>
      </c>
      <c r="AW359" s="2">
        <v>0.29138456146015002</v>
      </c>
      <c r="AX359" s="2">
        <v>9.3253701573835896E-4</v>
      </c>
      <c r="AY359" s="2">
        <v>4409.2305815426498</v>
      </c>
      <c r="AZ359" s="2">
        <v>5.3566188736148497E-2</v>
      </c>
      <c r="BA359" s="2">
        <v>2.3165139411839202</v>
      </c>
      <c r="BB359" s="2">
        <v>142</v>
      </c>
    </row>
    <row r="360" spans="1:54" ht="13" x14ac:dyDescent="0.15">
      <c r="A360" s="1" t="s">
        <v>1089</v>
      </c>
      <c r="B360" s="1" t="s">
        <v>1090</v>
      </c>
      <c r="C360" s="4" t="s">
        <v>1091</v>
      </c>
      <c r="D360" s="1" t="s">
        <v>14</v>
      </c>
      <c r="E360" s="2">
        <v>59689</v>
      </c>
      <c r="F360" s="2">
        <v>69047</v>
      </c>
      <c r="G360" s="2">
        <v>28232</v>
      </c>
      <c r="H360" s="2">
        <f t="shared" si="2"/>
        <v>156968</v>
      </c>
      <c r="I360" s="2">
        <v>238363</v>
      </c>
      <c r="J360" s="2">
        <v>1544919</v>
      </c>
      <c r="K360" s="2">
        <f t="shared" si="3"/>
        <v>0.10160273774871045</v>
      </c>
      <c r="M360" s="2">
        <v>0.93188642714672498</v>
      </c>
      <c r="N360" s="2">
        <v>0.660364999896498</v>
      </c>
      <c r="O360" s="2">
        <v>34.5176896463541</v>
      </c>
      <c r="P360" s="2">
        <v>52.270622537179101</v>
      </c>
      <c r="Q360" s="2">
        <v>57.584720195551903</v>
      </c>
      <c r="R360" s="2">
        <v>48.710283680906898</v>
      </c>
      <c r="S360" s="2">
        <v>0.67427554751350605</v>
      </c>
      <c r="T360" s="2">
        <v>10942.9012601186</v>
      </c>
      <c r="U360" s="2">
        <v>1027</v>
      </c>
      <c r="V360" s="2">
        <v>1389</v>
      </c>
      <c r="W360" s="2">
        <v>1665.4232053057999</v>
      </c>
      <c r="X360" s="2">
        <v>42225.980233944698</v>
      </c>
      <c r="Y360" s="2">
        <v>-4.9461769392732302</v>
      </c>
      <c r="Z360" s="2">
        <v>119.920381933011</v>
      </c>
      <c r="AA360" s="2">
        <v>3.2055250781867799</v>
      </c>
      <c r="AB360" s="2">
        <v>0.94783197567682398</v>
      </c>
      <c r="AC360" s="2">
        <v>1.02683036353138</v>
      </c>
      <c r="AD360" s="2">
        <v>1.84624847991567</v>
      </c>
      <c r="AE360" s="2">
        <v>0.63872119335050703</v>
      </c>
      <c r="AF360" s="2">
        <v>0.61290686439318998</v>
      </c>
      <c r="AG360" s="2">
        <v>0.99900679787369895</v>
      </c>
      <c r="AH360" s="2">
        <v>0.98257307832773799</v>
      </c>
      <c r="AI360" s="2">
        <v>-0.46455100374767599</v>
      </c>
      <c r="AJ360" s="2">
        <v>0.99170097650737898</v>
      </c>
      <c r="AK360" s="2">
        <v>1.28191875495039E-2</v>
      </c>
      <c r="AL360" s="2">
        <v>6.8619769194285096</v>
      </c>
      <c r="AM360" s="2">
        <v>8.5652248222120004</v>
      </c>
      <c r="AN360" s="2">
        <v>3652.3632327564501</v>
      </c>
      <c r="AO360" s="2">
        <v>6.1189888132762403E-2</v>
      </c>
      <c r="AP360" s="2">
        <v>2993.1363735361601</v>
      </c>
      <c r="AQ360" s="2">
        <v>32.614898539975101</v>
      </c>
      <c r="AR360" s="2">
        <v>1658.10995325772</v>
      </c>
      <c r="AS360" s="2">
        <v>116.48610296704599</v>
      </c>
      <c r="AT360" s="2">
        <v>198417.096232137</v>
      </c>
      <c r="AU360" s="2">
        <v>7.2696092499277498E-2</v>
      </c>
      <c r="AV360" s="2">
        <v>6.8052778706564302E-4</v>
      </c>
      <c r="AW360" s="2">
        <v>0.72627281681882805</v>
      </c>
      <c r="AX360" s="2">
        <v>5.0420667125449198E-4</v>
      </c>
      <c r="AY360" s="2">
        <v>1006.8840632407999</v>
      </c>
      <c r="AZ360" s="2">
        <v>1.8382925704077801E-2</v>
      </c>
      <c r="BA360" s="2">
        <v>0.83923748259270203</v>
      </c>
      <c r="BB360" s="2">
        <v>303</v>
      </c>
    </row>
    <row r="361" spans="1:54" ht="13" x14ac:dyDescent="0.15">
      <c r="A361" s="1" t="s">
        <v>1092</v>
      </c>
      <c r="B361" s="1" t="s">
        <v>1093</v>
      </c>
      <c r="C361" s="4" t="s">
        <v>1094</v>
      </c>
      <c r="D361" s="1" t="s">
        <v>14</v>
      </c>
      <c r="E361" s="2">
        <v>594</v>
      </c>
      <c r="F361" s="2">
        <v>67005</v>
      </c>
      <c r="G361" s="2">
        <v>18012</v>
      </c>
      <c r="H361" s="2">
        <f t="shared" si="2"/>
        <v>85611</v>
      </c>
      <c r="I361" s="2">
        <v>130629</v>
      </c>
      <c r="J361" s="2">
        <v>1489095</v>
      </c>
      <c r="K361" s="2">
        <f t="shared" si="3"/>
        <v>5.7491966597161361E-2</v>
      </c>
      <c r="M361" s="2">
        <v>0.44443669312192702</v>
      </c>
      <c r="N361" s="2">
        <v>0.17271593370554</v>
      </c>
      <c r="O361" s="2">
        <v>10.052427193744499</v>
      </c>
      <c r="P361" s="2">
        <v>58.202083490934697</v>
      </c>
      <c r="Q361" s="2">
        <v>13.9283882771841</v>
      </c>
      <c r="R361" s="2">
        <v>25.8671415195173</v>
      </c>
      <c r="S361" s="2">
        <v>0.48935240457287099</v>
      </c>
      <c r="T361" s="2">
        <v>663.19191512165503</v>
      </c>
      <c r="U361" s="2">
        <v>897.3</v>
      </c>
      <c r="V361" s="2">
        <v>1118</v>
      </c>
      <c r="W361" s="2">
        <v>179.090852738509</v>
      </c>
      <c r="X361" s="2">
        <v>3931.7006148092601</v>
      </c>
      <c r="Y361" s="2">
        <v>-76.674689981514007</v>
      </c>
      <c r="Z361" s="2">
        <v>40.442041304873698</v>
      </c>
      <c r="AA361" s="2">
        <v>8.4146486335194304</v>
      </c>
      <c r="AB361" s="2">
        <v>0.65575933420060395</v>
      </c>
      <c r="AC361" s="2">
        <v>2.2831173377093599</v>
      </c>
      <c r="AD361" s="2">
        <v>2.6802797331433901</v>
      </c>
      <c r="AE361" s="2">
        <v>0.41805642765908602</v>
      </c>
      <c r="AF361" s="2">
        <v>0.33617252344065202</v>
      </c>
      <c r="AG361" s="2">
        <v>0.98482738215093801</v>
      </c>
      <c r="AH361" s="2">
        <v>0.91400653885065697</v>
      </c>
      <c r="AI361" s="2">
        <v>-0.17600186664273201</v>
      </c>
      <c r="AJ361" s="2">
        <v>0.85560585399629996</v>
      </c>
      <c r="AK361" s="2">
        <v>1.04536111710689E-2</v>
      </c>
      <c r="AL361" s="2">
        <v>6.9250851825579902</v>
      </c>
      <c r="AM361" s="2">
        <v>6.1942242520542097</v>
      </c>
      <c r="AN361" s="2">
        <v>104.50841750841801</v>
      </c>
      <c r="AO361" s="2">
        <v>0.175940096815518</v>
      </c>
      <c r="AP361" s="2">
        <v>48.299663299663301</v>
      </c>
      <c r="AQ361" s="2">
        <v>12.3730118241903</v>
      </c>
      <c r="AR361" s="2">
        <v>183.04040404040401</v>
      </c>
      <c r="AS361" s="2">
        <v>13.350168350168399</v>
      </c>
      <c r="AT361" s="2">
        <v>2591.3198653198701</v>
      </c>
      <c r="AU361" s="2">
        <v>8.9972980152233401E-2</v>
      </c>
      <c r="AV361" s="2">
        <v>9.9032125498171603E-3</v>
      </c>
      <c r="AW361" s="2">
        <v>0.21464087875110799</v>
      </c>
      <c r="AX361" s="2">
        <v>1.49038861442199E-2</v>
      </c>
      <c r="AY361" s="2">
        <v>305.838696580489</v>
      </c>
      <c r="AZ361" s="2">
        <v>8.3201827365707207E-2</v>
      </c>
      <c r="BA361" s="2">
        <v>2.57471419160116</v>
      </c>
      <c r="BB361" s="2">
        <v>70</v>
      </c>
    </row>
    <row r="362" spans="1:54" ht="13" x14ac:dyDescent="0.15">
      <c r="A362" s="1" t="s">
        <v>1095</v>
      </c>
      <c r="B362" s="1" t="s">
        <v>1096</v>
      </c>
      <c r="C362" s="4" t="s">
        <v>1097</v>
      </c>
      <c r="D362" s="1" t="s">
        <v>14</v>
      </c>
      <c r="E362" s="2">
        <v>6781</v>
      </c>
      <c r="F362" s="2">
        <v>2783</v>
      </c>
      <c r="G362" s="2">
        <v>10544</v>
      </c>
      <c r="H362" s="2">
        <f t="shared" si="2"/>
        <v>20108</v>
      </c>
      <c r="I362" s="2">
        <v>44756</v>
      </c>
      <c r="J362" s="2">
        <v>1595676</v>
      </c>
      <c r="K362" s="2">
        <f t="shared" si="3"/>
        <v>1.2601555704290847E-2</v>
      </c>
      <c r="M362" s="2">
        <v>0.80279608392951496</v>
      </c>
      <c r="N362" s="2">
        <v>0.54640380702908797</v>
      </c>
      <c r="O362" s="2">
        <v>15.8763001135182</v>
      </c>
      <c r="P362" s="2">
        <v>29.0559837052398</v>
      </c>
      <c r="Q362" s="2">
        <v>30.805843601498701</v>
      </c>
      <c r="R362" s="2">
        <v>23.3260299332863</v>
      </c>
      <c r="S362" s="2">
        <v>0.68214173109350495</v>
      </c>
      <c r="T362" s="2">
        <v>2530.6387694209602</v>
      </c>
      <c r="U362" s="2">
        <v>955</v>
      </c>
      <c r="V362" s="2">
        <v>1848</v>
      </c>
      <c r="W362" s="2">
        <v>2999.73661436457</v>
      </c>
      <c r="X362" s="2">
        <v>1140736.56180155</v>
      </c>
      <c r="Y362" s="2">
        <v>-12591.753714083099</v>
      </c>
      <c r="Z362" s="2">
        <v>707.80809252641097</v>
      </c>
      <c r="AA362" s="2">
        <v>49.963729876378601</v>
      </c>
      <c r="AB362" s="2">
        <v>0.86770246081535995</v>
      </c>
      <c r="AC362" s="2">
        <v>4.5213206561246704</v>
      </c>
      <c r="AD362" s="2">
        <v>3.68766582103044</v>
      </c>
      <c r="AE362" s="2">
        <v>0.35712535307187898</v>
      </c>
      <c r="AF362" s="2">
        <v>0.28013806145043402</v>
      </c>
      <c r="AG362" s="2">
        <v>0.99168090396004904</v>
      </c>
      <c r="AH362" s="2">
        <v>0.94698495932160898</v>
      </c>
      <c r="AI362" s="2">
        <v>-0.23532459675504</v>
      </c>
      <c r="AJ362" s="2">
        <v>0.95690769961727795</v>
      </c>
      <c r="AK362" s="2">
        <v>3.15721388989773E-3</v>
      </c>
      <c r="AL362" s="2">
        <v>9.5458281174964199</v>
      </c>
      <c r="AM362" s="2">
        <v>8.2574790638611404</v>
      </c>
      <c r="AN362" s="2">
        <v>970.33992036572795</v>
      </c>
      <c r="AO362" s="2">
        <v>0.143096876620812</v>
      </c>
      <c r="AP362" s="2">
        <v>195.51349358501699</v>
      </c>
      <c r="AQ362" s="2">
        <v>200.972847895722</v>
      </c>
      <c r="AR362" s="2">
        <v>2963.5208671287401</v>
      </c>
      <c r="AS362" s="2">
        <v>21.4813449343755</v>
      </c>
      <c r="AT362" s="2">
        <v>79058.491815366506</v>
      </c>
      <c r="AU362" s="2">
        <v>7.63894518122182E-3</v>
      </c>
      <c r="AV362" s="2">
        <v>7.1064417021785096E-4</v>
      </c>
      <c r="AW362" s="2">
        <v>0.10591816811046501</v>
      </c>
      <c r="AX362" s="2">
        <v>2.0928926765322198E-3</v>
      </c>
      <c r="AY362" s="2">
        <v>6895.8542701640499</v>
      </c>
      <c r="AZ362" s="2">
        <v>0.22524950136796101</v>
      </c>
      <c r="BA362" s="2">
        <v>6.0733327335711804</v>
      </c>
      <c r="BB362" s="2">
        <v>504</v>
      </c>
    </row>
    <row r="363" spans="1:54" ht="13" x14ac:dyDescent="0.15">
      <c r="A363" s="1" t="s">
        <v>1098</v>
      </c>
      <c r="B363" s="1" t="s">
        <v>1099</v>
      </c>
      <c r="C363" s="4" t="s">
        <v>1100</v>
      </c>
      <c r="D363" s="1" t="s">
        <v>14</v>
      </c>
      <c r="E363" s="2">
        <v>16218</v>
      </c>
      <c r="F363" s="2">
        <v>139570</v>
      </c>
      <c r="G363" s="2">
        <v>25787</v>
      </c>
      <c r="H363" s="2">
        <f t="shared" si="2"/>
        <v>181575</v>
      </c>
      <c r="I363" s="2">
        <v>271241</v>
      </c>
      <c r="J363" s="2">
        <v>1625485</v>
      </c>
      <c r="K363" s="2">
        <f t="shared" si="3"/>
        <v>0.11170512185593838</v>
      </c>
      <c r="M363" s="2">
        <v>0.423676452130959</v>
      </c>
      <c r="N363" s="2">
        <v>0.31826903057955902</v>
      </c>
      <c r="O363" s="2">
        <v>25.950616453030101</v>
      </c>
      <c r="P363" s="2">
        <v>81.536731380288003</v>
      </c>
      <c r="Q363" s="2">
        <v>90.801982357215095</v>
      </c>
      <c r="R363" s="2">
        <v>34.545193069555502</v>
      </c>
      <c r="S363" s="2">
        <v>0.32953409095582598</v>
      </c>
      <c r="T363" s="2">
        <v>9328.4031795618303</v>
      </c>
      <c r="U363" s="2">
        <v>204</v>
      </c>
      <c r="V363" s="2">
        <v>560</v>
      </c>
      <c r="W363" s="2">
        <v>321.460467340869</v>
      </c>
      <c r="X363" s="2">
        <v>22460.434933685701</v>
      </c>
      <c r="Y363" s="2">
        <v>-568.61712757694204</v>
      </c>
      <c r="Z363" s="2">
        <v>107.287173247791</v>
      </c>
      <c r="AA363" s="2">
        <v>4.4407021958217099</v>
      </c>
      <c r="AB363" s="2">
        <v>0.92038146529229004</v>
      </c>
      <c r="AC363" s="2">
        <v>1.3885826546501501</v>
      </c>
      <c r="AD363" s="2">
        <v>2.2488874068070999</v>
      </c>
      <c r="AE363" s="2">
        <v>0.57568045702290205</v>
      </c>
      <c r="AF363" s="2">
        <v>0.5326899931129</v>
      </c>
      <c r="AG363" s="2">
        <v>0.99415083041354901</v>
      </c>
      <c r="AH363" s="2">
        <v>0.95376772370583496</v>
      </c>
      <c r="AI363" s="2">
        <v>-0.32528485876775398</v>
      </c>
      <c r="AJ363" s="2">
        <v>0.96310677873655903</v>
      </c>
      <c r="AK363" s="2">
        <v>1.51377376493365E-2</v>
      </c>
      <c r="AL363" s="2">
        <v>6.88167015862747</v>
      </c>
      <c r="AM363" s="2">
        <v>8.0122173769287599</v>
      </c>
      <c r="AN363" s="2">
        <v>1089.7823406092</v>
      </c>
      <c r="AO363" s="2">
        <v>6.7195852793760003E-2</v>
      </c>
      <c r="AP363" s="2">
        <v>1033.1148107041599</v>
      </c>
      <c r="AQ363" s="2">
        <v>29.153181629488</v>
      </c>
      <c r="AR363" s="2">
        <v>311.97274633123698</v>
      </c>
      <c r="AS363" s="2">
        <v>78.182143297570605</v>
      </c>
      <c r="AT363" s="2">
        <v>30859.3475151067</v>
      </c>
      <c r="AU363" s="2">
        <v>0.311497989623295</v>
      </c>
      <c r="AV363" s="2">
        <v>5.7475430415901601E-3</v>
      </c>
      <c r="AW363" s="2">
        <v>1.8497048008261801</v>
      </c>
      <c r="AX363" s="2">
        <v>1.13573764749255E-3</v>
      </c>
      <c r="AY363" s="2">
        <v>265.70375244990601</v>
      </c>
      <c r="AZ363" s="2">
        <v>8.4578838290288602E-2</v>
      </c>
      <c r="BA363" s="2">
        <v>0.312682474162848</v>
      </c>
      <c r="BB363" s="2">
        <v>292</v>
      </c>
    </row>
    <row r="364" spans="1:54" ht="13" x14ac:dyDescent="0.15">
      <c r="A364" s="1" t="s">
        <v>1101</v>
      </c>
      <c r="B364" s="1" t="s">
        <v>1102</v>
      </c>
      <c r="C364" s="4" t="s">
        <v>1103</v>
      </c>
      <c r="D364" s="1" t="s">
        <v>14</v>
      </c>
      <c r="E364" s="2">
        <v>20612</v>
      </c>
      <c r="F364" s="2">
        <v>51347</v>
      </c>
      <c r="G364" s="2">
        <v>25474</v>
      </c>
      <c r="H364" s="2">
        <f t="shared" si="2"/>
        <v>97433</v>
      </c>
      <c r="I364" s="2">
        <v>232788</v>
      </c>
      <c r="J364" s="2">
        <v>1395418</v>
      </c>
      <c r="K364" s="2">
        <f t="shared" si="3"/>
        <v>6.9823522414072345E-2</v>
      </c>
      <c r="M364" s="2">
        <v>0.59413955990255596</v>
      </c>
      <c r="N364" s="2">
        <v>0.51324015664011302</v>
      </c>
      <c r="O364" s="2">
        <v>28.045936697370099</v>
      </c>
      <c r="P364" s="2">
        <v>54.644860372911303</v>
      </c>
      <c r="Q364" s="2">
        <v>45.122056690713897</v>
      </c>
      <c r="R364" s="2">
        <v>32.4666732928982</v>
      </c>
      <c r="S364" s="2">
        <v>0.47480750954144502</v>
      </c>
      <c r="T364" s="2">
        <v>7625.9042041949497</v>
      </c>
      <c r="U364" s="2">
        <v>903</v>
      </c>
      <c r="V364" s="2">
        <v>1666.9</v>
      </c>
      <c r="W364" s="2">
        <v>1692.70905907265</v>
      </c>
      <c r="X364" s="2">
        <v>511466.61618814</v>
      </c>
      <c r="Y364" s="2">
        <v>-585.69228102705199</v>
      </c>
      <c r="Z364" s="2">
        <v>472.17206439208701</v>
      </c>
      <c r="AA364" s="2">
        <v>57.324718917102103</v>
      </c>
      <c r="AB364" s="2">
        <v>0.78342104306543303</v>
      </c>
      <c r="AC364" s="2">
        <v>5.41755448024945</v>
      </c>
      <c r="AD364" s="2">
        <v>3.9341219655975301</v>
      </c>
      <c r="AE364" s="2">
        <v>0.28654564533416699</v>
      </c>
      <c r="AF364" s="2">
        <v>0.197748924945403</v>
      </c>
      <c r="AG364" s="2">
        <v>0.98837522823889101</v>
      </c>
      <c r="AH364" s="2">
        <v>0.93049294590239295</v>
      </c>
      <c r="AI364" s="2">
        <v>-0.153498346700397</v>
      </c>
      <c r="AJ364" s="2">
        <v>0.896043842416961</v>
      </c>
      <c r="AK364" s="2">
        <v>1.1862748466472601E-3</v>
      </c>
      <c r="AL364" s="2">
        <v>10.1625587567606</v>
      </c>
      <c r="AM364" s="2">
        <v>7.9477233820843702</v>
      </c>
      <c r="AN364" s="2">
        <v>4306.7779934018999</v>
      </c>
      <c r="AO364" s="2">
        <v>0.208945177246357</v>
      </c>
      <c r="AP364" s="2">
        <v>491.92819716669902</v>
      </c>
      <c r="AQ364" s="2">
        <v>134.098209357977</v>
      </c>
      <c r="AR364" s="2">
        <v>1669.9304288763799</v>
      </c>
      <c r="AS364" s="2">
        <v>9.9738016689307205</v>
      </c>
      <c r="AT364" s="2">
        <v>16944.815059188801</v>
      </c>
      <c r="AU364" s="2">
        <v>9.9227896105395404E-3</v>
      </c>
      <c r="AV364" s="2">
        <v>1.27003230916865E-3</v>
      </c>
      <c r="AW364" s="2">
        <v>0.59516604581244104</v>
      </c>
      <c r="AX364" s="2">
        <v>6.7462468451797504E-4</v>
      </c>
      <c r="AY364" s="2">
        <v>6222.5749555705797</v>
      </c>
      <c r="AZ364" s="2">
        <v>0.19119092828471099</v>
      </c>
      <c r="BA364" s="2">
        <v>1.09974509798814</v>
      </c>
      <c r="BB364" s="2">
        <v>45</v>
      </c>
    </row>
    <row r="365" spans="1:54" ht="13" x14ac:dyDescent="0.15">
      <c r="A365" s="1" t="s">
        <v>1104</v>
      </c>
      <c r="B365" s="1" t="s">
        <v>1105</v>
      </c>
      <c r="C365" s="4" t="s">
        <v>1106</v>
      </c>
      <c r="D365" s="1" t="s">
        <v>14</v>
      </c>
      <c r="E365" s="2">
        <v>9040</v>
      </c>
      <c r="F365" s="2">
        <v>106443</v>
      </c>
      <c r="G365" s="2">
        <v>29598</v>
      </c>
      <c r="H365" s="2">
        <f t="shared" si="2"/>
        <v>145081</v>
      </c>
      <c r="I365" s="2">
        <v>243665</v>
      </c>
      <c r="J365" s="2">
        <v>1777306</v>
      </c>
      <c r="K365" s="2">
        <f t="shared" si="3"/>
        <v>8.1629724988268759E-2</v>
      </c>
      <c r="M365" s="2">
        <v>0.38630396882859303</v>
      </c>
      <c r="N365" s="2">
        <v>0.35272603335411601</v>
      </c>
      <c r="O365" s="2">
        <v>25.222631206788702</v>
      </c>
      <c r="P365" s="2">
        <v>71.507710862573703</v>
      </c>
      <c r="Q365" s="2">
        <v>40.8166632639171</v>
      </c>
      <c r="R365" s="2">
        <v>27.6237125080597</v>
      </c>
      <c r="S365" s="2">
        <v>0.33937811292394998</v>
      </c>
      <c r="T365" s="2">
        <v>6127.7511087631801</v>
      </c>
      <c r="U365" s="2">
        <v>584</v>
      </c>
      <c r="V365" s="2">
        <v>1256</v>
      </c>
      <c r="W365" s="2">
        <v>654.48231150406002</v>
      </c>
      <c r="X365" s="2">
        <v>414101.89258427703</v>
      </c>
      <c r="Y365" s="2">
        <v>8780.1777637221003</v>
      </c>
      <c r="Z365" s="2">
        <v>350.56220771657598</v>
      </c>
      <c r="AA365" s="2">
        <v>6.5022483695373996</v>
      </c>
      <c r="AB365" s="2">
        <v>0.96359076055576498</v>
      </c>
      <c r="AC365" s="2">
        <v>1.8270910248928101</v>
      </c>
      <c r="AD365" s="2">
        <v>2.50636807615833</v>
      </c>
      <c r="AE365" s="2">
        <v>0.49023274872558498</v>
      </c>
      <c r="AF365" s="2">
        <v>0.42715980232306699</v>
      </c>
      <c r="AG365" s="2">
        <v>0.99722623303651503</v>
      </c>
      <c r="AH365" s="2">
        <v>0.964482019393334</v>
      </c>
      <c r="AI365" s="2">
        <v>-0.29885209179140299</v>
      </c>
      <c r="AJ365" s="2">
        <v>0.96189469377118397</v>
      </c>
      <c r="AK365" s="2">
        <v>8.6514814291638008E-3</v>
      </c>
      <c r="AL365" s="2">
        <v>7.5230617477392698</v>
      </c>
      <c r="AM365" s="2">
        <v>7.6634817589752897</v>
      </c>
      <c r="AN365" s="2">
        <v>986.64292035398205</v>
      </c>
      <c r="AO365" s="2">
        <v>0.10914191596836099</v>
      </c>
      <c r="AP365" s="2">
        <v>542.07544247787598</v>
      </c>
      <c r="AQ365" s="2">
        <v>86.149209205399799</v>
      </c>
      <c r="AR365" s="2">
        <v>645.36183628318599</v>
      </c>
      <c r="AS365" s="2">
        <v>33.759955752212399</v>
      </c>
      <c r="AT365" s="2">
        <v>26040.577544247801</v>
      </c>
      <c r="AU365" s="2">
        <v>7.5929457059376898E-2</v>
      </c>
      <c r="AV365" s="2">
        <v>2.5647096694143999E-3</v>
      </c>
      <c r="AW365" s="2">
        <v>0.46694048711745101</v>
      </c>
      <c r="AX365" s="2">
        <v>1.84768037667518E-3</v>
      </c>
      <c r="AY365" s="2">
        <v>995.37260687698802</v>
      </c>
      <c r="AZ365" s="2">
        <v>0.11233634891038299</v>
      </c>
      <c r="BA365" s="2">
        <v>2.1029843562475001</v>
      </c>
      <c r="BB365" s="2">
        <v>373</v>
      </c>
    </row>
    <row r="366" spans="1:54" ht="13" x14ac:dyDescent="0.15">
      <c r="A366" s="1" t="s">
        <v>1107</v>
      </c>
      <c r="B366" s="1" t="s">
        <v>1108</v>
      </c>
      <c r="C366" s="4" t="s">
        <v>1109</v>
      </c>
      <c r="D366" s="1" t="s">
        <v>14</v>
      </c>
      <c r="E366" s="2">
        <v>779</v>
      </c>
      <c r="F366" s="2">
        <v>119969</v>
      </c>
      <c r="G366" s="2">
        <v>4795</v>
      </c>
      <c r="H366" s="2">
        <f t="shared" si="2"/>
        <v>125543</v>
      </c>
      <c r="I366" s="2">
        <v>273457</v>
      </c>
      <c r="J366" s="2">
        <v>1524055</v>
      </c>
      <c r="K366" s="2">
        <f t="shared" si="3"/>
        <v>8.2374323761281579E-2</v>
      </c>
      <c r="M366" s="2">
        <v>0.61979257039098901</v>
      </c>
      <c r="N366" s="2">
        <v>0.37829742573547198</v>
      </c>
      <c r="O366" s="2">
        <v>9.0607770572463</v>
      </c>
      <c r="P366" s="2">
        <v>23.951463691910298</v>
      </c>
      <c r="Q366" s="2">
        <v>24.698178070456901</v>
      </c>
      <c r="R366" s="2">
        <v>14.8449392462355</v>
      </c>
      <c r="S366" s="2">
        <v>0.42835186907733203</v>
      </c>
      <c r="T366" s="2">
        <v>923.158519272185</v>
      </c>
      <c r="U366" s="2">
        <v>347.8</v>
      </c>
      <c r="V366" s="2">
        <v>601</v>
      </c>
      <c r="W366" s="2">
        <v>166.330280307885</v>
      </c>
      <c r="X366" s="2">
        <v>4795.2592853280803</v>
      </c>
      <c r="Y366" s="2">
        <v>-76.857488901008495</v>
      </c>
      <c r="Z366" s="2">
        <v>41.192226796742702</v>
      </c>
      <c r="AA366" s="2">
        <v>11.2851172773718</v>
      </c>
      <c r="AB366" s="2">
        <v>0.56013937174018202</v>
      </c>
      <c r="AC366" s="2">
        <v>2.5922239408477501</v>
      </c>
      <c r="AD366" s="2">
        <v>2.85672275460592</v>
      </c>
      <c r="AE366" s="2">
        <v>0.40366364995256199</v>
      </c>
      <c r="AF366" s="2">
        <v>0.32128102523180502</v>
      </c>
      <c r="AG366" s="2">
        <v>0.97634155090319097</v>
      </c>
      <c r="AH366" s="2">
        <v>0.89690736948199801</v>
      </c>
      <c r="AI366" s="2">
        <v>-0.14950708064420801</v>
      </c>
      <c r="AJ366" s="2">
        <v>0.80908989549563204</v>
      </c>
      <c r="AK366" s="2">
        <v>9.7568306542008907E-3</v>
      </c>
      <c r="AL366" s="2">
        <v>7.0968450191585699</v>
      </c>
      <c r="AM366" s="2">
        <v>6.3524396677241999</v>
      </c>
      <c r="AN366" s="2">
        <v>134.483953786906</v>
      </c>
      <c r="AO366" s="2">
        <v>0.17263665441194601</v>
      </c>
      <c r="AP366" s="2">
        <v>56.150192554557101</v>
      </c>
      <c r="AQ366" s="2">
        <v>15.688775148679801</v>
      </c>
      <c r="AR366" s="2">
        <v>154.983311938383</v>
      </c>
      <c r="AS366" s="2">
        <v>13.693196405648299</v>
      </c>
      <c r="AT366" s="2">
        <v>2492.0102695763799</v>
      </c>
      <c r="AU366" s="2">
        <v>0.14427912548916</v>
      </c>
      <c r="AV366" s="2">
        <v>1.5796570477442502E-2</v>
      </c>
      <c r="AW366" s="2">
        <v>0.360347352991647</v>
      </c>
      <c r="AX366" s="2">
        <v>1.18327879715445E-2</v>
      </c>
      <c r="AY366" s="2">
        <v>282.61318736516199</v>
      </c>
      <c r="AZ366" s="2">
        <v>0.126350757247571</v>
      </c>
      <c r="BA366" s="2">
        <v>1.6895559752298399</v>
      </c>
      <c r="BB366" s="2">
        <v>222</v>
      </c>
    </row>
    <row r="367" spans="1:54" ht="13" x14ac:dyDescent="0.15">
      <c r="A367" s="1" t="s">
        <v>1110</v>
      </c>
      <c r="B367" s="1" t="s">
        <v>1111</v>
      </c>
      <c r="C367" s="4" t="s">
        <v>1112</v>
      </c>
      <c r="D367" s="1" t="s">
        <v>14</v>
      </c>
      <c r="E367" s="2">
        <v>58276</v>
      </c>
      <c r="F367" s="2">
        <v>125200</v>
      </c>
      <c r="G367" s="2">
        <v>62014</v>
      </c>
      <c r="H367" s="2">
        <f t="shared" si="2"/>
        <v>245490</v>
      </c>
      <c r="I367" s="2">
        <v>324550</v>
      </c>
      <c r="J367" s="2">
        <v>1620859</v>
      </c>
      <c r="K367" s="2">
        <f t="shared" si="3"/>
        <v>0.15145672757469958</v>
      </c>
      <c r="M367" s="2">
        <v>0.77082960995912597</v>
      </c>
      <c r="N367" s="2">
        <v>0.69564760959025296</v>
      </c>
      <c r="O367" s="2">
        <v>38.526892901670401</v>
      </c>
      <c r="P367" s="2">
        <v>55.382771924370303</v>
      </c>
      <c r="Q367" s="2">
        <v>66.910387833280396</v>
      </c>
      <c r="R367" s="2">
        <v>42.690680480917599</v>
      </c>
      <c r="S367" s="2">
        <v>0.42614937211152898</v>
      </c>
      <c r="T367" s="2">
        <v>17020.7398415629</v>
      </c>
      <c r="U367" s="2">
        <v>794</v>
      </c>
      <c r="V367" s="2">
        <v>1350</v>
      </c>
      <c r="W367" s="2">
        <v>921.02203674190298</v>
      </c>
      <c r="X367" s="2">
        <v>204522.50536437501</v>
      </c>
      <c r="Y367" s="2">
        <v>2692.83044143603</v>
      </c>
      <c r="Z367" s="2">
        <v>274.57918330195002</v>
      </c>
      <c r="AA367" s="2">
        <v>20.5309964007952</v>
      </c>
      <c r="AB367" s="2">
        <v>0.860634723999394</v>
      </c>
      <c r="AC367" s="2">
        <v>3.2134126196055202</v>
      </c>
      <c r="AD367" s="2">
        <v>3.2366170597214099</v>
      </c>
      <c r="AE367" s="2">
        <v>0.38024738460219498</v>
      </c>
      <c r="AF367" s="2">
        <v>0.29757568007903001</v>
      </c>
      <c r="AG367" s="2">
        <v>0.99411796103372296</v>
      </c>
      <c r="AH367" s="2">
        <v>0.94985151086705999</v>
      </c>
      <c r="AI367" s="2">
        <v>-0.20812924134972699</v>
      </c>
      <c r="AJ367" s="2">
        <v>0.931614991393101</v>
      </c>
      <c r="AK367" s="2">
        <v>3.0238248397789201E-3</v>
      </c>
      <c r="AL367" s="2">
        <v>9.0332062054701101</v>
      </c>
      <c r="AM367" s="2">
        <v>8.0326771807098094</v>
      </c>
      <c r="AN367" s="2">
        <v>8176.7944265220704</v>
      </c>
      <c r="AO367" s="2">
        <v>0.140311524924876</v>
      </c>
      <c r="AP367" s="2">
        <v>2038.8055803418199</v>
      </c>
      <c r="AQ367" s="2">
        <v>75.163631652852999</v>
      </c>
      <c r="AR367" s="2">
        <v>921.45878234607699</v>
      </c>
      <c r="AS367" s="2">
        <v>20.635630448212002</v>
      </c>
      <c r="AT367" s="2">
        <v>16555.9219232617</v>
      </c>
      <c r="AU367" s="2">
        <v>3.50700125809136E-2</v>
      </c>
      <c r="AV367" s="2">
        <v>1.61573504048176E-3</v>
      </c>
      <c r="AW367" s="2">
        <v>2.0081119913049998</v>
      </c>
      <c r="AX367" s="2">
        <v>2.90517336005568E-4</v>
      </c>
      <c r="AY367" s="2">
        <v>2704.9235208939099</v>
      </c>
      <c r="AZ367" s="2">
        <v>8.55996757109036E-2</v>
      </c>
      <c r="BA367" s="2">
        <v>0.37598396650493399</v>
      </c>
      <c r="BB367" s="2">
        <v>369</v>
      </c>
    </row>
    <row r="368" spans="1:54" ht="13" x14ac:dyDescent="0.15">
      <c r="A368" s="1" t="s">
        <v>1113</v>
      </c>
      <c r="B368" s="1" t="s">
        <v>1114</v>
      </c>
      <c r="C368" s="4" t="s">
        <v>1115</v>
      </c>
      <c r="D368" s="1" t="s">
        <v>14</v>
      </c>
      <c r="E368" s="2">
        <v>16824</v>
      </c>
      <c r="F368" s="2">
        <v>30132</v>
      </c>
      <c r="G368" s="2">
        <v>24605</v>
      </c>
      <c r="H368" s="2">
        <f t="shared" si="2"/>
        <v>71561</v>
      </c>
      <c r="I368" s="2">
        <v>86912</v>
      </c>
      <c r="J368" s="2">
        <v>1710787</v>
      </c>
      <c r="K368" s="2">
        <f t="shared" si="3"/>
        <v>4.1829286755160053E-2</v>
      </c>
      <c r="M368" s="2">
        <v>0.77194840659680197</v>
      </c>
      <c r="N368" s="2">
        <v>0.64258299464191704</v>
      </c>
      <c r="O368" s="2">
        <v>25.626153750010101</v>
      </c>
      <c r="P368" s="2">
        <v>39.879912732969899</v>
      </c>
      <c r="Q368" s="2">
        <v>40.261644278394797</v>
      </c>
      <c r="R368" s="2">
        <v>30.785235089435599</v>
      </c>
      <c r="S368" s="2">
        <v>0.43166124643751502</v>
      </c>
      <c r="T368" s="2">
        <v>7339.99425094651</v>
      </c>
      <c r="U368" s="2">
        <v>696</v>
      </c>
      <c r="V368" s="2">
        <v>1108</v>
      </c>
      <c r="W368" s="2">
        <v>925.05918480126797</v>
      </c>
      <c r="X368" s="2">
        <v>243994.71838979199</v>
      </c>
      <c r="Y368" s="2">
        <v>2243.4739706064602</v>
      </c>
      <c r="Z368" s="2">
        <v>207.23880971314901</v>
      </c>
      <c r="AA368" s="2">
        <v>29.940663229498998</v>
      </c>
      <c r="AB368" s="2">
        <v>0.74717977270065705</v>
      </c>
      <c r="AC368" s="2">
        <v>3.8271757367939498</v>
      </c>
      <c r="AD368" s="2">
        <v>3.47261429468112</v>
      </c>
      <c r="AE368" s="2">
        <v>0.35256699605927699</v>
      </c>
      <c r="AF368" s="2">
        <v>0.26778997713793201</v>
      </c>
      <c r="AG368" s="2">
        <v>0.99321547294268198</v>
      </c>
      <c r="AH368" s="2">
        <v>0.94714113789690302</v>
      </c>
      <c r="AI368" s="2">
        <v>-0.14955686819483199</v>
      </c>
      <c r="AJ368" s="2">
        <v>0.866719494620525</v>
      </c>
      <c r="AK368" s="2">
        <v>3.3882363081533199E-3</v>
      </c>
      <c r="AL368" s="2">
        <v>9.0045920629624696</v>
      </c>
      <c r="AM368" s="2">
        <v>7.65125605420792</v>
      </c>
      <c r="AN368" s="2">
        <v>2686.71611982882</v>
      </c>
      <c r="AO368" s="2">
        <v>0.159695442215217</v>
      </c>
      <c r="AP368" s="2">
        <v>737.63397527341897</v>
      </c>
      <c r="AQ368" s="2">
        <v>61.335771850818197</v>
      </c>
      <c r="AR368" s="2">
        <v>933.56829529243896</v>
      </c>
      <c r="AS368" s="2">
        <v>16.123989538754198</v>
      </c>
      <c r="AT368" s="2">
        <v>14329.933725630101</v>
      </c>
      <c r="AU368" s="2">
        <v>2.3606528953921201E-2</v>
      </c>
      <c r="AV368" s="2">
        <v>1.93617045636367E-3</v>
      </c>
      <c r="AW368" s="2">
        <v>0.56038701804258395</v>
      </c>
      <c r="AX368" s="2">
        <v>7.1399815529326303E-4</v>
      </c>
      <c r="AY368" s="2">
        <v>4255.91079539367</v>
      </c>
      <c r="AZ368" s="2">
        <v>6.9270508144353801E-2</v>
      </c>
      <c r="BA368" s="2">
        <v>1.39915076162421</v>
      </c>
      <c r="BB368" s="2">
        <v>605</v>
      </c>
    </row>
    <row r="369" spans="1:54" ht="13" x14ac:dyDescent="0.15">
      <c r="A369" s="1" t="s">
        <v>1116</v>
      </c>
      <c r="B369" s="1" t="s">
        <v>1117</v>
      </c>
      <c r="C369" s="4" t="s">
        <v>1118</v>
      </c>
      <c r="D369" s="1" t="s">
        <v>14</v>
      </c>
      <c r="E369" s="2">
        <v>1800</v>
      </c>
      <c r="F369" s="2">
        <v>22141</v>
      </c>
      <c r="G369" s="2">
        <v>6152</v>
      </c>
      <c r="H369" s="2">
        <f t="shared" si="2"/>
        <v>30093</v>
      </c>
      <c r="I369" s="2">
        <v>53793</v>
      </c>
      <c r="J369" s="2">
        <v>1412200</v>
      </c>
      <c r="K369" s="2">
        <f t="shared" si="3"/>
        <v>2.1309304631072085E-2</v>
      </c>
      <c r="M369" s="2">
        <v>0.53729255561424205</v>
      </c>
      <c r="N369" s="2">
        <v>0.44789484436966998</v>
      </c>
      <c r="O369" s="2">
        <v>13.7542182124403</v>
      </c>
      <c r="P369" s="2">
        <v>30.7085879316089</v>
      </c>
      <c r="Q369" s="2">
        <v>29.732137494637001</v>
      </c>
      <c r="R369" s="2">
        <v>16.499495689078799</v>
      </c>
      <c r="S369" s="2">
        <v>0.485074674572192</v>
      </c>
      <c r="T369" s="2">
        <v>1446.0963213390601</v>
      </c>
      <c r="U369" s="2">
        <v>724</v>
      </c>
      <c r="V369" s="2">
        <v>979</v>
      </c>
      <c r="W369" s="2">
        <v>96.993102939844604</v>
      </c>
      <c r="X369" s="2">
        <v>5169.2165865302304</v>
      </c>
      <c r="Y369" s="2">
        <v>101.54991758701</v>
      </c>
      <c r="Z369" s="2">
        <v>44.384562491591304</v>
      </c>
      <c r="AA369" s="2">
        <v>12.5974579372624</v>
      </c>
      <c r="AB369" s="2">
        <v>0.55649716886155898</v>
      </c>
      <c r="AC369" s="2">
        <v>2.7289031491058</v>
      </c>
      <c r="AD369" s="2">
        <v>2.9641827710392401</v>
      </c>
      <c r="AE369" s="2">
        <v>0.39499047679570898</v>
      </c>
      <c r="AF369" s="2">
        <v>0.31121925950417101</v>
      </c>
      <c r="AG369" s="2">
        <v>0.97383450535732197</v>
      </c>
      <c r="AH369" s="2">
        <v>0.89247910357843796</v>
      </c>
      <c r="AI369" s="2">
        <v>-0.103901388669149</v>
      </c>
      <c r="AJ369" s="2">
        <v>0.730640979337838</v>
      </c>
      <c r="AK369" s="2">
        <v>7.5115411848934001E-3</v>
      </c>
      <c r="AL369" s="2">
        <v>7.4205970857683399</v>
      </c>
      <c r="AM369" s="2">
        <v>6.5996278027472499</v>
      </c>
      <c r="AN369" s="2">
        <v>300.79333333333301</v>
      </c>
      <c r="AO369" s="2">
        <v>0.16710740740740701</v>
      </c>
      <c r="AP369" s="2">
        <v>132.38111111111101</v>
      </c>
      <c r="AQ369" s="2">
        <v>14.854992283950599</v>
      </c>
      <c r="AR369" s="2">
        <v>99.546111111111102</v>
      </c>
      <c r="AS369" s="2">
        <v>15.987777777777801</v>
      </c>
      <c r="AT369" s="2">
        <v>1369.67611111111</v>
      </c>
      <c r="AU369" s="2">
        <v>0.392201711529852</v>
      </c>
      <c r="AV369" s="2">
        <v>2.6100426915931899E-2</v>
      </c>
      <c r="AW369" s="2">
        <v>1.2865674900403801</v>
      </c>
      <c r="AX369" s="2">
        <v>4.9927612996849098E-3</v>
      </c>
      <c r="AY369" s="2">
        <v>298.55527400354498</v>
      </c>
      <c r="AZ369" s="2">
        <v>0.121552221659969</v>
      </c>
      <c r="BA369" s="2">
        <v>0.743471566522797</v>
      </c>
      <c r="BB369" s="2">
        <v>267</v>
      </c>
    </row>
    <row r="370" spans="1:54" ht="13" x14ac:dyDescent="0.15">
      <c r="A370" s="1" t="s">
        <v>1119</v>
      </c>
      <c r="B370" s="1" t="s">
        <v>1120</v>
      </c>
      <c r="C370" s="4" t="s">
        <v>1121</v>
      </c>
      <c r="D370" s="1" t="s">
        <v>14</v>
      </c>
      <c r="E370" s="2">
        <v>7029</v>
      </c>
      <c r="F370" s="2">
        <v>82532</v>
      </c>
      <c r="G370" s="2">
        <v>27642</v>
      </c>
      <c r="H370" s="2">
        <f t="shared" si="2"/>
        <v>117203</v>
      </c>
      <c r="I370" s="2">
        <v>188876</v>
      </c>
      <c r="J370" s="2">
        <v>1498254</v>
      </c>
      <c r="K370" s="2">
        <f t="shared" si="3"/>
        <v>7.8226388849954684E-2</v>
      </c>
      <c r="M370" s="2">
        <v>0.61765256598136697</v>
      </c>
      <c r="N370" s="2">
        <v>0.39068287348966202</v>
      </c>
      <c r="O370" s="2">
        <v>17.5624556050482</v>
      </c>
      <c r="P370" s="2">
        <v>44.953226252731902</v>
      </c>
      <c r="Q370" s="2">
        <v>52.773099207835003</v>
      </c>
      <c r="R370" s="2">
        <v>27.765475544140799</v>
      </c>
      <c r="S370" s="2">
        <v>0.35917287334994802</v>
      </c>
      <c r="T370" s="2">
        <v>4885.21016309265</v>
      </c>
      <c r="U370" s="2">
        <v>1281.8</v>
      </c>
      <c r="V370" s="2">
        <v>1652.2</v>
      </c>
      <c r="W370" s="2">
        <v>702.44204899625004</v>
      </c>
      <c r="X370" s="2">
        <v>35608.366653454803</v>
      </c>
      <c r="Y370" s="2">
        <v>-162.09885285427799</v>
      </c>
      <c r="Z370" s="2">
        <v>112.12993253298799</v>
      </c>
      <c r="AA370" s="2">
        <v>24.210413376095001</v>
      </c>
      <c r="AB370" s="2">
        <v>0.64469440540906497</v>
      </c>
      <c r="AC370" s="2">
        <v>3.5910636790113499</v>
      </c>
      <c r="AD370" s="2">
        <v>3.3723346766904299</v>
      </c>
      <c r="AE370" s="2">
        <v>0.35233791845315598</v>
      </c>
      <c r="AF370" s="2">
        <v>0.26566180166651199</v>
      </c>
      <c r="AG370" s="2">
        <v>0.98821867072880998</v>
      </c>
      <c r="AH370" s="2">
        <v>0.92870290065302596</v>
      </c>
      <c r="AI370" s="2">
        <v>-0.12148209823603499</v>
      </c>
      <c r="AJ370" s="2">
        <v>0.81057512922443198</v>
      </c>
      <c r="AK370" s="2">
        <v>3.7533800376858698E-3</v>
      </c>
      <c r="AL370" s="2">
        <v>8.59683429952503</v>
      </c>
      <c r="AM370" s="2">
        <v>7.2018457213162197</v>
      </c>
      <c r="AN370" s="2">
        <v>1233.0648740930401</v>
      </c>
      <c r="AO370" s="2">
        <v>0.17542536265372599</v>
      </c>
      <c r="AP370" s="2">
        <v>333.05662256366497</v>
      </c>
      <c r="AQ370" s="2">
        <v>35.6618009639596</v>
      </c>
      <c r="AR370" s="2">
        <v>678.52126902831105</v>
      </c>
      <c r="AS370" s="2">
        <v>13.5022051500925</v>
      </c>
      <c r="AT370" s="2">
        <v>10409.069284393199</v>
      </c>
      <c r="AU370" s="2">
        <v>2.1328081609887299E-2</v>
      </c>
      <c r="AV370" s="2">
        <v>2.2749911418942E-3</v>
      </c>
      <c r="AW370" s="2">
        <v>0.537719576885615</v>
      </c>
      <c r="AX370" s="2">
        <v>1.4719671729437401E-3</v>
      </c>
      <c r="AY370" s="2">
        <v>1849.6434099001401</v>
      </c>
      <c r="AZ370" s="2">
        <v>9.3605594822621693E-2</v>
      </c>
      <c r="BA370" s="2">
        <v>1.01338365150793</v>
      </c>
      <c r="BB370" s="2">
        <v>156</v>
      </c>
    </row>
    <row r="371" spans="1:54" ht="13" x14ac:dyDescent="0.15">
      <c r="A371" s="1" t="s">
        <v>1122</v>
      </c>
      <c r="B371" s="1" t="s">
        <v>1123</v>
      </c>
      <c r="C371" s="4" t="s">
        <v>1124</v>
      </c>
      <c r="D371" s="1" t="s">
        <v>14</v>
      </c>
      <c r="E371" s="2">
        <v>12445</v>
      </c>
      <c r="F371" s="2">
        <v>145794</v>
      </c>
      <c r="G371" s="2">
        <v>25344</v>
      </c>
      <c r="H371" s="2">
        <f t="shared" si="2"/>
        <v>183583</v>
      </c>
      <c r="I371" s="2">
        <v>249065</v>
      </c>
      <c r="J371" s="2">
        <v>1627962</v>
      </c>
      <c r="K371" s="2">
        <f t="shared" si="3"/>
        <v>0.11276860270694279</v>
      </c>
      <c r="M371" s="2">
        <v>0.84218815284158499</v>
      </c>
      <c r="N371" s="2">
        <v>0.70636347554277501</v>
      </c>
      <c r="O371" s="2">
        <v>24.818535988332201</v>
      </c>
      <c r="P371" s="2">
        <v>35.135644533802399</v>
      </c>
      <c r="Q371" s="2">
        <v>34.828149534536003</v>
      </c>
      <c r="R371" s="2">
        <v>29.590823568821602</v>
      </c>
      <c r="S371" s="2">
        <v>0.53344061643826202</v>
      </c>
      <c r="T371" s="2">
        <v>4850.1120001977497</v>
      </c>
      <c r="U371" s="2">
        <v>696</v>
      </c>
      <c r="V371" s="2">
        <v>1042</v>
      </c>
      <c r="W371" s="2">
        <v>747.56480217709498</v>
      </c>
      <c r="X371" s="2">
        <v>34116.7670422667</v>
      </c>
      <c r="Y371" s="2">
        <v>-596.99448993270903</v>
      </c>
      <c r="Z371" s="2">
        <v>106.421680038323</v>
      </c>
      <c r="AA371" s="2">
        <v>10.2509495073307</v>
      </c>
      <c r="AB371" s="2">
        <v>0.82408365327740196</v>
      </c>
      <c r="AC371" s="2">
        <v>2.2646649116585098</v>
      </c>
      <c r="AD371" s="2">
        <v>2.7917004684406299</v>
      </c>
      <c r="AE371" s="2">
        <v>0.45258515942974598</v>
      </c>
      <c r="AF371" s="2">
        <v>0.38234890438858199</v>
      </c>
      <c r="AG371" s="2">
        <v>0.99410822565539103</v>
      </c>
      <c r="AH371" s="2">
        <v>0.95003018784867999</v>
      </c>
      <c r="AI371" s="2">
        <v>-0.21625538794851501</v>
      </c>
      <c r="AJ371" s="2">
        <v>0.91657661310184302</v>
      </c>
      <c r="AK371" s="2">
        <v>6.7528898749846496E-3</v>
      </c>
      <c r="AL371" s="2">
        <v>7.82248885650466</v>
      </c>
      <c r="AM371" s="2">
        <v>7.6472315221886804</v>
      </c>
      <c r="AN371" s="2">
        <v>1335.58095620731</v>
      </c>
      <c r="AO371" s="2">
        <v>0.10731867868278901</v>
      </c>
      <c r="AP371" s="2">
        <v>657.93017276014496</v>
      </c>
      <c r="AQ371" s="2">
        <v>29.856251756826101</v>
      </c>
      <c r="AR371" s="2">
        <v>732.31707513057495</v>
      </c>
      <c r="AS371" s="2">
        <v>33.407713941341903</v>
      </c>
      <c r="AT371" s="2">
        <v>28403.175251104902</v>
      </c>
      <c r="AU371" s="2">
        <v>4.5628195496560102E-2</v>
      </c>
      <c r="AV371" s="2">
        <v>1.93128412547391E-3</v>
      </c>
      <c r="AW371" s="2">
        <v>0.59632110682202</v>
      </c>
      <c r="AX371" s="2">
        <v>1.24107436712256E-3</v>
      </c>
      <c r="AY371" s="2">
        <v>1059.90057547898</v>
      </c>
      <c r="AZ371" s="2">
        <v>5.0492429905153499E-2</v>
      </c>
      <c r="BA371" s="2">
        <v>0.95097642333880394</v>
      </c>
      <c r="BB371" s="2">
        <v>114</v>
      </c>
    </row>
    <row r="372" spans="1:54" ht="13" x14ac:dyDescent="0.15">
      <c r="A372" s="1" t="s">
        <v>1125</v>
      </c>
      <c r="B372" s="1" t="s">
        <v>1126</v>
      </c>
      <c r="C372" s="4" t="s">
        <v>1127</v>
      </c>
      <c r="D372" s="1" t="s">
        <v>14</v>
      </c>
      <c r="E372" s="2">
        <v>4679</v>
      </c>
      <c r="F372" s="2">
        <v>73548</v>
      </c>
      <c r="G372" s="2">
        <v>8378</v>
      </c>
      <c r="H372" s="2">
        <f t="shared" si="2"/>
        <v>86605</v>
      </c>
      <c r="I372" s="2">
        <v>117240</v>
      </c>
      <c r="J372" s="2">
        <v>1601298</v>
      </c>
      <c r="K372" s="2">
        <f t="shared" si="3"/>
        <v>5.4084249152874728E-2</v>
      </c>
      <c r="M372" s="2">
        <v>0.67087506802132701</v>
      </c>
      <c r="N372" s="2">
        <v>0.48720527984337397</v>
      </c>
      <c r="O372" s="2">
        <v>13.544927508760001</v>
      </c>
      <c r="P372" s="2">
        <v>27.801274060729501</v>
      </c>
      <c r="Q372" s="2">
        <v>25.495097567963899</v>
      </c>
      <c r="R372" s="2">
        <v>18.6511816265714</v>
      </c>
      <c r="S372" s="2">
        <v>0.75466645370470797</v>
      </c>
      <c r="T372" s="2">
        <v>1785.9909841410599</v>
      </c>
      <c r="U372" s="2">
        <v>1043.8</v>
      </c>
      <c r="V372" s="2">
        <v>1346</v>
      </c>
      <c r="W372" s="2">
        <v>830.87242276343102</v>
      </c>
      <c r="X372" s="2">
        <v>123481.189443257</v>
      </c>
      <c r="Y372" s="2">
        <v>-3173.32031579053</v>
      </c>
      <c r="Z372" s="2">
        <v>116.872306134716</v>
      </c>
      <c r="AA372" s="2">
        <v>12.3484594068516</v>
      </c>
      <c r="AB372" s="2">
        <v>0.80686234367978604</v>
      </c>
      <c r="AC372" s="2">
        <v>1.8599775598780901</v>
      </c>
      <c r="AD372" s="2">
        <v>2.5158150497660698</v>
      </c>
      <c r="AE372" s="2">
        <v>0.57315044734362497</v>
      </c>
      <c r="AF372" s="2">
        <v>0.53420670631329703</v>
      </c>
      <c r="AG372" s="2">
        <v>0.99192111629853597</v>
      </c>
      <c r="AH372" s="2">
        <v>0.95670640219604397</v>
      </c>
      <c r="AI372" s="2">
        <v>-0.23391805161121601</v>
      </c>
      <c r="AJ372" s="2">
        <v>0.89874873572966196</v>
      </c>
      <c r="AK372" s="2">
        <v>2.9844266090302499E-2</v>
      </c>
      <c r="AL372" s="2">
        <v>6.3557273049851402</v>
      </c>
      <c r="AM372" s="2">
        <v>7.4835704322212697</v>
      </c>
      <c r="AN372" s="2">
        <v>274.210942509083</v>
      </c>
      <c r="AO372" s="2">
        <v>5.8604604084010102E-2</v>
      </c>
      <c r="AP372" s="2">
        <v>523.85744817268596</v>
      </c>
      <c r="AQ372" s="2">
        <v>36.432189388399699</v>
      </c>
      <c r="AR372" s="2">
        <v>824.83073306261997</v>
      </c>
      <c r="AS372" s="2">
        <v>97.399230604830095</v>
      </c>
      <c r="AT372" s="2">
        <v>88452.658901474701</v>
      </c>
      <c r="AU372" s="2">
        <v>0.118081166810728</v>
      </c>
      <c r="AV372" s="2">
        <v>2.8541503698335199E-3</v>
      </c>
      <c r="AW372" s="2">
        <v>0.29457995912915402</v>
      </c>
      <c r="AX372" s="2">
        <v>2.10832298915098E-3</v>
      </c>
      <c r="AY372" s="2">
        <v>916.39284028072302</v>
      </c>
      <c r="AZ372" s="2">
        <v>7.4864640403174199E-2</v>
      </c>
      <c r="BA372" s="2">
        <v>2.6908504061982499</v>
      </c>
      <c r="BB372" s="2">
        <v>512</v>
      </c>
    </row>
    <row r="373" spans="1:54" ht="13" x14ac:dyDescent="0.15">
      <c r="A373" s="1" t="s">
        <v>1128</v>
      </c>
      <c r="B373" s="1" t="s">
        <v>1129</v>
      </c>
      <c r="C373" s="4" t="s">
        <v>1130</v>
      </c>
      <c r="D373" s="1" t="s">
        <v>14</v>
      </c>
      <c r="E373" s="2">
        <v>0</v>
      </c>
      <c r="F373" s="2">
        <v>189048</v>
      </c>
      <c r="G373" s="2">
        <v>159</v>
      </c>
      <c r="H373" s="2">
        <f t="shared" si="2"/>
        <v>189207</v>
      </c>
      <c r="I373" s="2">
        <v>479738</v>
      </c>
      <c r="J373" s="2">
        <v>1533490</v>
      </c>
      <c r="K373" s="2">
        <f t="shared" si="3"/>
        <v>0.12338326301443113</v>
      </c>
      <c r="M373" s="2">
        <v>0.69965567818022201</v>
      </c>
      <c r="N373" s="2">
        <v>0.61723674226602199</v>
      </c>
      <c r="O373" s="2">
        <v>64.634668261730894</v>
      </c>
      <c r="P373" s="2">
        <v>104.71617101801399</v>
      </c>
      <c r="Q373" s="2">
        <v>124.31009613060399</v>
      </c>
      <c r="R373" s="2">
        <v>73.265263650045</v>
      </c>
      <c r="S373" s="2">
        <v>0.34645395136482598</v>
      </c>
      <c r="T373" s="2">
        <v>45968.771032607001</v>
      </c>
      <c r="U373" s="2">
        <v>649</v>
      </c>
      <c r="V373" s="2">
        <v>951</v>
      </c>
      <c r="W373" s="2">
        <v>624.58161036072397</v>
      </c>
      <c r="X373" s="2">
        <v>24021.973652833</v>
      </c>
      <c r="Y373" s="2">
        <v>111.386869491021</v>
      </c>
      <c r="Z373" s="2">
        <v>84.205955464989799</v>
      </c>
      <c r="AA373" s="2">
        <v>7.3567529290201401</v>
      </c>
      <c r="AB373" s="2">
        <v>0.83919254077937</v>
      </c>
      <c r="AC373" s="2">
        <v>1.8867915090473999</v>
      </c>
      <c r="AD373" s="2">
        <v>2.5615740044364501</v>
      </c>
      <c r="AE373" s="2">
        <v>0.49062150991902398</v>
      </c>
      <c r="AF373" s="2">
        <v>0.428668096348153</v>
      </c>
      <c r="AG373" s="2">
        <v>0.998228162525302</v>
      </c>
      <c r="AH373" s="2">
        <v>0.97216125023770295</v>
      </c>
      <c r="AI373" s="2">
        <v>-0.23550863119525001</v>
      </c>
      <c r="AJ373" s="2">
        <v>0.92638891341333396</v>
      </c>
      <c r="AK373" s="2">
        <v>8.2130243905191493E-3</v>
      </c>
      <c r="AL373" s="2">
        <v>7.5700309614597696</v>
      </c>
      <c r="AM373" s="2">
        <v>7.8939928844046099</v>
      </c>
      <c r="AN373" s="2">
        <v>17363.1312470907</v>
      </c>
      <c r="AO373" s="2">
        <v>9.1845093558729496E-2</v>
      </c>
      <c r="AP373" s="2">
        <v>11196.026670475199</v>
      </c>
      <c r="AQ373" s="2">
        <v>23.9637591674691</v>
      </c>
      <c r="AR373" s="2">
        <v>610.27533748042799</v>
      </c>
      <c r="AS373" s="2">
        <v>44.731010113833499</v>
      </c>
      <c r="AT373" s="2">
        <v>27718.6653125132</v>
      </c>
      <c r="AU373" s="2">
        <v>8.34616941588706E-2</v>
      </c>
      <c r="AV373" s="2">
        <v>1.9785434009162201E-3</v>
      </c>
      <c r="AW373" s="2">
        <v>5.9118265190162402</v>
      </c>
      <c r="AX373" s="41">
        <v>8.8424034851635798E-5</v>
      </c>
      <c r="AY373" s="2">
        <v>1729.1623687128699</v>
      </c>
      <c r="AZ373" s="2">
        <v>1.8447452322714601E-2</v>
      </c>
      <c r="BA373" s="2">
        <v>0.16538157942336801</v>
      </c>
      <c r="BB373" s="2">
        <v>287</v>
      </c>
    </row>
    <row r="374" spans="1:54" ht="13" x14ac:dyDescent="0.15">
      <c r="A374" s="1" t="s">
        <v>1131</v>
      </c>
      <c r="B374" s="1" t="s">
        <v>1132</v>
      </c>
      <c r="C374" s="4" t="s">
        <v>1133</v>
      </c>
      <c r="D374" s="1" t="s">
        <v>14</v>
      </c>
      <c r="E374" s="2">
        <v>15105</v>
      </c>
      <c r="F374" s="2">
        <v>75489</v>
      </c>
      <c r="G374" s="2">
        <v>21058</v>
      </c>
      <c r="H374" s="2">
        <f t="shared" si="2"/>
        <v>111652</v>
      </c>
      <c r="I374" s="2">
        <v>221305</v>
      </c>
      <c r="J374" s="2">
        <v>1447132</v>
      </c>
      <c r="K374" s="2">
        <f t="shared" si="3"/>
        <v>7.7153984570861533E-2</v>
      </c>
      <c r="M374" s="2">
        <v>0.35315164896391099</v>
      </c>
      <c r="N374" s="2">
        <v>0.32016918262248101</v>
      </c>
      <c r="O374" s="2">
        <v>27.730640310368599</v>
      </c>
      <c r="P374" s="2">
        <v>86.6124593354957</v>
      </c>
      <c r="Q374" s="2">
        <v>94.625577937468904</v>
      </c>
      <c r="R374" s="2">
        <v>30.587332835150001</v>
      </c>
      <c r="S374" s="2">
        <v>0.42130933027673201</v>
      </c>
      <c r="T374" s="2">
        <v>6957.9238976807101</v>
      </c>
      <c r="U374" s="2">
        <v>586</v>
      </c>
      <c r="V374" s="2">
        <v>1267</v>
      </c>
      <c r="W374" s="2">
        <v>1365.3901456061801</v>
      </c>
      <c r="X374" s="2">
        <v>700630.02043865703</v>
      </c>
      <c r="Y374" s="2">
        <v>-3544.6199331784501</v>
      </c>
      <c r="Z374" s="2">
        <v>461.98957673341403</v>
      </c>
      <c r="AA374" s="2">
        <v>32.4798270264967</v>
      </c>
      <c r="AB374" s="2">
        <v>0.86893467843632</v>
      </c>
      <c r="AC374" s="2">
        <v>4.0267105444822198</v>
      </c>
      <c r="AD374" s="2">
        <v>3.5344756856794501</v>
      </c>
      <c r="AE374" s="2">
        <v>0.33975621196273398</v>
      </c>
      <c r="AF374" s="2">
        <v>0.25317549261404598</v>
      </c>
      <c r="AG374" s="2">
        <v>0.99264454801678004</v>
      </c>
      <c r="AH374" s="2">
        <v>0.944566560681939</v>
      </c>
      <c r="AI374" s="2">
        <v>-0.21898237091620801</v>
      </c>
      <c r="AJ374" s="2">
        <v>0.94864939004010795</v>
      </c>
      <c r="AK374" s="2">
        <v>2.1574956682288999E-3</v>
      </c>
      <c r="AL374" s="2">
        <v>9.5986963901492608</v>
      </c>
      <c r="AM374" s="2">
        <v>7.9888610641562297</v>
      </c>
      <c r="AN374" s="2">
        <v>2587.0079443892801</v>
      </c>
      <c r="AO374" s="2">
        <v>0.171268318066155</v>
      </c>
      <c r="AP374" s="2">
        <v>466.32115193644501</v>
      </c>
      <c r="AQ374" s="2">
        <v>115.969516748095</v>
      </c>
      <c r="AR374" s="2">
        <v>1374.5161866931501</v>
      </c>
      <c r="AS374" s="2">
        <v>14.1249255213505</v>
      </c>
      <c r="AT374" s="2">
        <v>20844.361800728198</v>
      </c>
      <c r="AU374" s="2">
        <v>3.30258540447807E-2</v>
      </c>
      <c r="AV374" s="2">
        <v>2.1871521735739299E-3</v>
      </c>
      <c r="AW374" s="2">
        <v>0.36698914803189903</v>
      </c>
      <c r="AX374" s="2">
        <v>1.04878431572845E-3</v>
      </c>
      <c r="AY374" s="2">
        <v>3947.15050511665</v>
      </c>
      <c r="AZ374" s="2">
        <v>0.13086330787879399</v>
      </c>
      <c r="BA374" s="2">
        <v>1.73842231272783</v>
      </c>
      <c r="BB374" s="2">
        <v>285</v>
      </c>
    </row>
    <row r="375" spans="1:54" ht="13" x14ac:dyDescent="0.15">
      <c r="A375" s="1" t="s">
        <v>1134</v>
      </c>
      <c r="B375" s="1" t="s">
        <v>1135</v>
      </c>
      <c r="C375" s="4" t="s">
        <v>1136</v>
      </c>
      <c r="D375" s="1" t="s">
        <v>14</v>
      </c>
      <c r="E375" s="2">
        <v>816</v>
      </c>
      <c r="F375" s="2">
        <v>7727</v>
      </c>
      <c r="G375" s="2">
        <v>11483</v>
      </c>
      <c r="H375" s="2">
        <f t="shared" si="2"/>
        <v>20026</v>
      </c>
      <c r="I375" s="2">
        <v>22147</v>
      </c>
      <c r="J375" s="2">
        <v>1707198</v>
      </c>
      <c r="K375" s="2">
        <f t="shared" si="3"/>
        <v>1.1730332392610582E-2</v>
      </c>
      <c r="M375" s="2">
        <v>0.50658957529371695</v>
      </c>
      <c r="N375" s="2">
        <v>0.38416801368972497</v>
      </c>
      <c r="O375" s="2">
        <v>9.4837741253223609</v>
      </c>
      <c r="P375" s="2">
        <v>24.6865272156206</v>
      </c>
      <c r="Q375" s="2">
        <v>30.066592756745798</v>
      </c>
      <c r="R375" s="2">
        <v>12.505937337638001</v>
      </c>
      <c r="S375" s="2">
        <v>0.43361126782756398</v>
      </c>
      <c r="T375" s="2">
        <v>940.41588276308801</v>
      </c>
      <c r="U375" s="2">
        <v>764</v>
      </c>
      <c r="V375" s="2">
        <v>1087</v>
      </c>
      <c r="W375" s="2">
        <v>185.020409411869</v>
      </c>
      <c r="X375" s="2">
        <v>21410.136330654001</v>
      </c>
      <c r="Y375" s="2">
        <v>36.458916204862398</v>
      </c>
      <c r="Z375" s="2">
        <v>103.018266263738</v>
      </c>
      <c r="AA375" s="2">
        <v>13.1382163405145</v>
      </c>
      <c r="AB375" s="2">
        <v>0.77392226556897503</v>
      </c>
      <c r="AC375" s="2">
        <v>2.61858071146106</v>
      </c>
      <c r="AD375" s="2">
        <v>2.957117050331</v>
      </c>
      <c r="AE375" s="2">
        <v>0.42296246161941797</v>
      </c>
      <c r="AF375" s="2">
        <v>0.34606652222483902</v>
      </c>
      <c r="AG375" s="2">
        <v>0.98540169320513404</v>
      </c>
      <c r="AH375" s="2">
        <v>0.92238349979676604</v>
      </c>
      <c r="AI375" s="2">
        <v>-0.26056570876903801</v>
      </c>
      <c r="AJ375" s="2">
        <v>0.94482853488630103</v>
      </c>
      <c r="AK375" s="2">
        <v>7.9432168984144499E-3</v>
      </c>
      <c r="AL375" s="2">
        <v>7.5203651855912899</v>
      </c>
      <c r="AM375" s="2">
        <v>6.8311956945599199</v>
      </c>
      <c r="AN375" s="2">
        <v>127.127450980392</v>
      </c>
      <c r="AO375" s="2">
        <v>0.155793444828912</v>
      </c>
      <c r="AP375" s="2">
        <v>49.529411764705898</v>
      </c>
      <c r="AQ375" s="2">
        <v>26.816355187908499</v>
      </c>
      <c r="AR375" s="2">
        <v>176.36887254902001</v>
      </c>
      <c r="AS375" s="2">
        <v>18.5</v>
      </c>
      <c r="AT375" s="2">
        <v>2304.2218137254899</v>
      </c>
      <c r="AU375" s="2">
        <v>0.31839680567835599</v>
      </c>
      <c r="AV375" s="2">
        <v>1.5655789788118799E-2</v>
      </c>
      <c r="AW375" s="2">
        <v>0.19463853278538601</v>
      </c>
      <c r="AX375" s="2">
        <v>1.52539176238701E-2</v>
      </c>
      <c r="AY375" s="2">
        <v>527.62032288811497</v>
      </c>
      <c r="AZ375" s="2">
        <v>0.10382656201093</v>
      </c>
      <c r="BA375" s="2">
        <v>4.7249139270540601</v>
      </c>
      <c r="BB375" s="2">
        <v>307</v>
      </c>
    </row>
    <row r="376" spans="1:54" ht="13" x14ac:dyDescent="0.15">
      <c r="A376" s="1" t="s">
        <v>1137</v>
      </c>
      <c r="B376" s="1" t="s">
        <v>1138</v>
      </c>
      <c r="C376" s="4" t="s">
        <v>1139</v>
      </c>
      <c r="D376" s="1" t="s">
        <v>14</v>
      </c>
      <c r="E376" s="2">
        <v>25231</v>
      </c>
      <c r="F376" s="2">
        <v>24317</v>
      </c>
      <c r="G376" s="2">
        <v>26455</v>
      </c>
      <c r="H376" s="2">
        <f t="shared" si="2"/>
        <v>76003</v>
      </c>
      <c r="I376" s="2">
        <v>209845</v>
      </c>
      <c r="J376" s="2">
        <v>1489063</v>
      </c>
      <c r="K376" s="2">
        <f t="shared" si="3"/>
        <v>5.1040822315778445E-2</v>
      </c>
      <c r="M376" s="2">
        <v>0.56038756669661105</v>
      </c>
      <c r="N376" s="2">
        <v>0.46273379614777999</v>
      </c>
      <c r="O376" s="2">
        <v>28.007068210457302</v>
      </c>
      <c r="P376" s="2">
        <v>60.525227341538098</v>
      </c>
      <c r="Q376" s="2">
        <v>45.891175622335098</v>
      </c>
      <c r="R376" s="2">
        <v>33.917584873683701</v>
      </c>
      <c r="S376" s="2">
        <v>0.43310774544993802</v>
      </c>
      <c r="T376" s="2">
        <v>9587.8271760682092</v>
      </c>
      <c r="U376" s="2">
        <v>555</v>
      </c>
      <c r="V376" s="2">
        <v>975</v>
      </c>
      <c r="W376" s="2">
        <v>816.66195331351196</v>
      </c>
      <c r="X376" s="2">
        <v>82247.409355404699</v>
      </c>
      <c r="Y376" s="2">
        <v>-21.237727825303001</v>
      </c>
      <c r="Z376" s="2">
        <v>155.37818889872401</v>
      </c>
      <c r="AA376" s="2">
        <v>27.123071281641199</v>
      </c>
      <c r="AB376" s="2">
        <v>0.70222390675439295</v>
      </c>
      <c r="AC376" s="2">
        <v>3.77825410428918</v>
      </c>
      <c r="AD376" s="2">
        <v>3.4471282787517299</v>
      </c>
      <c r="AE376" s="2">
        <v>0.34536368826806702</v>
      </c>
      <c r="AF376" s="2">
        <v>0.258228324607017</v>
      </c>
      <c r="AG376" s="2">
        <v>0.99296719855441196</v>
      </c>
      <c r="AH376" s="2">
        <v>0.94432210700780095</v>
      </c>
      <c r="AI376" s="2">
        <v>-0.127964010782812</v>
      </c>
      <c r="AJ376" s="2">
        <v>0.83092716814346002</v>
      </c>
      <c r="AK376" s="2">
        <v>3.1266284703071602E-3</v>
      </c>
      <c r="AL376" s="2">
        <v>8.9710035118434899</v>
      </c>
      <c r="AM376" s="2">
        <v>7.55871014902044</v>
      </c>
      <c r="AN376" s="2">
        <v>4150.5916134913396</v>
      </c>
      <c r="AO376" s="2">
        <v>0.16450365080620399</v>
      </c>
      <c r="AP376" s="2">
        <v>1074.6063572589301</v>
      </c>
      <c r="AQ376" s="2">
        <v>47.318323624119202</v>
      </c>
      <c r="AR376" s="2">
        <v>835.76136498751498</v>
      </c>
      <c r="AS376" s="2">
        <v>14.9985731837819</v>
      </c>
      <c r="AT376" s="2">
        <v>12471.387697673499</v>
      </c>
      <c r="AU376" s="2">
        <v>2.2176295837166699E-2</v>
      </c>
      <c r="AV376" s="2">
        <v>1.78739342409386E-3</v>
      </c>
      <c r="AW376" s="2">
        <v>0.938003668796909</v>
      </c>
      <c r="AX376" s="2">
        <v>4.73339904013332E-4</v>
      </c>
      <c r="AY376" s="2">
        <v>3878.2551230375002</v>
      </c>
      <c r="AZ376" s="2">
        <v>6.0472073023875798E-2</v>
      </c>
      <c r="BA376" s="2">
        <v>0.75639895428283099</v>
      </c>
      <c r="BB376" s="2">
        <v>602</v>
      </c>
    </row>
    <row r="377" spans="1:54" ht="13" x14ac:dyDescent="0.15">
      <c r="A377" s="1" t="s">
        <v>1140</v>
      </c>
      <c r="B377" s="1" t="s">
        <v>1141</v>
      </c>
      <c r="C377" s="4" t="s">
        <v>1142</v>
      </c>
      <c r="D377" s="1" t="s">
        <v>14</v>
      </c>
      <c r="E377" s="2">
        <v>5795</v>
      </c>
      <c r="F377" s="2">
        <v>147854</v>
      </c>
      <c r="G377" s="2">
        <v>27542</v>
      </c>
      <c r="H377" s="2">
        <f t="shared" si="2"/>
        <v>181191</v>
      </c>
      <c r="I377" s="2">
        <v>374759</v>
      </c>
      <c r="J377" s="2">
        <v>1738430</v>
      </c>
      <c r="K377" s="2">
        <f t="shared" si="3"/>
        <v>0.10422680234464431</v>
      </c>
      <c r="M377" s="2">
        <v>0.729096366564286</v>
      </c>
      <c r="N377" s="2">
        <v>0.41598240903818301</v>
      </c>
      <c r="O377" s="2">
        <v>15.753446620833801</v>
      </c>
      <c r="P377" s="2">
        <v>37.8704634584386</v>
      </c>
      <c r="Q377" s="2">
        <v>35.1283361405006</v>
      </c>
      <c r="R377" s="2">
        <v>27.611217307653099</v>
      </c>
      <c r="S377" s="2">
        <v>0.37460847580933498</v>
      </c>
      <c r="T377" s="2">
        <v>4124.6149434546296</v>
      </c>
      <c r="U377" s="2">
        <v>629</v>
      </c>
      <c r="V377" s="2">
        <v>1381.6</v>
      </c>
      <c r="W377" s="2">
        <v>1103.1856503635299</v>
      </c>
      <c r="X377" s="2">
        <v>537098.36152482498</v>
      </c>
      <c r="Y377" s="2">
        <v>-618.03566763799301</v>
      </c>
      <c r="Z377" s="2">
        <v>491.29526646807602</v>
      </c>
      <c r="AA377" s="2">
        <v>36.821353763022898</v>
      </c>
      <c r="AB377" s="2">
        <v>0.86003346384351798</v>
      </c>
      <c r="AC377" s="2">
        <v>4.3999790405486303</v>
      </c>
      <c r="AD377" s="2">
        <v>3.6400138263936999</v>
      </c>
      <c r="AE377" s="2">
        <v>0.31759327702906098</v>
      </c>
      <c r="AF377" s="2">
        <v>0.22876119843739201</v>
      </c>
      <c r="AG377" s="2">
        <v>0.99169774282041601</v>
      </c>
      <c r="AH377" s="2">
        <v>0.93966790102120601</v>
      </c>
      <c r="AI377" s="2">
        <v>-0.22484703012773899</v>
      </c>
      <c r="AJ377" s="2">
        <v>0.95414539348570904</v>
      </c>
      <c r="AK377" s="2">
        <v>1.55067057712995E-3</v>
      </c>
      <c r="AL377" s="2">
        <v>9.7723579360031305</v>
      </c>
      <c r="AM377" s="2">
        <v>7.9313647977479302</v>
      </c>
      <c r="AN377" s="2">
        <v>1166.62415875755</v>
      </c>
      <c r="AO377" s="2">
        <v>0.20131564430673901</v>
      </c>
      <c r="AP377" s="2">
        <v>138.48714408973299</v>
      </c>
      <c r="AQ377" s="2">
        <v>138.13099734158399</v>
      </c>
      <c r="AR377" s="2">
        <v>1113.3808455565099</v>
      </c>
      <c r="AS377" s="2">
        <v>10.515789473684199</v>
      </c>
      <c r="AT377" s="2">
        <v>11435.498533218301</v>
      </c>
      <c r="AU377" s="2">
        <v>2.2667976365103999E-2</v>
      </c>
      <c r="AV377" s="2">
        <v>2.4063098624984699E-3</v>
      </c>
      <c r="AW377" s="2">
        <v>0.18902385382278999</v>
      </c>
      <c r="AX377" s="2">
        <v>2.8404558993042998E-3</v>
      </c>
      <c r="AY377" s="2">
        <v>4505.3230165692403</v>
      </c>
      <c r="AZ377" s="2">
        <v>0.179851233080947</v>
      </c>
      <c r="BA377" s="2">
        <v>4.0858910510404503</v>
      </c>
      <c r="BB377" s="2">
        <v>252</v>
      </c>
    </row>
    <row r="378" spans="1:54" ht="13" x14ac:dyDescent="0.15">
      <c r="A378" s="1" t="s">
        <v>1143</v>
      </c>
      <c r="B378" s="1" t="s">
        <v>1144</v>
      </c>
      <c r="C378" s="4" t="s">
        <v>1145</v>
      </c>
      <c r="D378" s="1" t="s">
        <v>14</v>
      </c>
      <c r="E378" s="2">
        <v>4688</v>
      </c>
      <c r="F378" s="2">
        <v>134237</v>
      </c>
      <c r="G378" s="2">
        <v>34578</v>
      </c>
      <c r="H378" s="2">
        <f t="shared" si="2"/>
        <v>173503</v>
      </c>
      <c r="I378" s="2">
        <v>272203</v>
      </c>
      <c r="J378" s="2">
        <v>1394703</v>
      </c>
      <c r="K378" s="2">
        <f t="shared" si="3"/>
        <v>0.1244013958527371</v>
      </c>
      <c r="M378" s="2">
        <v>0.51418833406998599</v>
      </c>
      <c r="N378" s="2">
        <v>0.41463224316926101</v>
      </c>
      <c r="O378" s="2">
        <v>17.252250600225501</v>
      </c>
      <c r="P378" s="2">
        <v>41.608560078099899</v>
      </c>
      <c r="Q378" s="2">
        <v>35.171010790137998</v>
      </c>
      <c r="R378" s="2">
        <v>21.394636189609098</v>
      </c>
      <c r="S378" s="2">
        <v>0.339914062133582</v>
      </c>
      <c r="T378" s="2">
        <v>3899.5696233611802</v>
      </c>
      <c r="U378" s="2">
        <v>221</v>
      </c>
      <c r="V378" s="2">
        <v>447</v>
      </c>
      <c r="W378" s="2">
        <v>98.825857777114194</v>
      </c>
      <c r="X378" s="2">
        <v>3995.1020973761101</v>
      </c>
      <c r="Y378" s="2">
        <v>-38.884063009403498</v>
      </c>
      <c r="Z378" s="2">
        <v>37.449253479462598</v>
      </c>
      <c r="AA378" s="2">
        <v>6.1283519395679198</v>
      </c>
      <c r="AB378" s="2">
        <v>0.71646264421961703</v>
      </c>
      <c r="AC378" s="2">
        <v>1.8087439924583399</v>
      </c>
      <c r="AD378" s="2">
        <v>2.4848590731755</v>
      </c>
      <c r="AE378" s="2">
        <v>0.49227347777745301</v>
      </c>
      <c r="AF378" s="2">
        <v>0.42947065941194401</v>
      </c>
      <c r="AG378" s="2">
        <v>0.98560829574586994</v>
      </c>
      <c r="AH378" s="2">
        <v>0.92209112637083701</v>
      </c>
      <c r="AI378" s="2">
        <v>-0.169369015414054</v>
      </c>
      <c r="AJ378" s="2">
        <v>0.82906311272042599</v>
      </c>
      <c r="AK378" s="2">
        <v>1.24148427083306E-2</v>
      </c>
      <c r="AL378" s="2">
        <v>6.8389685502495299</v>
      </c>
      <c r="AM378" s="2">
        <v>7.0471211527079198</v>
      </c>
      <c r="AN378" s="2">
        <v>530.96416382252596</v>
      </c>
      <c r="AO378" s="2">
        <v>0.113260273852928</v>
      </c>
      <c r="AP378" s="2">
        <v>378.02687713310598</v>
      </c>
      <c r="AQ378" s="2">
        <v>12.067611764187699</v>
      </c>
      <c r="AR378" s="2">
        <v>95.282636518771298</v>
      </c>
      <c r="AS378" s="2">
        <v>31.528583617747401</v>
      </c>
      <c r="AT378" s="2">
        <v>3095.6128412969301</v>
      </c>
      <c r="AU378" s="2">
        <v>0.72920921369984004</v>
      </c>
      <c r="AV378" s="2">
        <v>2.5310735075049499E-2</v>
      </c>
      <c r="AW378" s="2">
        <v>2.0556681266259398</v>
      </c>
      <c r="AX378" s="2">
        <v>2.7133652009346601E-3</v>
      </c>
      <c r="AY378" s="2">
        <v>176.074639816814</v>
      </c>
      <c r="AZ378" s="2">
        <v>6.956684619504E-2</v>
      </c>
      <c r="BA378" s="2">
        <v>0.36781192129232099</v>
      </c>
      <c r="BB378" s="2">
        <v>54</v>
      </c>
    </row>
    <row r="379" spans="1:54" ht="13" x14ac:dyDescent="0.15">
      <c r="A379" s="1" t="s">
        <v>1146</v>
      </c>
      <c r="B379" s="1" t="s">
        <v>1147</v>
      </c>
      <c r="C379" s="4" t="s">
        <v>1148</v>
      </c>
      <c r="D379" s="1" t="s">
        <v>14</v>
      </c>
      <c r="E379" s="2">
        <v>968</v>
      </c>
      <c r="F379" s="2">
        <v>55239</v>
      </c>
      <c r="G379" s="2">
        <v>16495</v>
      </c>
      <c r="H379" s="2">
        <f t="shared" si="2"/>
        <v>72702</v>
      </c>
      <c r="I379" s="2">
        <v>97215</v>
      </c>
      <c r="J379" s="2">
        <v>1802338</v>
      </c>
      <c r="K379" s="2">
        <f t="shared" si="3"/>
        <v>4.0337605931850741E-2</v>
      </c>
      <c r="M379" s="2">
        <v>0.48032295189143498</v>
      </c>
      <c r="N379" s="2">
        <v>0.37828336580959299</v>
      </c>
      <c r="O379" s="2">
        <v>14.688297861166101</v>
      </c>
      <c r="P379" s="2">
        <v>38.828823016657203</v>
      </c>
      <c r="Q379" s="2">
        <v>35.902646142032502</v>
      </c>
      <c r="R379" s="2">
        <v>18.6503748898309</v>
      </c>
      <c r="S379" s="2">
        <v>0.275819873330576</v>
      </c>
      <c r="T379" s="2">
        <v>1572.7089534599399</v>
      </c>
      <c r="U379" s="2">
        <v>1325</v>
      </c>
      <c r="V379" s="2">
        <v>1971</v>
      </c>
      <c r="W379" s="2">
        <v>543.80324697840899</v>
      </c>
      <c r="X379" s="2">
        <v>505665.54267741501</v>
      </c>
      <c r="Y379" s="2">
        <v>3002.3607823012899</v>
      </c>
      <c r="Z379" s="2">
        <v>409.10237273186902</v>
      </c>
      <c r="AA379" s="2">
        <v>36.927455883288403</v>
      </c>
      <c r="AB379" s="2">
        <v>0.83317870949120698</v>
      </c>
      <c r="AC379" s="2">
        <v>4.3407493597274396</v>
      </c>
      <c r="AD379" s="2">
        <v>3.6011281955317598</v>
      </c>
      <c r="AE379" s="2">
        <v>0.32654259618443698</v>
      </c>
      <c r="AF379" s="2">
        <v>0.24038880095401699</v>
      </c>
      <c r="AG379" s="2">
        <v>0.99055845119093999</v>
      </c>
      <c r="AH379" s="2">
        <v>0.93714407639622099</v>
      </c>
      <c r="AI379" s="2">
        <v>-0.36494966301277498</v>
      </c>
      <c r="AJ379" s="2">
        <v>0.98904730648406503</v>
      </c>
      <c r="AK379" s="2">
        <v>3.1694215520439899E-3</v>
      </c>
      <c r="AL379" s="2">
        <v>8.6079141377218509</v>
      </c>
      <c r="AM379" s="2">
        <v>6.9975194969965804</v>
      </c>
      <c r="AN379" s="2">
        <v>271.44421487603302</v>
      </c>
      <c r="AO379" s="2">
        <v>0.28041757735127398</v>
      </c>
      <c r="AP379" s="2">
        <v>28.020661157024801</v>
      </c>
      <c r="AQ379" s="2">
        <v>105.653763404139</v>
      </c>
      <c r="AR379" s="2">
        <v>533.04958677686</v>
      </c>
      <c r="AS379" s="2">
        <v>6.34710743801653</v>
      </c>
      <c r="AT379" s="2">
        <v>2435.1342975206599</v>
      </c>
      <c r="AU379" s="2">
        <v>7.1698568177979094E-2</v>
      </c>
      <c r="AV379" s="2">
        <v>8.6816108485125096E-3</v>
      </c>
      <c r="AW379" s="2">
        <v>7.4862507632695904E-2</v>
      </c>
      <c r="AX379" s="2">
        <v>1.36406678893076E-2</v>
      </c>
      <c r="AY379" s="2">
        <v>3325.3017505418102</v>
      </c>
      <c r="AZ379" s="2">
        <v>0.20968109774577201</v>
      </c>
      <c r="BA379" s="2">
        <v>16.346721679891601</v>
      </c>
      <c r="BB379" s="2">
        <v>15</v>
      </c>
    </row>
    <row r="380" spans="1:54" ht="13" x14ac:dyDescent="0.15">
      <c r="A380" s="1" t="s">
        <v>1149</v>
      </c>
      <c r="B380" s="1" t="s">
        <v>1150</v>
      </c>
      <c r="C380" s="4" t="s">
        <v>1151</v>
      </c>
      <c r="D380" s="1" t="s">
        <v>14</v>
      </c>
      <c r="E380" s="2">
        <v>7364</v>
      </c>
      <c r="F380" s="2">
        <v>62030</v>
      </c>
      <c r="G380" s="2">
        <v>12396</v>
      </c>
      <c r="H380" s="2">
        <f t="shared" si="2"/>
        <v>81790</v>
      </c>
      <c r="I380" s="2">
        <v>113137</v>
      </c>
      <c r="J380" s="2">
        <v>1660725</v>
      </c>
      <c r="K380" s="2">
        <f t="shared" si="3"/>
        <v>4.9249574733926445E-2</v>
      </c>
      <c r="M380" s="2">
        <v>0.899569455963807</v>
      </c>
      <c r="N380" s="2">
        <v>0.69402355395363702</v>
      </c>
      <c r="O380" s="2">
        <v>19.143689836605901</v>
      </c>
      <c r="P380" s="2">
        <v>27.5836313156092</v>
      </c>
      <c r="Q380" s="2">
        <v>33.615472627943198</v>
      </c>
      <c r="R380" s="2">
        <v>24.813392216088801</v>
      </c>
      <c r="S380" s="2">
        <v>0.53414579863502998</v>
      </c>
      <c r="T380" s="2">
        <v>3409.0409485489599</v>
      </c>
      <c r="U380" s="2">
        <v>353</v>
      </c>
      <c r="V380" s="2">
        <v>749</v>
      </c>
      <c r="W380" s="2">
        <v>244.99385459456801</v>
      </c>
      <c r="X380" s="2">
        <v>35463.6510223925</v>
      </c>
      <c r="Y380" s="2">
        <v>658.74057834350299</v>
      </c>
      <c r="Z380" s="2">
        <v>132.274594674089</v>
      </c>
      <c r="AA380" s="2">
        <v>9.4424204499281306</v>
      </c>
      <c r="AB380" s="2">
        <v>0.866935799240524</v>
      </c>
      <c r="AC380" s="2">
        <v>2.2780839797120001</v>
      </c>
      <c r="AD380" s="2">
        <v>2.7631222827626098</v>
      </c>
      <c r="AE380" s="2">
        <v>0.438097515204879</v>
      </c>
      <c r="AF380" s="2">
        <v>0.363367081412035</v>
      </c>
      <c r="AG380" s="2">
        <v>0.98854355546996597</v>
      </c>
      <c r="AH380" s="2">
        <v>0.92870058095258101</v>
      </c>
      <c r="AI380" s="2">
        <v>-0.22347285298036801</v>
      </c>
      <c r="AJ380" s="2">
        <v>0.92258938487388797</v>
      </c>
      <c r="AK380" s="2">
        <v>6.1964733448412398E-3</v>
      </c>
      <c r="AL380" s="2">
        <v>7.8458795843160001</v>
      </c>
      <c r="AM380" s="2">
        <v>7.40600135151558</v>
      </c>
      <c r="AN380" s="2">
        <v>953.37126561651303</v>
      </c>
      <c r="AO380" s="2">
        <v>0.12946377860083</v>
      </c>
      <c r="AP380" s="2">
        <v>407.435089625204</v>
      </c>
      <c r="AQ380" s="2">
        <v>34.284776549952603</v>
      </c>
      <c r="AR380" s="2">
        <v>235.09722976643101</v>
      </c>
      <c r="AS380" s="2">
        <v>26.2308527973927</v>
      </c>
      <c r="AT380" s="2">
        <v>7276.1376969038602</v>
      </c>
      <c r="AU380" s="2">
        <v>0.203285510300174</v>
      </c>
      <c r="AV380" s="2">
        <v>9.4999702864302094E-3</v>
      </c>
      <c r="AW380" s="2">
        <v>1.6274100291571301</v>
      </c>
      <c r="AX380" s="2">
        <v>2.1142717582177599E-3</v>
      </c>
      <c r="AY380" s="2">
        <v>381.906343079198</v>
      </c>
      <c r="AZ380" s="2">
        <v>0.11431894368140399</v>
      </c>
      <c r="BA380" s="2">
        <v>0.60119162706012197</v>
      </c>
      <c r="BB380" s="2">
        <v>300</v>
      </c>
    </row>
    <row r="381" spans="1:54" ht="13" x14ac:dyDescent="0.15">
      <c r="A381" s="1" t="s">
        <v>1152</v>
      </c>
      <c r="B381" s="1" t="s">
        <v>1153</v>
      </c>
      <c r="C381" s="4" t="s">
        <v>1154</v>
      </c>
      <c r="D381" s="1" t="s">
        <v>14</v>
      </c>
      <c r="E381" s="2">
        <v>37534</v>
      </c>
      <c r="F381" s="2">
        <v>36865</v>
      </c>
      <c r="G381" s="2">
        <v>45294</v>
      </c>
      <c r="H381" s="2">
        <f t="shared" si="2"/>
        <v>119693</v>
      </c>
      <c r="I381" s="2">
        <v>188832</v>
      </c>
      <c r="J381" s="2">
        <v>1697851</v>
      </c>
      <c r="K381" s="2">
        <f t="shared" si="3"/>
        <v>7.049676326132269E-2</v>
      </c>
      <c r="M381" s="2">
        <v>0.67241233782001497</v>
      </c>
      <c r="N381" s="2">
        <v>0.436254146069949</v>
      </c>
      <c r="O381" s="2">
        <v>28.5828127643959</v>
      </c>
      <c r="P381" s="2">
        <v>65.518718897889698</v>
      </c>
      <c r="Q381" s="2">
        <v>75.960516059331795</v>
      </c>
      <c r="R381" s="2">
        <v>44.055594945102399</v>
      </c>
      <c r="S381" s="2">
        <v>0.289982755295281</v>
      </c>
      <c r="T381" s="2">
        <v>18692.571575598598</v>
      </c>
      <c r="U381" s="2">
        <v>1180</v>
      </c>
      <c r="V381" s="2">
        <v>1557</v>
      </c>
      <c r="W381" s="2">
        <v>1350.1556796801699</v>
      </c>
      <c r="X381" s="2">
        <v>85294.418409090998</v>
      </c>
      <c r="Y381" s="2">
        <v>409.568532752875</v>
      </c>
      <c r="Z381" s="2">
        <v>128.43131397999301</v>
      </c>
      <c r="AA381" s="2">
        <v>19.688152280418201</v>
      </c>
      <c r="AB381" s="2">
        <v>0.73343997509439596</v>
      </c>
      <c r="AC381" s="2">
        <v>3.2965291847260398</v>
      </c>
      <c r="AD381" s="2">
        <v>3.24928942545916</v>
      </c>
      <c r="AE381" s="2">
        <v>0.36404982575810202</v>
      </c>
      <c r="AF381" s="2">
        <v>0.27728866048092998</v>
      </c>
      <c r="AG381" s="2">
        <v>0.99711212695056395</v>
      </c>
      <c r="AH381" s="2">
        <v>0.96245781842745703</v>
      </c>
      <c r="AI381" s="2">
        <v>-0.135240359752442</v>
      </c>
      <c r="AJ381" s="2">
        <v>0.83291100390740203</v>
      </c>
      <c r="AK381" s="2">
        <v>3.9870217409633804E-3</v>
      </c>
      <c r="AL381" s="2">
        <v>8.5789304073098709</v>
      </c>
      <c r="AM381" s="2">
        <v>7.4219919638971099</v>
      </c>
      <c r="AN381" s="2">
        <v>6025.2836894549</v>
      </c>
      <c r="AO381" s="2">
        <v>0.16052868571042</v>
      </c>
      <c r="AP381" s="2">
        <v>1778.57537166303</v>
      </c>
      <c r="AQ381" s="2">
        <v>40.758081283828801</v>
      </c>
      <c r="AR381" s="2">
        <v>1318.2310704960801</v>
      </c>
      <c r="AS381" s="2">
        <v>15.8116907337347</v>
      </c>
      <c r="AT381" s="2">
        <v>22333.644189268402</v>
      </c>
      <c r="AU381" s="2">
        <v>1.2389229702731101E-2</v>
      </c>
      <c r="AV381" s="2">
        <v>9.4482045570123995E-4</v>
      </c>
      <c r="AW381" s="2">
        <v>0.89191137544755805</v>
      </c>
      <c r="AX381" s="2">
        <v>3.0734070720606999E-4</v>
      </c>
      <c r="AY381" s="2">
        <v>4824.1804890823496</v>
      </c>
      <c r="AZ381" s="2">
        <v>3.5480524670001103E-2</v>
      </c>
      <c r="BA381" s="2">
        <v>0.82388853903296799</v>
      </c>
      <c r="BB381" s="2">
        <v>191</v>
      </c>
    </row>
    <row r="382" spans="1:54" ht="13" x14ac:dyDescent="0.15">
      <c r="A382" s="1" t="s">
        <v>1155</v>
      </c>
      <c r="B382" s="1" t="s">
        <v>1156</v>
      </c>
      <c r="C382" s="4" t="s">
        <v>1157</v>
      </c>
      <c r="D382" s="1" t="s">
        <v>14</v>
      </c>
      <c r="E382" s="2">
        <v>0</v>
      </c>
      <c r="F382" s="2">
        <v>20404</v>
      </c>
      <c r="G382" s="2">
        <v>2925</v>
      </c>
      <c r="H382" s="2">
        <f t="shared" si="2"/>
        <v>23329</v>
      </c>
      <c r="I382" s="2">
        <v>34799</v>
      </c>
      <c r="J382" s="2">
        <v>1369025</v>
      </c>
      <c r="K382" s="2">
        <f t="shared" si="3"/>
        <v>1.70405945837366E-2</v>
      </c>
      <c r="M382" s="2">
        <v>0.55774381618098301</v>
      </c>
      <c r="N382" s="2">
        <v>0.39816697006214502</v>
      </c>
      <c r="O382" s="2">
        <v>22.632330834598601</v>
      </c>
      <c r="P382" s="2">
        <v>56.841306628388203</v>
      </c>
      <c r="Q382" s="2">
        <v>47.518417482066901</v>
      </c>
      <c r="R382" s="2">
        <v>31.702887275630601</v>
      </c>
      <c r="S382" s="2">
        <v>0.51182880984802104</v>
      </c>
      <c r="T382" s="2">
        <v>7016.9329775816896</v>
      </c>
      <c r="U382" s="2">
        <v>442</v>
      </c>
      <c r="V382" s="2">
        <v>640</v>
      </c>
      <c r="W382" s="2">
        <v>232.81666851539401</v>
      </c>
      <c r="X382" s="2">
        <v>2704.0719620856498</v>
      </c>
      <c r="Y382" s="2">
        <v>39.215840107706903</v>
      </c>
      <c r="Z382" s="2">
        <v>34.548944835682903</v>
      </c>
      <c r="AA382" s="2">
        <v>4.0966396638423097</v>
      </c>
      <c r="AB382" s="2">
        <v>0.787930439227988</v>
      </c>
      <c r="AC382" s="2">
        <v>1.3258532502384399</v>
      </c>
      <c r="AD382" s="2">
        <v>2.1669687759259499</v>
      </c>
      <c r="AE382" s="2">
        <v>0.57828981079945896</v>
      </c>
      <c r="AF382" s="2">
        <v>0.53646172832669803</v>
      </c>
      <c r="AG382" s="2">
        <v>0.99676564528225597</v>
      </c>
      <c r="AH382" s="2">
        <v>0.96504503080426596</v>
      </c>
      <c r="AI382" s="2">
        <v>-0.24223102655133599</v>
      </c>
      <c r="AJ382" s="2">
        <v>0.89950699985682503</v>
      </c>
      <c r="AK382" s="2">
        <v>1.9599519348028002E-2</v>
      </c>
      <c r="AL382" s="2">
        <v>6.2700661917159897</v>
      </c>
      <c r="AM382" s="2">
        <v>7.4730314212568096</v>
      </c>
      <c r="AN382" s="2">
        <v>1353.39119780435</v>
      </c>
      <c r="AO382" s="2">
        <v>6.6329699951203303E-2</v>
      </c>
      <c r="AP382" s="2">
        <v>1914.3365026465401</v>
      </c>
      <c r="AQ382" s="2">
        <v>9.8388943363658097</v>
      </c>
      <c r="AR382" s="2">
        <v>230.03342481866301</v>
      </c>
      <c r="AS382" s="2">
        <v>80.726916290923299</v>
      </c>
      <c r="AT382" s="2">
        <v>19193.1200744952</v>
      </c>
      <c r="AU382" s="2">
        <v>0.40443215310450498</v>
      </c>
      <c r="AV382" s="2">
        <v>5.3070863137019298E-3</v>
      </c>
      <c r="AW382" s="2">
        <v>2.20667178511748</v>
      </c>
      <c r="AX382" s="2">
        <v>6.6420253007605696E-4</v>
      </c>
      <c r="AY382" s="2">
        <v>474.85232573078002</v>
      </c>
      <c r="AZ382" s="2">
        <v>1.6596094165814E-2</v>
      </c>
      <c r="BA382" s="2">
        <v>0.41844211943569398</v>
      </c>
      <c r="BB382" s="2">
        <v>566</v>
      </c>
    </row>
    <row r="383" spans="1:54" ht="13" x14ac:dyDescent="0.15">
      <c r="A383" s="1" t="s">
        <v>1158</v>
      </c>
      <c r="B383" s="1" t="s">
        <v>1159</v>
      </c>
      <c r="C383" s="4" t="s">
        <v>1160</v>
      </c>
      <c r="D383" s="1" t="s">
        <v>14</v>
      </c>
      <c r="E383" s="2">
        <v>21538</v>
      </c>
      <c r="F383" s="2">
        <v>49227</v>
      </c>
      <c r="G383" s="2">
        <v>18568</v>
      </c>
      <c r="H383" s="2">
        <f t="shared" si="2"/>
        <v>89333</v>
      </c>
      <c r="I383" s="2">
        <v>184147</v>
      </c>
      <c r="J383" s="2">
        <v>1604464</v>
      </c>
      <c r="K383" s="2">
        <f t="shared" si="3"/>
        <v>5.56777839826883E-2</v>
      </c>
      <c r="M383" s="2">
        <v>0.53570369928780204</v>
      </c>
      <c r="N383" s="2">
        <v>0.43452593161912101</v>
      </c>
      <c r="O383" s="2">
        <v>24.331282801721201</v>
      </c>
      <c r="P383" s="2">
        <v>55.9950075040597</v>
      </c>
      <c r="Q383" s="2">
        <v>58.051701094800002</v>
      </c>
      <c r="R383" s="2">
        <v>29.996732661572999</v>
      </c>
      <c r="S383" s="2">
        <v>0.53381015071103699</v>
      </c>
      <c r="T383" s="2">
        <v>6993.17562733873</v>
      </c>
      <c r="U383" s="2">
        <v>891</v>
      </c>
      <c r="V383" s="2">
        <v>1846</v>
      </c>
      <c r="W383" s="2">
        <v>3357.6131781000499</v>
      </c>
      <c r="X383" s="2">
        <v>2223268.66700012</v>
      </c>
      <c r="Y383" s="2">
        <v>-25697.798856847301</v>
      </c>
      <c r="Z383" s="2">
        <v>924.61368512544595</v>
      </c>
      <c r="AA383" s="2">
        <v>36.425655392095997</v>
      </c>
      <c r="AB383" s="2">
        <v>0.92402301127827202</v>
      </c>
      <c r="AC383" s="2">
        <v>3.4181308095507301</v>
      </c>
      <c r="AD383" s="2">
        <v>3.3001808834851998</v>
      </c>
      <c r="AE383" s="2">
        <v>0.47124736778716197</v>
      </c>
      <c r="AF383" s="2">
        <v>0.416002373022552</v>
      </c>
      <c r="AG383" s="2">
        <v>0.99541431795952395</v>
      </c>
      <c r="AH383" s="2">
        <v>0.96475844979080105</v>
      </c>
      <c r="AI383" s="2">
        <v>-0.30362819176314898</v>
      </c>
      <c r="AJ383" s="2">
        <v>0.97513936193983597</v>
      </c>
      <c r="AK383" s="2">
        <v>1.8187014954064499E-2</v>
      </c>
      <c r="AL383" s="2">
        <v>8.5482165285481599</v>
      </c>
      <c r="AM383" s="2">
        <v>8.4237935605313794</v>
      </c>
      <c r="AN383" s="2">
        <v>1892.5731265669999</v>
      </c>
      <c r="AO383" s="2">
        <v>8.7871349548100899E-2</v>
      </c>
      <c r="AP383" s="2">
        <v>1186.86749001764</v>
      </c>
      <c r="AQ383" s="2">
        <v>252.61019420130799</v>
      </c>
      <c r="AR383" s="2">
        <v>3291.0674157303401</v>
      </c>
      <c r="AS383" s="2">
        <v>74.942241619463303</v>
      </c>
      <c r="AT383" s="2">
        <v>335989.18163246399</v>
      </c>
      <c r="AU383" s="2">
        <v>1.8524512136646899E-2</v>
      </c>
      <c r="AV383" s="2">
        <v>6.3729767596918405E-4</v>
      </c>
      <c r="AW383" s="2">
        <v>0.18245275070474201</v>
      </c>
      <c r="AX383" s="2">
        <v>8.2786106483278502E-4</v>
      </c>
      <c r="AY383" s="2">
        <v>6701.8988083861404</v>
      </c>
      <c r="AZ383" s="2">
        <v>0.16198012575832099</v>
      </c>
      <c r="BA383" s="2">
        <v>3.4305573426362499</v>
      </c>
      <c r="BB383" s="2">
        <v>375</v>
      </c>
    </row>
    <row r="384" spans="1:54" ht="13" x14ac:dyDescent="0.15">
      <c r="A384" s="1" t="s">
        <v>1161</v>
      </c>
      <c r="B384" s="1" t="s">
        <v>1162</v>
      </c>
      <c r="C384" s="4" t="s">
        <v>1163</v>
      </c>
      <c r="D384" s="1" t="s">
        <v>14</v>
      </c>
      <c r="E384" s="2">
        <v>27967</v>
      </c>
      <c r="F384" s="2">
        <v>174436</v>
      </c>
      <c r="G384" s="2">
        <v>52705</v>
      </c>
      <c r="H384" s="2">
        <f t="shared" si="2"/>
        <v>255108</v>
      </c>
      <c r="I384" s="2">
        <v>334592</v>
      </c>
      <c r="J384" s="2">
        <v>1695904</v>
      </c>
      <c r="K384" s="2">
        <f t="shared" si="3"/>
        <v>0.15042596750759477</v>
      </c>
      <c r="M384" s="2">
        <v>0.89085536989731295</v>
      </c>
      <c r="N384" s="2">
        <v>0.64508735472752998</v>
      </c>
      <c r="O384" s="2">
        <v>30.6883962727889</v>
      </c>
      <c r="P384" s="2">
        <v>47.5724660356287</v>
      </c>
      <c r="Q384" s="2">
        <v>53.851648071344997</v>
      </c>
      <c r="R384" s="2">
        <v>42.380186827097297</v>
      </c>
      <c r="S384" s="2">
        <v>0.33242348185856802</v>
      </c>
      <c r="T384" s="2">
        <v>13341.2575160059</v>
      </c>
      <c r="U384" s="2">
        <v>673</v>
      </c>
      <c r="V384" s="2">
        <v>1061</v>
      </c>
      <c r="W384" s="2">
        <v>823.32004708421096</v>
      </c>
      <c r="X384" s="2">
        <v>88838.238151191894</v>
      </c>
      <c r="Y384" s="2">
        <v>1547.87168872389</v>
      </c>
      <c r="Z384" s="2">
        <v>145.84638851102699</v>
      </c>
      <c r="AA384" s="2">
        <v>16.415933815431199</v>
      </c>
      <c r="AB384" s="2">
        <v>0.79758842380974604</v>
      </c>
      <c r="AC384" s="2">
        <v>2.8221341007165299</v>
      </c>
      <c r="AD384" s="2">
        <v>3.05471716282335</v>
      </c>
      <c r="AE384" s="2">
        <v>0.40355194065234501</v>
      </c>
      <c r="AF384" s="2">
        <v>0.32334847462495803</v>
      </c>
      <c r="AG384" s="2">
        <v>0.99559979719749803</v>
      </c>
      <c r="AH384" s="2">
        <v>0.956920943303736</v>
      </c>
      <c r="AI384" s="2">
        <v>-0.18191108612947399</v>
      </c>
      <c r="AJ384" s="2">
        <v>0.89448299445534096</v>
      </c>
      <c r="AK384" s="2">
        <v>5.2802634822773902E-3</v>
      </c>
      <c r="AL384" s="2">
        <v>8.3610091378999307</v>
      </c>
      <c r="AM384" s="2">
        <v>7.5799056431529399</v>
      </c>
      <c r="AN384" s="2">
        <v>3832.8486072871601</v>
      </c>
      <c r="AO384" s="2">
        <v>0.13704897226328</v>
      </c>
      <c r="AP384" s="2">
        <v>1458.8753530947199</v>
      </c>
      <c r="AQ384" s="2">
        <v>40.233745787840299</v>
      </c>
      <c r="AR384" s="2">
        <v>832.89169378195697</v>
      </c>
      <c r="AS384" s="2">
        <v>21.047842099617402</v>
      </c>
      <c r="AT384" s="2">
        <v>16361.7190259949</v>
      </c>
      <c r="AU384" s="2">
        <v>3.1376282591362999E-2</v>
      </c>
      <c r="AV384" s="2">
        <v>1.5269772694062999E-3</v>
      </c>
      <c r="AW384" s="2">
        <v>0.92224677618902695</v>
      </c>
      <c r="AX384" s="2">
        <v>4.7389916968254602E-4</v>
      </c>
      <c r="AY384" s="2">
        <v>2792.0780563168601</v>
      </c>
      <c r="AZ384" s="2">
        <v>3.9080352514091997E-2</v>
      </c>
      <c r="BA384" s="2">
        <v>0.862650283796909</v>
      </c>
      <c r="BB384" s="2">
        <v>356</v>
      </c>
    </row>
    <row r="385" spans="1:54" ht="13" x14ac:dyDescent="0.15">
      <c r="A385" s="1" t="s">
        <v>1164</v>
      </c>
      <c r="B385" s="1" t="s">
        <v>1165</v>
      </c>
      <c r="C385" s="4" t="s">
        <v>1166</v>
      </c>
      <c r="D385" s="1" t="s">
        <v>14</v>
      </c>
      <c r="E385" s="2">
        <v>9328</v>
      </c>
      <c r="F385" s="2">
        <v>64277</v>
      </c>
      <c r="G385" s="2">
        <v>18938</v>
      </c>
      <c r="H385" s="2">
        <f t="shared" si="2"/>
        <v>92543</v>
      </c>
      <c r="I385" s="2">
        <v>119993</v>
      </c>
      <c r="J385" s="2">
        <v>1465393</v>
      </c>
      <c r="K385" s="2">
        <f t="shared" si="3"/>
        <v>6.3152342067964023E-2</v>
      </c>
      <c r="M385" s="2">
        <v>0.70013044205528896</v>
      </c>
      <c r="N385" s="2">
        <v>0.575909370530578</v>
      </c>
      <c r="O385" s="2">
        <v>21.748882881749299</v>
      </c>
      <c r="P385" s="2">
        <v>37.764419185804002</v>
      </c>
      <c r="Q385" s="2">
        <v>46.097722286464403</v>
      </c>
      <c r="R385" s="2">
        <v>26.4400194985182</v>
      </c>
      <c r="S385" s="2">
        <v>0.46417854305581402</v>
      </c>
      <c r="T385" s="2">
        <v>4587.3109695491003</v>
      </c>
      <c r="U385" s="2">
        <v>438</v>
      </c>
      <c r="V385" s="2">
        <v>812</v>
      </c>
      <c r="W385" s="2">
        <v>206.07688752176901</v>
      </c>
      <c r="X385" s="2">
        <v>28882.774757325398</v>
      </c>
      <c r="Y385" s="2">
        <v>-273.09251999253797</v>
      </c>
      <c r="Z385" s="2">
        <v>116.07431647719</v>
      </c>
      <c r="AA385" s="2">
        <v>7.8881763272016601</v>
      </c>
      <c r="AB385" s="2">
        <v>0.87267097141776895</v>
      </c>
      <c r="AC385" s="2">
        <v>2.0513422282253599</v>
      </c>
      <c r="AD385" s="2">
        <v>2.6498148813751898</v>
      </c>
      <c r="AE385" s="2">
        <v>0.466089810192579</v>
      </c>
      <c r="AF385" s="2">
        <v>0.39770862500369603</v>
      </c>
      <c r="AG385" s="2">
        <v>0.99156631451218302</v>
      </c>
      <c r="AH385" s="2">
        <v>0.939099075882183</v>
      </c>
      <c r="AI385" s="2">
        <v>-0.24910380947694899</v>
      </c>
      <c r="AJ385" s="2">
        <v>0.93846138734057705</v>
      </c>
      <c r="AK385" s="2">
        <v>6.1233698759322304E-3</v>
      </c>
      <c r="AL385" s="2">
        <v>7.7533460059962502</v>
      </c>
      <c r="AM385" s="2">
        <v>7.7213364315439001</v>
      </c>
      <c r="AN385" s="2">
        <v>1018.21976843911</v>
      </c>
      <c r="AO385" s="2">
        <v>0.109157350818944</v>
      </c>
      <c r="AP385" s="2">
        <v>462.46569468267597</v>
      </c>
      <c r="AQ385" s="2">
        <v>30.970201622809199</v>
      </c>
      <c r="AR385" s="2">
        <v>199.04052315608899</v>
      </c>
      <c r="AS385" s="2">
        <v>33.570540308747901</v>
      </c>
      <c r="AT385" s="2">
        <v>6471.0021440823302</v>
      </c>
      <c r="AU385" s="2">
        <v>0.80951684257303103</v>
      </c>
      <c r="AV385" s="2">
        <v>1.67849086089174E-2</v>
      </c>
      <c r="AW385" s="2">
        <v>1.3911947558898601</v>
      </c>
      <c r="AX385" s="2">
        <v>1.9057211041401099E-3</v>
      </c>
      <c r="AY385" s="2">
        <v>431.29489323317802</v>
      </c>
      <c r="AZ385" s="2">
        <v>8.40116831480439E-2</v>
      </c>
      <c r="BA385" s="2">
        <v>0.61224324009650899</v>
      </c>
      <c r="BB385" s="2">
        <v>364</v>
      </c>
    </row>
    <row r="386" spans="1:54" ht="13" x14ac:dyDescent="0.15">
      <c r="A386" s="1" t="s">
        <v>1167</v>
      </c>
      <c r="B386" s="1" t="s">
        <v>1168</v>
      </c>
      <c r="C386" s="4" t="s">
        <v>1169</v>
      </c>
      <c r="D386" s="1" t="s">
        <v>14</v>
      </c>
      <c r="E386" s="2">
        <v>4963</v>
      </c>
      <c r="F386" s="2">
        <v>13003</v>
      </c>
      <c r="G386" s="2">
        <v>6311</v>
      </c>
      <c r="H386" s="2">
        <f t="shared" si="2"/>
        <v>24277</v>
      </c>
      <c r="I386" s="2">
        <v>30354</v>
      </c>
      <c r="J386" s="2">
        <v>1690430</v>
      </c>
      <c r="K386" s="2">
        <f t="shared" si="3"/>
        <v>1.4361434664552806E-2</v>
      </c>
      <c r="M386" s="2">
        <v>0.68474636721594495</v>
      </c>
      <c r="N386" s="2">
        <v>0.51331285294216999</v>
      </c>
      <c r="O386" s="2">
        <v>14.3118296598886</v>
      </c>
      <c r="P386" s="2">
        <v>27.881300025622</v>
      </c>
      <c r="Q386" s="2">
        <v>24.596747752497699</v>
      </c>
      <c r="R386" s="2">
        <v>19.091618905802498</v>
      </c>
      <c r="S386" s="2">
        <v>0.75278466257758903</v>
      </c>
      <c r="T386" s="2">
        <v>1861.7618201068799</v>
      </c>
      <c r="U386" s="2">
        <v>905</v>
      </c>
      <c r="V386" s="2">
        <v>1049</v>
      </c>
      <c r="W386" s="2">
        <v>187.54158049552899</v>
      </c>
      <c r="X386" s="2">
        <v>1596.5713476021999</v>
      </c>
      <c r="Y386" s="2">
        <v>-37.106837340708999</v>
      </c>
      <c r="Z386" s="2">
        <v>18.454632484872601</v>
      </c>
      <c r="AA386" s="2">
        <v>4.4505254385582598</v>
      </c>
      <c r="AB386" s="2">
        <v>0.61006661815626895</v>
      </c>
      <c r="AC386" s="2">
        <v>1.4443393075367501</v>
      </c>
      <c r="AD386" s="2">
        <v>2.2338683614634398</v>
      </c>
      <c r="AE386" s="2">
        <v>0.54680777072365805</v>
      </c>
      <c r="AF386" s="2">
        <v>0.49903661641250302</v>
      </c>
      <c r="AG386" s="2">
        <v>0.99206792442248903</v>
      </c>
      <c r="AH386" s="2">
        <v>0.94420577513469095</v>
      </c>
      <c r="AI386" s="2">
        <v>-0.14927929122212399</v>
      </c>
      <c r="AJ386" s="2">
        <v>0.78240446997486002</v>
      </c>
      <c r="AK386" s="2">
        <v>2.5003718440659999E-2</v>
      </c>
      <c r="AL386" s="2">
        <v>6.0015743661968504</v>
      </c>
      <c r="AM386" s="2">
        <v>6.9195236514215503</v>
      </c>
      <c r="AN386" s="2">
        <v>382.27785613540198</v>
      </c>
      <c r="AO386" s="2">
        <v>7.7025560373846905E-2</v>
      </c>
      <c r="AP386" s="2">
        <v>622.69091275438302</v>
      </c>
      <c r="AQ386" s="2">
        <v>6.3382177417747299</v>
      </c>
      <c r="AR386" s="2">
        <v>188.42776546443699</v>
      </c>
      <c r="AS386" s="2">
        <v>58.371750957082398</v>
      </c>
      <c r="AT386" s="2">
        <v>11296.977835986299</v>
      </c>
      <c r="AU386" s="2">
        <v>0.32602738034666101</v>
      </c>
      <c r="AV386" s="2">
        <v>7.1214035314405497E-3</v>
      </c>
      <c r="AW386" s="2">
        <v>1.2433368862593099</v>
      </c>
      <c r="AX386" s="2">
        <v>1.8827282527795E-3</v>
      </c>
      <c r="AY386" s="2">
        <v>248.34207170253501</v>
      </c>
      <c r="AZ386" s="2">
        <v>2.6785991052178701E-2</v>
      </c>
      <c r="BA386" s="2">
        <v>0.45571563259061698</v>
      </c>
      <c r="BB386" s="2">
        <v>499</v>
      </c>
    </row>
    <row r="387" spans="1:54" ht="13" x14ac:dyDescent="0.15">
      <c r="A387" s="1" t="s">
        <v>1170</v>
      </c>
      <c r="B387" s="1" t="s">
        <v>1171</v>
      </c>
      <c r="C387" s="4" t="s">
        <v>1172</v>
      </c>
      <c r="D387" s="1" t="s">
        <v>14</v>
      </c>
      <c r="E387" s="2">
        <v>56886</v>
      </c>
      <c r="F387" s="2">
        <v>48882</v>
      </c>
      <c r="G387" s="2">
        <v>36199</v>
      </c>
      <c r="H387" s="2">
        <f t="shared" si="2"/>
        <v>141967</v>
      </c>
      <c r="I387" s="2">
        <v>174885</v>
      </c>
      <c r="J387" s="2">
        <v>1430118</v>
      </c>
      <c r="K387" s="2">
        <f t="shared" si="3"/>
        <v>9.9269430914092405E-2</v>
      </c>
      <c r="M387" s="2">
        <v>0.79839721855749402</v>
      </c>
      <c r="N387" s="2">
        <v>0.622558574617738</v>
      </c>
      <c r="O387" s="2">
        <v>33.925517750466398</v>
      </c>
      <c r="P387" s="2">
        <v>54.493696069156599</v>
      </c>
      <c r="Q387" s="2">
        <v>62.201286160335997</v>
      </c>
      <c r="R387" s="2">
        <v>43.5076153705321</v>
      </c>
      <c r="S387" s="2">
        <v>0.799482726073935</v>
      </c>
      <c r="T387" s="2">
        <v>8940.7236875357194</v>
      </c>
      <c r="U387" s="2">
        <v>1086</v>
      </c>
      <c r="V387" s="2">
        <v>1329</v>
      </c>
      <c r="W387" s="2">
        <v>1077.2376790584101</v>
      </c>
      <c r="X387" s="2">
        <v>48820.2948649354</v>
      </c>
      <c r="Y387" s="2">
        <v>-379.29951925179103</v>
      </c>
      <c r="Z387" s="2">
        <v>79.508226423073594</v>
      </c>
      <c r="AA387" s="2">
        <v>7.1319847449261999</v>
      </c>
      <c r="AB387" s="2">
        <v>0.83447203516009005</v>
      </c>
      <c r="AC387" s="2">
        <v>1.47887047466099</v>
      </c>
      <c r="AD387" s="2">
        <v>2.2647362672367999</v>
      </c>
      <c r="AE387" s="2">
        <v>0.583863403607083</v>
      </c>
      <c r="AF387" s="2">
        <v>0.54630395625017603</v>
      </c>
      <c r="AG387" s="2">
        <v>0.99826289023010994</v>
      </c>
      <c r="AH387" s="2">
        <v>0.97809090741700699</v>
      </c>
      <c r="AI387" s="2">
        <v>-0.31991731273132401</v>
      </c>
      <c r="AJ387" s="2">
        <v>0.96054126782521898</v>
      </c>
      <c r="AK387" s="2">
        <v>1.7616563973598901E-2</v>
      </c>
      <c r="AL387" s="2">
        <v>6.8338933706020999</v>
      </c>
      <c r="AM387" s="2">
        <v>8.04377394653309</v>
      </c>
      <c r="AN387" s="2">
        <v>3352.3130823049601</v>
      </c>
      <c r="AO387" s="2">
        <v>5.8930370957792098E-2</v>
      </c>
      <c r="AP387" s="2">
        <v>4266.2670955946996</v>
      </c>
      <c r="AQ387" s="2">
        <v>24.673617142213502</v>
      </c>
      <c r="AR387" s="2">
        <v>1083.3336673346701</v>
      </c>
      <c r="AS387" s="2">
        <v>95.667264353267896</v>
      </c>
      <c r="AT387" s="2">
        <v>98688.449337270999</v>
      </c>
      <c r="AU387" s="2">
        <v>9.6597653088569005E-2</v>
      </c>
      <c r="AV387" s="2">
        <v>1.09933877378032E-3</v>
      </c>
      <c r="AW387" s="2">
        <v>1.0390773903649599</v>
      </c>
      <c r="AX387" s="2">
        <v>3.0832952569738898E-4</v>
      </c>
      <c r="AY387" s="2">
        <v>1781.33603472039</v>
      </c>
      <c r="AZ387" s="2">
        <v>1.41715450592887E-2</v>
      </c>
      <c r="BA387" s="2">
        <v>0.68739687318056197</v>
      </c>
      <c r="BB387" s="2">
        <v>777</v>
      </c>
    </row>
    <row r="388" spans="1:54" ht="13" x14ac:dyDescent="0.15">
      <c r="A388" s="1" t="s">
        <v>1173</v>
      </c>
      <c r="B388" s="1" t="s">
        <v>1174</v>
      </c>
      <c r="C388" s="4" t="s">
        <v>1175</v>
      </c>
      <c r="D388" s="1" t="s">
        <v>14</v>
      </c>
      <c r="E388" s="2">
        <v>3611</v>
      </c>
      <c r="F388" s="2">
        <v>38403</v>
      </c>
      <c r="G388" s="2">
        <v>8703</v>
      </c>
      <c r="H388" s="2">
        <f t="shared" si="2"/>
        <v>50717</v>
      </c>
      <c r="I388" s="2">
        <v>71699</v>
      </c>
      <c r="J388" s="2">
        <v>1534071</v>
      </c>
      <c r="K388" s="2">
        <f t="shared" si="3"/>
        <v>3.3060399420887301E-2</v>
      </c>
      <c r="M388" s="2">
        <v>0.80497964224738405</v>
      </c>
      <c r="N388" s="2">
        <v>0.45049402095468699</v>
      </c>
      <c r="O388" s="2">
        <v>12.011361771137199</v>
      </c>
      <c r="P388" s="2">
        <v>26.662644147158101</v>
      </c>
      <c r="Q388" s="2">
        <v>29.732137494637001</v>
      </c>
      <c r="R388" s="2">
        <v>21.462885746948601</v>
      </c>
      <c r="S388" s="2">
        <v>0.49115626572885401</v>
      </c>
      <c r="T388" s="2">
        <v>2304.6270220595902</v>
      </c>
      <c r="U388" s="2">
        <v>542</v>
      </c>
      <c r="V388" s="2">
        <v>824</v>
      </c>
      <c r="W388" s="2">
        <v>265.383597694569</v>
      </c>
      <c r="X388" s="2">
        <v>13949.2163234934</v>
      </c>
      <c r="Y388" s="2">
        <v>251.52964585450599</v>
      </c>
      <c r="Z388" s="2">
        <v>69.293946709169902</v>
      </c>
      <c r="AA388" s="2">
        <v>7.5605658187635401</v>
      </c>
      <c r="AB388" s="2">
        <v>0.802733860779692</v>
      </c>
      <c r="AC388" s="2">
        <v>1.9808750987211701</v>
      </c>
      <c r="AD388" s="2">
        <v>2.6122562021286102</v>
      </c>
      <c r="AE388" s="2">
        <v>0.47731178199187102</v>
      </c>
      <c r="AF388" s="2">
        <v>0.41204495173736899</v>
      </c>
      <c r="AG388" s="2">
        <v>0.99287239650637404</v>
      </c>
      <c r="AH388" s="2">
        <v>0.94444618721206497</v>
      </c>
      <c r="AI388" s="2">
        <v>-0.219545072237841</v>
      </c>
      <c r="AJ388" s="2">
        <v>0.90662623412308496</v>
      </c>
      <c r="AK388" s="2">
        <v>9.2536854306120991E-3</v>
      </c>
      <c r="AL388" s="2">
        <v>7.31609909386406</v>
      </c>
      <c r="AM388" s="2">
        <v>7.3683262375421803</v>
      </c>
      <c r="AN388" s="2">
        <v>392.33204098587601</v>
      </c>
      <c r="AO388" s="2">
        <v>0.108649139015751</v>
      </c>
      <c r="AP388" s="2">
        <v>237.52949321517599</v>
      </c>
      <c r="AQ388" s="2">
        <v>20.220557036673899</v>
      </c>
      <c r="AR388" s="2">
        <v>261.25671559124902</v>
      </c>
      <c r="AS388" s="2">
        <v>34.042924397673801</v>
      </c>
      <c r="AT388" s="2">
        <v>7748.2171143727501</v>
      </c>
      <c r="AU388" s="2">
        <v>0.199672904875972</v>
      </c>
      <c r="AV388" s="2">
        <v>5.7034496211126103E-3</v>
      </c>
      <c r="AW388" s="2">
        <v>0.51402841897043094</v>
      </c>
      <c r="AX388" s="2">
        <v>3.81519507081298E-3</v>
      </c>
      <c r="AY388" s="2">
        <v>510.66166611567002</v>
      </c>
      <c r="AZ388" s="2">
        <v>5.2953998270115599E-2</v>
      </c>
      <c r="BA388" s="2">
        <v>1.4792726243607901</v>
      </c>
      <c r="BB388" s="2">
        <v>19</v>
      </c>
    </row>
    <row r="389" spans="1:54" ht="13" x14ac:dyDescent="0.15">
      <c r="A389" s="1" t="s">
        <v>1176</v>
      </c>
      <c r="B389" s="1" t="s">
        <v>1177</v>
      </c>
      <c r="C389" s="4" t="s">
        <v>1178</v>
      </c>
      <c r="D389" s="1" t="s">
        <v>14</v>
      </c>
      <c r="E389" s="2">
        <v>20813</v>
      </c>
      <c r="F389" s="2">
        <v>24169</v>
      </c>
      <c r="G389" s="2">
        <v>20687</v>
      </c>
      <c r="H389" s="2">
        <f t="shared" si="2"/>
        <v>65669</v>
      </c>
      <c r="I389" s="2">
        <v>93582</v>
      </c>
      <c r="J389" s="2">
        <v>1285672</v>
      </c>
      <c r="K389" s="2">
        <f t="shared" si="3"/>
        <v>5.1077568773372994E-2</v>
      </c>
      <c r="M389" s="2">
        <v>0.94282674424356105</v>
      </c>
      <c r="N389" s="2">
        <v>0.63219696169791295</v>
      </c>
      <c r="O389" s="2">
        <v>23.888624339518401</v>
      </c>
      <c r="P389" s="2">
        <v>37.786680080460897</v>
      </c>
      <c r="Q389" s="2">
        <v>40.199502484483602</v>
      </c>
      <c r="R389" s="2">
        <v>35.626292556034002</v>
      </c>
      <c r="S389" s="2">
        <v>0.63330218312380604</v>
      </c>
      <c r="T389" s="2">
        <v>5768.8879780445804</v>
      </c>
      <c r="U389" s="2">
        <v>950</v>
      </c>
      <c r="V389" s="2">
        <v>1628</v>
      </c>
      <c r="W389" s="2">
        <v>1574.81780603628</v>
      </c>
      <c r="X389" s="2">
        <v>402523.06480562902</v>
      </c>
      <c r="Y389" s="2">
        <v>-7016.3906194687997</v>
      </c>
      <c r="Z389" s="2">
        <v>370.31803636499501</v>
      </c>
      <c r="AA389" s="2">
        <v>20.4570647036102</v>
      </c>
      <c r="AB389" s="2">
        <v>0.89488253604631296</v>
      </c>
      <c r="AC389" s="2">
        <v>2.9270675159356201</v>
      </c>
      <c r="AD389" s="2">
        <v>3.1245226726811501</v>
      </c>
      <c r="AE389" s="2">
        <v>0.43167076848130198</v>
      </c>
      <c r="AF389" s="2">
        <v>0.36300542292915799</v>
      </c>
      <c r="AG389" s="2">
        <v>0.99417763707520301</v>
      </c>
      <c r="AH389" s="2">
        <v>0.95468465340853803</v>
      </c>
      <c r="AI389" s="2">
        <v>-0.25311150985591502</v>
      </c>
      <c r="AJ389" s="2">
        <v>0.95319339464112296</v>
      </c>
      <c r="AK389" s="2">
        <v>5.6540605452361399E-3</v>
      </c>
      <c r="AL389" s="2">
        <v>8.6427895029374007</v>
      </c>
      <c r="AM389" s="2">
        <v>8.2313462546088196</v>
      </c>
      <c r="AN389" s="2">
        <v>2109.2910680824498</v>
      </c>
      <c r="AO389" s="2">
        <v>0.101344883874619</v>
      </c>
      <c r="AP389" s="2">
        <v>830.56834670638602</v>
      </c>
      <c r="AQ389" s="2">
        <v>105.12563635268999</v>
      </c>
      <c r="AR389" s="2">
        <v>1529.02484024408</v>
      </c>
      <c r="AS389" s="2">
        <v>36.047134002786699</v>
      </c>
      <c r="AT389" s="2">
        <v>67024.8043050017</v>
      </c>
      <c r="AU389" s="2">
        <v>2.66686064759355E-2</v>
      </c>
      <c r="AV389" s="2">
        <v>1.23410596969147E-3</v>
      </c>
      <c r="AW389" s="2">
        <v>0.38129402324258199</v>
      </c>
      <c r="AX389" s="2">
        <v>9.3420532428601202E-4</v>
      </c>
      <c r="AY389" s="2">
        <v>2385.7840435448702</v>
      </c>
      <c r="AZ389" s="2">
        <v>0.103471050591341</v>
      </c>
      <c r="BA389" s="2">
        <v>1.55244022325845</v>
      </c>
      <c r="BB389" s="2">
        <v>280</v>
      </c>
    </row>
    <row r="390" spans="1:54" ht="13" x14ac:dyDescent="0.15">
      <c r="A390" s="1" t="s">
        <v>1179</v>
      </c>
      <c r="B390" s="1" t="s">
        <v>1180</v>
      </c>
      <c r="C390" s="4" t="s">
        <v>1181</v>
      </c>
      <c r="D390" s="1" t="s">
        <v>14</v>
      </c>
      <c r="E390" s="2">
        <v>4896</v>
      </c>
      <c r="F390" s="2">
        <v>46780</v>
      </c>
      <c r="G390" s="2">
        <v>16151</v>
      </c>
      <c r="H390" s="2">
        <f t="shared" si="2"/>
        <v>67827</v>
      </c>
      <c r="I390" s="2">
        <v>88724</v>
      </c>
      <c r="J390" s="2">
        <v>1882486</v>
      </c>
      <c r="K390" s="2">
        <f t="shared" si="3"/>
        <v>3.6030546840720198E-2</v>
      </c>
      <c r="M390" s="2">
        <v>0.59276075588740396</v>
      </c>
      <c r="N390" s="2">
        <v>0.41998813731247298</v>
      </c>
      <c r="O390" s="2">
        <v>15.2523242648814</v>
      </c>
      <c r="P390" s="2">
        <v>36.3160835029339</v>
      </c>
      <c r="Q390" s="2">
        <v>31.575306807693899</v>
      </c>
      <c r="R390" s="2">
        <v>21.5267491080692</v>
      </c>
      <c r="S390" s="2">
        <v>0.501923727359885</v>
      </c>
      <c r="T390" s="2">
        <v>2744.2211516468601</v>
      </c>
      <c r="U390" s="2">
        <v>968.5</v>
      </c>
      <c r="V390" s="2">
        <v>1560</v>
      </c>
      <c r="W390" s="2">
        <v>1458.9462329728999</v>
      </c>
      <c r="X390" s="2">
        <v>239380.55079784201</v>
      </c>
      <c r="Y390" s="2">
        <v>-4421.7928511710097</v>
      </c>
      <c r="Z390" s="2">
        <v>263.27844463765302</v>
      </c>
      <c r="AA390" s="2">
        <v>37.9752185954856</v>
      </c>
      <c r="AB390" s="2">
        <v>0.74701211412453306</v>
      </c>
      <c r="AC390" s="2">
        <v>3.9908501309311899</v>
      </c>
      <c r="AD390" s="2">
        <v>3.5269815850597399</v>
      </c>
      <c r="AE390" s="2">
        <v>0.38852942918813799</v>
      </c>
      <c r="AF390" s="2">
        <v>0.31721770073370598</v>
      </c>
      <c r="AG390" s="2">
        <v>0.98870660147024503</v>
      </c>
      <c r="AH390" s="2">
        <v>0.93851670677521304</v>
      </c>
      <c r="AI390" s="2">
        <v>-0.19015379756890999</v>
      </c>
      <c r="AJ390" s="2">
        <v>0.91265345055439595</v>
      </c>
      <c r="AK390" s="2">
        <v>5.5797178304686397E-3</v>
      </c>
      <c r="AL390" s="2">
        <v>8.7480469947093198</v>
      </c>
      <c r="AM390" s="2">
        <v>7.7959629635976704</v>
      </c>
      <c r="AN390" s="2">
        <v>651.09068627450995</v>
      </c>
      <c r="AO390" s="2">
        <v>0.13298420879789799</v>
      </c>
      <c r="AP390" s="2">
        <v>201.96772875817001</v>
      </c>
      <c r="AQ390" s="2">
        <v>84.530047037197207</v>
      </c>
      <c r="AR390" s="2">
        <v>1393.5330882352901</v>
      </c>
      <c r="AS390" s="2">
        <v>27.262663398692801</v>
      </c>
      <c r="AT390" s="2">
        <v>46051.914624183002</v>
      </c>
      <c r="AU390" s="2">
        <v>1.8647430654460999E-2</v>
      </c>
      <c r="AV390" s="2">
        <v>1.3308994022813601E-3</v>
      </c>
      <c r="AW390" s="2">
        <v>0.172352450348397</v>
      </c>
      <c r="AX390" s="2">
        <v>2.3137415895564499E-3</v>
      </c>
      <c r="AY390" s="2">
        <v>3658.0604993622901</v>
      </c>
      <c r="AZ390" s="2">
        <v>0.160737624639258</v>
      </c>
      <c r="BA390" s="2">
        <v>3.0978024538759601</v>
      </c>
      <c r="BB390" s="2">
        <v>491</v>
      </c>
    </row>
    <row r="391" spans="1:54" ht="13" x14ac:dyDescent="0.15">
      <c r="A391" s="1" t="s">
        <v>1182</v>
      </c>
      <c r="B391" s="1" t="s">
        <v>1183</v>
      </c>
      <c r="C391" s="4" t="s">
        <v>1184</v>
      </c>
      <c r="D391" s="1" t="s">
        <v>14</v>
      </c>
      <c r="E391" s="2">
        <v>1541</v>
      </c>
      <c r="F391" s="2">
        <v>116572</v>
      </c>
      <c r="G391" s="2">
        <v>13541</v>
      </c>
      <c r="H391" s="2">
        <f t="shared" si="2"/>
        <v>131654</v>
      </c>
      <c r="I391" s="2">
        <v>229610</v>
      </c>
      <c r="J391" s="2">
        <v>1394800</v>
      </c>
      <c r="K391" s="2">
        <f t="shared" si="3"/>
        <v>9.4389159736162895E-2</v>
      </c>
      <c r="M391" s="2">
        <v>0.88952974056284495</v>
      </c>
      <c r="N391" s="2">
        <v>0.385370338158943</v>
      </c>
      <c r="O391" s="2">
        <v>7.8009350175702501</v>
      </c>
      <c r="P391" s="2">
        <v>20.242697076371201</v>
      </c>
      <c r="Q391" s="2">
        <v>20.248456731316601</v>
      </c>
      <c r="R391" s="2">
        <v>18.006481078636799</v>
      </c>
      <c r="S391" s="2">
        <v>0.52509290169663803</v>
      </c>
      <c r="T391" s="2">
        <v>1212.82331430151</v>
      </c>
      <c r="U391" s="2">
        <v>626</v>
      </c>
      <c r="V391" s="2">
        <v>812</v>
      </c>
      <c r="W391" s="2">
        <v>87.311280154239</v>
      </c>
      <c r="X391" s="2">
        <v>2150.8867272959401</v>
      </c>
      <c r="Y391" s="2">
        <v>74.730195371709101</v>
      </c>
      <c r="Z391" s="2">
        <v>26.388588060262801</v>
      </c>
      <c r="AA391" s="2">
        <v>7.3740855184617402</v>
      </c>
      <c r="AB391" s="2">
        <v>0.56189403719840003</v>
      </c>
      <c r="AC391" s="2">
        <v>2.0050549972465102</v>
      </c>
      <c r="AD391" s="2">
        <v>2.5935798251745199</v>
      </c>
      <c r="AE391" s="2">
        <v>0.46335211182312402</v>
      </c>
      <c r="AF391" s="2">
        <v>0.39366346032079402</v>
      </c>
      <c r="AG391" s="2">
        <v>0.98445153141116504</v>
      </c>
      <c r="AH391" s="2">
        <v>0.91805652769200596</v>
      </c>
      <c r="AI391" s="2">
        <v>-0.119129404794576</v>
      </c>
      <c r="AJ391" s="2">
        <v>0.73839983026785705</v>
      </c>
      <c r="AK391" s="2">
        <v>1.47192951597435E-2</v>
      </c>
      <c r="AL391" s="2">
        <v>6.6276334416313603</v>
      </c>
      <c r="AM391" s="2">
        <v>6.4696891406247197</v>
      </c>
      <c r="AN391" s="2">
        <v>194.78585334198601</v>
      </c>
      <c r="AO391" s="2">
        <v>0.126402240974683</v>
      </c>
      <c r="AP391" s="2">
        <v>157.51395197923401</v>
      </c>
      <c r="AQ391" s="2">
        <v>8.5762576110222799</v>
      </c>
      <c r="AR391" s="2">
        <v>89.121349772874794</v>
      </c>
      <c r="AS391" s="2">
        <v>24.631408176508799</v>
      </c>
      <c r="AT391" s="2">
        <v>1928.70084360805</v>
      </c>
      <c r="AU391" s="2">
        <v>0.42390560507238401</v>
      </c>
      <c r="AV391" s="2">
        <v>1.8505639766797002E-2</v>
      </c>
      <c r="AW391" s="2">
        <v>0.86964424500497195</v>
      </c>
      <c r="AX391" s="2">
        <v>6.0852105060932703E-3</v>
      </c>
      <c r="AY391" s="2">
        <v>215.36976243041801</v>
      </c>
      <c r="AZ391" s="2">
        <v>5.66874009551393E-2</v>
      </c>
      <c r="BA391" s="2">
        <v>0.95816131554086503</v>
      </c>
      <c r="BB391" s="2">
        <v>1333</v>
      </c>
    </row>
    <row r="392" spans="1:54" ht="13" x14ac:dyDescent="0.15">
      <c r="A392" s="1" t="s">
        <v>1185</v>
      </c>
      <c r="B392" s="1" t="s">
        <v>1186</v>
      </c>
      <c r="C392" s="4" t="s">
        <v>1187</v>
      </c>
      <c r="D392" s="1" t="s">
        <v>14</v>
      </c>
      <c r="E392" s="2">
        <v>188</v>
      </c>
      <c r="F392" s="2">
        <v>68718</v>
      </c>
      <c r="G392" s="2">
        <v>1562</v>
      </c>
      <c r="H392" s="2">
        <f t="shared" si="2"/>
        <v>70468</v>
      </c>
      <c r="I392" s="2">
        <v>136641</v>
      </c>
      <c r="J392" s="2">
        <v>1382730</v>
      </c>
      <c r="K392" s="2">
        <f t="shared" si="3"/>
        <v>5.0962950105949825E-2</v>
      </c>
      <c r="M392" s="2">
        <v>0.67367939354621598</v>
      </c>
      <c r="N392" s="2">
        <v>0.40261652419435101</v>
      </c>
      <c r="O392" s="2">
        <v>4.0800117574227999</v>
      </c>
      <c r="P392" s="2">
        <v>10.133741444385601</v>
      </c>
      <c r="Q392" s="2">
        <v>11.180339887498899</v>
      </c>
      <c r="R392" s="2">
        <v>6.8268927906078902</v>
      </c>
      <c r="S392" s="2">
        <v>0.77293948749678498</v>
      </c>
      <c r="T392" s="2">
        <v>199.33585617191699</v>
      </c>
      <c r="U392" s="2">
        <v>525.70000000000005</v>
      </c>
      <c r="V392" s="2">
        <v>729.3</v>
      </c>
      <c r="W392" s="2">
        <v>80.016330483548501</v>
      </c>
      <c r="X392" s="2">
        <v>2494.08508591993</v>
      </c>
      <c r="Y392" s="2">
        <v>85.703739912803002</v>
      </c>
      <c r="Z392" s="2">
        <v>27.752261980637801</v>
      </c>
      <c r="AA392" s="2">
        <v>9.3554327931465995</v>
      </c>
      <c r="AB392" s="2">
        <v>0.498273757707482</v>
      </c>
      <c r="AC392" s="2">
        <v>2.30460807410957</v>
      </c>
      <c r="AD392" s="2">
        <v>2.7120012700068501</v>
      </c>
      <c r="AE392" s="2">
        <v>0.43736845944783898</v>
      </c>
      <c r="AF392" s="2">
        <v>0.36297635268843598</v>
      </c>
      <c r="AG392" s="2">
        <v>0.97365312017713501</v>
      </c>
      <c r="AH392" s="2">
        <v>0.89450415695164498</v>
      </c>
      <c r="AI392" s="2">
        <v>-0.234715870855467</v>
      </c>
      <c r="AJ392" s="2">
        <v>0.89745244245817402</v>
      </c>
      <c r="AK392" s="2">
        <v>1.7886512920783099E-2</v>
      </c>
      <c r="AL392" s="2">
        <v>6.2173226982215901</v>
      </c>
      <c r="AM392" s="2">
        <v>5.8652581689542798</v>
      </c>
      <c r="AN392" s="2">
        <v>27.159574468085101</v>
      </c>
      <c r="AO392" s="2">
        <v>0.14446582163875099</v>
      </c>
      <c r="AP392" s="2">
        <v>18.840425531914899</v>
      </c>
      <c r="AQ392" s="2">
        <v>9.9236079674060704</v>
      </c>
      <c r="AR392" s="2">
        <v>80.7340425531915</v>
      </c>
      <c r="AS392" s="2">
        <v>19.9255319148936</v>
      </c>
      <c r="AT392" s="2">
        <v>1665.62765957447</v>
      </c>
      <c r="AU392" s="2">
        <v>0.32034716879209002</v>
      </c>
      <c r="AV392" s="2">
        <v>3.0501881070029699E-2</v>
      </c>
      <c r="AW392" s="2">
        <v>0.16282897765798399</v>
      </c>
      <c r="AX392" s="2">
        <v>4.1170505056659999E-2</v>
      </c>
      <c r="AY392" s="2">
        <v>201.66984991969801</v>
      </c>
      <c r="AZ392" s="2">
        <v>0.10409870840807101</v>
      </c>
      <c r="BA392" s="2">
        <v>4.5359020368440897</v>
      </c>
      <c r="BB392" s="2">
        <v>435</v>
      </c>
    </row>
    <row r="393" spans="1:54" ht="13" x14ac:dyDescent="0.15">
      <c r="A393" s="1" t="s">
        <v>1188</v>
      </c>
      <c r="B393" s="1" t="s">
        <v>1189</v>
      </c>
      <c r="C393" s="4" t="s">
        <v>1190</v>
      </c>
      <c r="D393" s="1" t="s">
        <v>14</v>
      </c>
      <c r="E393" s="2">
        <v>27150</v>
      </c>
      <c r="F393" s="2">
        <v>66891</v>
      </c>
      <c r="G393" s="2">
        <v>45699</v>
      </c>
      <c r="H393" s="2">
        <f t="shared" si="2"/>
        <v>139740</v>
      </c>
      <c r="I393" s="2">
        <v>249285</v>
      </c>
      <c r="J393" s="2">
        <v>1493997</v>
      </c>
      <c r="K393" s="2">
        <f t="shared" si="3"/>
        <v>9.3534324366113183E-2</v>
      </c>
      <c r="M393" s="2">
        <v>0.80553558802436398</v>
      </c>
      <c r="N393" s="2">
        <v>0.71522558078084997</v>
      </c>
      <c r="O393" s="2">
        <v>31.913039977903701</v>
      </c>
      <c r="P393" s="2">
        <v>44.619544987558299</v>
      </c>
      <c r="Q393" s="2">
        <v>54.230987451825001</v>
      </c>
      <c r="R393" s="2">
        <v>35.942631408932399</v>
      </c>
      <c r="S393" s="2">
        <v>0.37048553054880501</v>
      </c>
      <c r="T393" s="2">
        <v>11759.187249369401</v>
      </c>
      <c r="U393" s="2">
        <v>484</v>
      </c>
      <c r="V393" s="2">
        <v>1029</v>
      </c>
      <c r="W393" s="2">
        <v>704.22176604179799</v>
      </c>
      <c r="X393" s="2">
        <v>133141.35645501901</v>
      </c>
      <c r="Y393" s="2">
        <v>-442.104251534176</v>
      </c>
      <c r="Z393" s="2">
        <v>258.907140731742</v>
      </c>
      <c r="AA393" s="2">
        <v>14.5604820966131</v>
      </c>
      <c r="AB393" s="2">
        <v>0.89349566153146398</v>
      </c>
      <c r="AC393" s="2">
        <v>2.8248809360095501</v>
      </c>
      <c r="AD393" s="2">
        <v>3.0469028916837999</v>
      </c>
      <c r="AE393" s="2">
        <v>0.39513012468884801</v>
      </c>
      <c r="AF393" s="2">
        <v>0.31269636805999301</v>
      </c>
      <c r="AG393" s="2">
        <v>0.99332861901140601</v>
      </c>
      <c r="AH393" s="2">
        <v>0.94455867307049501</v>
      </c>
      <c r="AI393" s="2">
        <v>-0.236414550613297</v>
      </c>
      <c r="AJ393" s="2">
        <v>0.94832938706061898</v>
      </c>
      <c r="AK393" s="2">
        <v>2.9548225315253599E-3</v>
      </c>
      <c r="AL393" s="2">
        <v>8.8197347743330408</v>
      </c>
      <c r="AM393" s="2">
        <v>7.9328272843181402</v>
      </c>
      <c r="AN393" s="2">
        <v>3878.5199263351801</v>
      </c>
      <c r="AO393" s="2">
        <v>0.142855245905531</v>
      </c>
      <c r="AP393" s="2">
        <v>907.53716390423597</v>
      </c>
      <c r="AQ393" s="2">
        <v>68.530331438804296</v>
      </c>
      <c r="AR393" s="2">
        <v>671.97362799263396</v>
      </c>
      <c r="AS393" s="2">
        <v>20.150128913443801</v>
      </c>
      <c r="AT393" s="2">
        <v>15757.623793738499</v>
      </c>
      <c r="AU393" s="2">
        <v>4.3959800060051499E-2</v>
      </c>
      <c r="AV393" s="2">
        <v>2.72940940956136E-3</v>
      </c>
      <c r="AW393" s="2">
        <v>1.4263396576126799</v>
      </c>
      <c r="AX393" s="2">
        <v>6.6833894114937597E-4</v>
      </c>
      <c r="AY393" s="2">
        <v>1457.4984089474899</v>
      </c>
      <c r="AZ393" s="2">
        <v>0.112453056409112</v>
      </c>
      <c r="BA393" s="2">
        <v>0.49065221135340398</v>
      </c>
      <c r="BB393" s="2">
        <v>275</v>
      </c>
    </row>
    <row r="394" spans="1:54" ht="13" x14ac:dyDescent="0.15">
      <c r="A394" s="1" t="s">
        <v>1191</v>
      </c>
      <c r="B394" s="1" t="s">
        <v>1192</v>
      </c>
      <c r="C394" s="4" t="s">
        <v>1193</v>
      </c>
      <c r="D394" s="1" t="s">
        <v>14</v>
      </c>
      <c r="E394" s="2">
        <v>17619</v>
      </c>
      <c r="F394" s="2">
        <v>68622</v>
      </c>
      <c r="G394" s="2">
        <v>42880</v>
      </c>
      <c r="H394" s="2">
        <f t="shared" si="2"/>
        <v>129121</v>
      </c>
      <c r="I394" s="2">
        <v>223427</v>
      </c>
      <c r="J394" s="2">
        <v>1844478</v>
      </c>
      <c r="K394" s="2">
        <f t="shared" si="3"/>
        <v>7.0004087877437407E-2</v>
      </c>
      <c r="M394" s="2">
        <v>0.71101620582500602</v>
      </c>
      <c r="N394" s="2">
        <v>0.60658615522559001</v>
      </c>
      <c r="O394" s="2">
        <v>26.763081639948499</v>
      </c>
      <c r="P394" s="2">
        <v>44.120825062344601</v>
      </c>
      <c r="Q394" s="2">
        <v>43.9317652729776</v>
      </c>
      <c r="R394" s="2">
        <v>31.370621633697102</v>
      </c>
      <c r="S394" s="2">
        <v>0.39723264805702202</v>
      </c>
      <c r="T394" s="2">
        <v>8178.5791978862999</v>
      </c>
      <c r="U394" s="2">
        <v>784</v>
      </c>
      <c r="V394" s="2">
        <v>1524</v>
      </c>
      <c r="W394" s="2">
        <v>1021.31764088958</v>
      </c>
      <c r="X394" s="2">
        <v>385617.59479615203</v>
      </c>
      <c r="Y394" s="2">
        <v>-428.02362483557602</v>
      </c>
      <c r="Z394" s="2">
        <v>480.83958468572098</v>
      </c>
      <c r="AA394" s="2">
        <v>25.515681717218701</v>
      </c>
      <c r="AB394" s="2">
        <v>0.89923467279788405</v>
      </c>
      <c r="AC394" s="2">
        <v>3.4279977595559199</v>
      </c>
      <c r="AD394" s="2">
        <v>3.3361762250108602</v>
      </c>
      <c r="AE394" s="2">
        <v>0.38593005167424199</v>
      </c>
      <c r="AF394" s="2">
        <v>0.30737332368688097</v>
      </c>
      <c r="AG394" s="2">
        <v>0.99110422900053197</v>
      </c>
      <c r="AH394" s="2">
        <v>0.941877955614146</v>
      </c>
      <c r="AI394" s="2">
        <v>-0.24189657631660999</v>
      </c>
      <c r="AJ394" s="2">
        <v>0.95662995598693601</v>
      </c>
      <c r="AK394" s="2">
        <v>2.63644672614578E-3</v>
      </c>
      <c r="AL394" s="2">
        <v>9.2529667062630203</v>
      </c>
      <c r="AM394" s="2">
        <v>8.2504639224295104</v>
      </c>
      <c r="AN394" s="2">
        <v>2357.9131051705499</v>
      </c>
      <c r="AO394" s="2">
        <v>0.13382786226065899</v>
      </c>
      <c r="AP394" s="2">
        <v>498.947329587377</v>
      </c>
      <c r="AQ394" s="2">
        <v>127.42899196896001</v>
      </c>
      <c r="AR394" s="2">
        <v>984.74300471082404</v>
      </c>
      <c r="AS394" s="2">
        <v>22.402009194619399</v>
      </c>
      <c r="AT394" s="2">
        <v>21859.180032919001</v>
      </c>
      <c r="AU394" s="2">
        <v>4.7702254272435497E-2</v>
      </c>
      <c r="AV394" s="2">
        <v>2.21246261690204E-3</v>
      </c>
      <c r="AW394" s="2">
        <v>0.680075554593499</v>
      </c>
      <c r="AX394" s="2">
        <v>1.0728476844334E-3</v>
      </c>
      <c r="AY394" s="2">
        <v>2180.05343290681</v>
      </c>
      <c r="AZ394" s="2">
        <v>0.19319782628691801</v>
      </c>
      <c r="BA394" s="2">
        <v>1.0582000053240599</v>
      </c>
      <c r="BB394" s="2">
        <v>332</v>
      </c>
    </row>
    <row r="395" spans="1:54" ht="13" x14ac:dyDescent="0.15">
      <c r="A395" s="1" t="s">
        <v>1194</v>
      </c>
      <c r="B395" s="1" t="s">
        <v>1195</v>
      </c>
      <c r="C395" s="4" t="s">
        <v>1196</v>
      </c>
      <c r="D395" s="1" t="s">
        <v>14</v>
      </c>
      <c r="E395" s="2">
        <v>19376</v>
      </c>
      <c r="F395" s="2">
        <v>47470</v>
      </c>
      <c r="G395" s="2">
        <v>31298</v>
      </c>
      <c r="H395" s="2">
        <f t="shared" si="2"/>
        <v>98144</v>
      </c>
      <c r="I395" s="2">
        <v>246469</v>
      </c>
      <c r="J395" s="2">
        <v>1823218</v>
      </c>
      <c r="K395" s="2">
        <f t="shared" si="3"/>
        <v>5.3830096017042396E-2</v>
      </c>
      <c r="M395" s="2">
        <v>0.70136621457069803</v>
      </c>
      <c r="N395" s="2">
        <v>0.35756879030848998</v>
      </c>
      <c r="O395" s="2">
        <v>21.747404072529999</v>
      </c>
      <c r="P395" s="2">
        <v>60.820196454415502</v>
      </c>
      <c r="Q395" s="2">
        <v>54.589376255824703</v>
      </c>
      <c r="R395" s="2">
        <v>42.657230956679598</v>
      </c>
      <c r="S395" s="2">
        <v>0.41428048063374801</v>
      </c>
      <c r="T395" s="2">
        <v>8378.0794382428303</v>
      </c>
      <c r="U395" s="2">
        <v>790</v>
      </c>
      <c r="V395" s="2">
        <v>1413</v>
      </c>
      <c r="W395" s="2">
        <v>2229.5106280524501</v>
      </c>
      <c r="X395" s="2">
        <v>306473.60669653898</v>
      </c>
      <c r="Y395" s="2">
        <v>-4149.5939343589498</v>
      </c>
      <c r="Z395" s="2">
        <v>288.558736881654</v>
      </c>
      <c r="AA395" s="2">
        <v>24.234504134366802</v>
      </c>
      <c r="AB395" s="2">
        <v>0.84467654223746502</v>
      </c>
      <c r="AC395" s="2">
        <v>3.40199499956926</v>
      </c>
      <c r="AD395" s="2">
        <v>3.29867701461297</v>
      </c>
      <c r="AE395" s="2">
        <v>0.36750640409572799</v>
      </c>
      <c r="AF395" s="2">
        <v>0.28259838181219299</v>
      </c>
      <c r="AG395" s="2">
        <v>0.99617786018434096</v>
      </c>
      <c r="AH395" s="2">
        <v>0.95983926067876002</v>
      </c>
      <c r="AI395" s="2">
        <v>-0.20643527090301</v>
      </c>
      <c r="AJ395" s="2">
        <v>0.931339273425832</v>
      </c>
      <c r="AK395" s="2">
        <v>2.8953836907260801E-3</v>
      </c>
      <c r="AL395" s="2">
        <v>9.0424741679725997</v>
      </c>
      <c r="AM395" s="2">
        <v>7.9214560261609597</v>
      </c>
      <c r="AN395" s="2">
        <v>2955.3349504541702</v>
      </c>
      <c r="AO395" s="2">
        <v>0.15252554451146599</v>
      </c>
      <c r="AP395" s="2">
        <v>678.77477291494597</v>
      </c>
      <c r="AQ395" s="2">
        <v>82.882477177278801</v>
      </c>
      <c r="AR395" s="2">
        <v>2183.5075350949601</v>
      </c>
      <c r="AS395" s="2">
        <v>16.975743187448401</v>
      </c>
      <c r="AT395" s="2">
        <v>36477.028798513602</v>
      </c>
      <c r="AU395" s="2">
        <v>1.0953407207337101E-2</v>
      </c>
      <c r="AV395" s="2">
        <v>8.2042738442097095E-4</v>
      </c>
      <c r="AW395" s="2">
        <v>0.26958042167310198</v>
      </c>
      <c r="AX395" s="2">
        <v>7.7937548571007905E-4</v>
      </c>
      <c r="AY395" s="2">
        <v>5714.1348814223102</v>
      </c>
      <c r="AZ395" s="2">
        <v>6.1314212476657901E-2</v>
      </c>
      <c r="BA395" s="2">
        <v>2.31108963954004</v>
      </c>
      <c r="BB395" s="2">
        <v>319</v>
      </c>
    </row>
    <row r="396" spans="1:54" ht="13" x14ac:dyDescent="0.15">
      <c r="A396" s="1" t="s">
        <v>1197</v>
      </c>
      <c r="B396" s="1" t="s">
        <v>1198</v>
      </c>
      <c r="C396" s="4" t="s">
        <v>1199</v>
      </c>
      <c r="D396" s="1" t="s">
        <v>14</v>
      </c>
      <c r="E396" s="2">
        <v>38605</v>
      </c>
      <c r="F396" s="2">
        <v>6324</v>
      </c>
      <c r="G396" s="2">
        <v>21217</v>
      </c>
      <c r="H396" s="2">
        <f t="shared" si="2"/>
        <v>66146</v>
      </c>
      <c r="I396" s="2">
        <v>72545</v>
      </c>
      <c r="J396" s="2">
        <v>1288715</v>
      </c>
      <c r="K396" s="2">
        <f t="shared" si="3"/>
        <v>5.1327097147158218E-2</v>
      </c>
      <c r="M396" s="2">
        <v>0.68429377641098499</v>
      </c>
      <c r="N396" s="2">
        <v>0.456461956117102</v>
      </c>
      <c r="O396" s="2">
        <v>26.317059487124201</v>
      </c>
      <c r="P396" s="2">
        <v>57.654442247477903</v>
      </c>
      <c r="Q396" s="2">
        <v>59.682493245507104</v>
      </c>
      <c r="R396" s="2">
        <v>39.452576012395703</v>
      </c>
      <c r="S396" s="2">
        <v>0.59197699925449099</v>
      </c>
      <c r="T396" s="2">
        <v>9321.0138978310406</v>
      </c>
      <c r="U396" s="2">
        <v>1739</v>
      </c>
      <c r="V396" s="2">
        <v>1984</v>
      </c>
      <c r="W396" s="2">
        <v>4550.7466265779303</v>
      </c>
      <c r="X396" s="2">
        <v>247686.33210067899</v>
      </c>
      <c r="Y396" s="2">
        <v>-2925.4030183263098</v>
      </c>
      <c r="Z396" s="2">
        <v>87.755011453432203</v>
      </c>
      <c r="AA396" s="2">
        <v>19.878867825377199</v>
      </c>
      <c r="AB396" s="2">
        <v>0.62902758425372796</v>
      </c>
      <c r="AC396" s="2">
        <v>2.0399273384764101</v>
      </c>
      <c r="AD396" s="2">
        <v>2.5334838283336598</v>
      </c>
      <c r="AE396" s="2">
        <v>0.54940534979988298</v>
      </c>
      <c r="AF396" s="2">
        <v>0.50623610751231496</v>
      </c>
      <c r="AG396" s="2">
        <v>0.99716103498007802</v>
      </c>
      <c r="AH396" s="2">
        <v>0.97697866670672795</v>
      </c>
      <c r="AI396" s="2">
        <v>-0.242437229930761</v>
      </c>
      <c r="AJ396" s="2">
        <v>0.92242703074097798</v>
      </c>
      <c r="AK396" s="2">
        <v>1.55999910671846E-2</v>
      </c>
      <c r="AL396" s="2">
        <v>6.9642594473222301</v>
      </c>
      <c r="AM396" s="2">
        <v>7.9265430132569898</v>
      </c>
      <c r="AN396" s="2">
        <v>2479.3811423390798</v>
      </c>
      <c r="AO396" s="2">
        <v>6.4224352864630893E-2</v>
      </c>
      <c r="AP396" s="2">
        <v>2963.1164097914798</v>
      </c>
      <c r="AQ396" s="2">
        <v>34.239457493772299</v>
      </c>
      <c r="AR396" s="2">
        <v>4519.1063851832696</v>
      </c>
      <c r="AS396" s="2">
        <v>78.034218365496699</v>
      </c>
      <c r="AT396" s="2">
        <v>364745.52451755002</v>
      </c>
      <c r="AU396" s="2">
        <v>1.7538888596423899E-2</v>
      </c>
      <c r="AV396" s="2">
        <v>3.6772640873368402E-4</v>
      </c>
      <c r="AW396" s="2">
        <v>0.36938603752756299</v>
      </c>
      <c r="AX396" s="2">
        <v>3.0132431590109299E-4</v>
      </c>
      <c r="AY396" s="2">
        <v>6518.2103825303202</v>
      </c>
      <c r="AZ396" s="2">
        <v>1.90494641314355E-2</v>
      </c>
      <c r="BA396" s="2">
        <v>2.9895854540532598</v>
      </c>
      <c r="BB396" s="2">
        <v>183</v>
      </c>
    </row>
    <row r="397" spans="1:54" ht="13" x14ac:dyDescent="0.15">
      <c r="A397" s="1" t="s">
        <v>1200</v>
      </c>
      <c r="B397" s="1" t="s">
        <v>1201</v>
      </c>
      <c r="C397" s="4" t="s">
        <v>1202</v>
      </c>
      <c r="D397" s="1" t="s">
        <v>14</v>
      </c>
      <c r="E397" s="2">
        <v>554</v>
      </c>
      <c r="F397" s="2">
        <v>12597</v>
      </c>
      <c r="G397" s="2">
        <v>4178</v>
      </c>
      <c r="H397" s="2">
        <f t="shared" si="2"/>
        <v>17329</v>
      </c>
      <c r="I397" s="2">
        <v>21623</v>
      </c>
      <c r="J397" s="2">
        <v>1799129</v>
      </c>
      <c r="K397" s="2">
        <f t="shared" si="3"/>
        <v>9.6318829833769559E-3</v>
      </c>
      <c r="M397" s="2">
        <v>0.94735776232994795</v>
      </c>
      <c r="N397" s="2">
        <v>0.68202599586747803</v>
      </c>
      <c r="O397" s="2">
        <v>9.0101554248862694</v>
      </c>
      <c r="P397" s="2">
        <v>13.2108680306622</v>
      </c>
      <c r="Q397" s="2">
        <v>15.2970585407784</v>
      </c>
      <c r="R397" s="2">
        <v>12.5154183759644</v>
      </c>
      <c r="S397" s="2">
        <v>0.57744806758703504</v>
      </c>
      <c r="T397" s="2">
        <v>549.76561959321896</v>
      </c>
      <c r="U397" s="2">
        <v>667</v>
      </c>
      <c r="V397" s="2">
        <v>1315.7</v>
      </c>
      <c r="W397" s="2">
        <v>677.31397588960397</v>
      </c>
      <c r="X397" s="2">
        <v>350378.05368447298</v>
      </c>
      <c r="Y397" s="2">
        <v>-8186.0939151463499</v>
      </c>
      <c r="Z397" s="2">
        <v>286.78483076436498</v>
      </c>
      <c r="AA397" s="2">
        <v>19.3114101164776</v>
      </c>
      <c r="AB397" s="2">
        <v>0.872551356721885</v>
      </c>
      <c r="AC397" s="2">
        <v>2.8199840152961602</v>
      </c>
      <c r="AD397" s="2">
        <v>3.0030294616426398</v>
      </c>
      <c r="AE397" s="2">
        <v>0.43295477296005003</v>
      </c>
      <c r="AF397" s="2">
        <v>0.36548663955100802</v>
      </c>
      <c r="AG397" s="2">
        <v>0.98576252596482405</v>
      </c>
      <c r="AH397" s="2">
        <v>0.93167279638108402</v>
      </c>
      <c r="AI397" s="2">
        <v>-0.27691417949759001</v>
      </c>
      <c r="AJ397" s="2">
        <v>0.93682937621257101</v>
      </c>
      <c r="AK397" s="2">
        <v>1.6749590315969599E-2</v>
      </c>
      <c r="AL397" s="2">
        <v>6.5938937703865301</v>
      </c>
      <c r="AM397" s="2">
        <v>6.4431214791237501</v>
      </c>
      <c r="AN397" s="2">
        <v>75.913357400722006</v>
      </c>
      <c r="AO397" s="2">
        <v>0.13702772093993101</v>
      </c>
      <c r="AP397" s="2">
        <v>44.801444043321297</v>
      </c>
      <c r="AQ397" s="2">
        <v>97.012449660493402</v>
      </c>
      <c r="AR397" s="2">
        <v>631.59025270758104</v>
      </c>
      <c r="AS397" s="2">
        <v>20.079422382671499</v>
      </c>
      <c r="AT397" s="2">
        <v>13323.1389891697</v>
      </c>
      <c r="AU397" s="2">
        <v>0.19445161769054201</v>
      </c>
      <c r="AV397" s="2">
        <v>1.2754540084867301E-2</v>
      </c>
      <c r="AW397" s="2">
        <v>6.00041556567147E-2</v>
      </c>
      <c r="AX397" s="2">
        <v>1.4768576692978199E-2</v>
      </c>
      <c r="AY397" s="2">
        <v>1184.7139060008201</v>
      </c>
      <c r="AZ397" s="2">
        <v>0.39705780678175601</v>
      </c>
      <c r="BA397" s="2">
        <v>11.9287059400594</v>
      </c>
      <c r="BB397" s="2">
        <v>1320</v>
      </c>
    </row>
    <row r="398" spans="1:54" ht="13" x14ac:dyDescent="0.15">
      <c r="A398" s="1" t="s">
        <v>1203</v>
      </c>
      <c r="B398" s="1" t="s">
        <v>1204</v>
      </c>
      <c r="C398" s="4" t="s">
        <v>1205</v>
      </c>
      <c r="D398" s="1" t="s">
        <v>14</v>
      </c>
      <c r="E398" s="2">
        <v>27547</v>
      </c>
      <c r="F398" s="2">
        <v>68355</v>
      </c>
      <c r="G398" s="2">
        <v>52446</v>
      </c>
      <c r="H398" s="2">
        <f t="shared" si="2"/>
        <v>148348</v>
      </c>
      <c r="I398" s="2">
        <v>202025</v>
      </c>
      <c r="J398" s="2">
        <v>1765605</v>
      </c>
      <c r="K398" s="2">
        <f t="shared" si="3"/>
        <v>8.4021057937647442E-2</v>
      </c>
      <c r="M398" s="2">
        <v>0.864373687748071</v>
      </c>
      <c r="N398" s="2">
        <v>0.62000771140968902</v>
      </c>
      <c r="O398" s="2">
        <v>31.661664747383099</v>
      </c>
      <c r="P398" s="2">
        <v>51.066566051888401</v>
      </c>
      <c r="Q398" s="2">
        <v>55.731499172371102</v>
      </c>
      <c r="R398" s="2">
        <v>44.140596018901199</v>
      </c>
      <c r="S398" s="2">
        <v>0.29227548748034499</v>
      </c>
      <c r="T398" s="2">
        <v>15024.3613955315</v>
      </c>
      <c r="U398" s="2">
        <v>371</v>
      </c>
      <c r="V398" s="2">
        <v>697</v>
      </c>
      <c r="W398" s="2">
        <v>486.17604745520299</v>
      </c>
      <c r="X398" s="2">
        <v>48612.470964435597</v>
      </c>
      <c r="Y398" s="2">
        <v>159.64038715885201</v>
      </c>
      <c r="Z398" s="2">
        <v>105.704865177611</v>
      </c>
      <c r="AA398" s="2">
        <v>10.3682493687845</v>
      </c>
      <c r="AB398" s="2">
        <v>0.82054248166052002</v>
      </c>
      <c r="AC398" s="2">
        <v>2.29603607443241</v>
      </c>
      <c r="AD398" s="2">
        <v>2.78812307445902</v>
      </c>
      <c r="AE398" s="2">
        <v>0.44216079779338702</v>
      </c>
      <c r="AF398" s="2">
        <v>0.36875673892403998</v>
      </c>
      <c r="AG398" s="2">
        <v>0.99612524975491501</v>
      </c>
      <c r="AH398" s="2">
        <v>0.95849499439595998</v>
      </c>
      <c r="AI398" s="2">
        <v>-0.20589047321704201</v>
      </c>
      <c r="AJ398" s="2">
        <v>0.90782969762451804</v>
      </c>
      <c r="AK398" s="2">
        <v>6.7120263201818804E-3</v>
      </c>
      <c r="AL398" s="2">
        <v>7.9029636063857103</v>
      </c>
      <c r="AM398" s="2">
        <v>7.6205650861333796</v>
      </c>
      <c r="AN398" s="2">
        <v>3320.32333829455</v>
      </c>
      <c r="AO398" s="2">
        <v>0.120533028580047</v>
      </c>
      <c r="AP398" s="2">
        <v>1560.5391875703299</v>
      </c>
      <c r="AQ398" s="2">
        <v>31.5978509456565</v>
      </c>
      <c r="AR398" s="2">
        <v>482.34341307583401</v>
      </c>
      <c r="AS398" s="2">
        <v>26.870258104330802</v>
      </c>
      <c r="AT398" s="2">
        <v>12527.3423603296</v>
      </c>
      <c r="AU398" s="2">
        <v>9.7238912412628595E-2</v>
      </c>
      <c r="AV398" s="2">
        <v>4.1137701094613897E-3</v>
      </c>
      <c r="AW398" s="2">
        <v>1.5033435488289599</v>
      </c>
      <c r="AX398" s="2">
        <v>5.1842820996402699E-4</v>
      </c>
      <c r="AY398" s="2">
        <v>1391.15808944269</v>
      </c>
      <c r="AZ398" s="2">
        <v>4.1331614753597798E-2</v>
      </c>
      <c r="BA398" s="2">
        <v>0.55020541003973999</v>
      </c>
      <c r="BB398" s="2">
        <v>405</v>
      </c>
    </row>
    <row r="399" spans="1:54" ht="13" x14ac:dyDescent="0.15">
      <c r="A399" s="1" t="s">
        <v>1206</v>
      </c>
      <c r="B399" s="1" t="s">
        <v>1207</v>
      </c>
      <c r="C399" s="4" t="s">
        <v>1208</v>
      </c>
      <c r="D399" s="1" t="s">
        <v>14</v>
      </c>
      <c r="E399" s="2">
        <v>3009</v>
      </c>
      <c r="F399" s="2">
        <v>81197</v>
      </c>
      <c r="G399" s="2">
        <v>19700</v>
      </c>
      <c r="H399" s="2">
        <f t="shared" si="2"/>
        <v>103906</v>
      </c>
      <c r="I399" s="2">
        <v>159472</v>
      </c>
      <c r="J399" s="2">
        <v>1634599</v>
      </c>
      <c r="K399" s="2">
        <f t="shared" si="3"/>
        <v>6.3566660691704815E-2</v>
      </c>
      <c r="M399" s="2">
        <v>0.82621680696002797</v>
      </c>
      <c r="N399" s="2">
        <v>0.58809323594567597</v>
      </c>
      <c r="O399" s="2">
        <v>17.634111617006901</v>
      </c>
      <c r="P399" s="2">
        <v>29.9852311490212</v>
      </c>
      <c r="Q399" s="2">
        <v>34.2052627529741</v>
      </c>
      <c r="R399" s="2">
        <v>24.774301935902699</v>
      </c>
      <c r="S399" s="2">
        <v>0.30221441050238101</v>
      </c>
      <c r="T399" s="2">
        <v>3222.6612680819499</v>
      </c>
      <c r="U399" s="2">
        <v>947.6</v>
      </c>
      <c r="V399" s="2">
        <v>1761.2</v>
      </c>
      <c r="W399" s="2">
        <v>2174.46235797496</v>
      </c>
      <c r="X399" s="2">
        <v>2148330.1635512002</v>
      </c>
      <c r="Y399" s="2">
        <v>-10465.368200159301</v>
      </c>
      <c r="Z399" s="2">
        <v>785.88829529065697</v>
      </c>
      <c r="AA399" s="2">
        <v>102.631399308742</v>
      </c>
      <c r="AB399" s="2">
        <v>0.76967137603219105</v>
      </c>
      <c r="AC399" s="2">
        <v>6.2239348535223096</v>
      </c>
      <c r="AD399" s="2">
        <v>4.0554944907955601</v>
      </c>
      <c r="AE399" s="2">
        <v>0.32353566233782299</v>
      </c>
      <c r="AF399" s="2">
        <v>0.24746566483120899</v>
      </c>
      <c r="AG399" s="2">
        <v>0.98738128172205297</v>
      </c>
      <c r="AH399" s="2">
        <v>0.93848782563243704</v>
      </c>
      <c r="AI399" s="2">
        <v>-0.30379491977171103</v>
      </c>
      <c r="AJ399" s="2">
        <v>0.98431293593375602</v>
      </c>
      <c r="AK399" s="2">
        <v>1.9614906413644101E-3</v>
      </c>
      <c r="AL399" s="2">
        <v>9.7694510967688792</v>
      </c>
      <c r="AM399" s="2">
        <v>7.9818516220479401</v>
      </c>
      <c r="AN399" s="2">
        <v>615.70255898969799</v>
      </c>
      <c r="AO399" s="2">
        <v>0.20462032535383801</v>
      </c>
      <c r="AP399" s="2">
        <v>74.433698903290093</v>
      </c>
      <c r="AQ399" s="2">
        <v>196.180864076652</v>
      </c>
      <c r="AR399" s="2">
        <v>2273.8620804253901</v>
      </c>
      <c r="AS399" s="2">
        <v>11.490528414755699</v>
      </c>
      <c r="AT399" s="2">
        <v>24026.3951478897</v>
      </c>
      <c r="AU399" s="2">
        <v>1.42787605785659E-2</v>
      </c>
      <c r="AV399" s="2">
        <v>2.1777764466436298E-3</v>
      </c>
      <c r="AW399" s="2">
        <v>4.3847805391024702E-2</v>
      </c>
      <c r="AX399" s="2">
        <v>4.98740649864313E-3</v>
      </c>
      <c r="AY399" s="2">
        <v>10072.433681254301</v>
      </c>
      <c r="AZ399" s="2">
        <v>0.18865472082437301</v>
      </c>
      <c r="BA399" s="2">
        <v>13.2832505539095</v>
      </c>
      <c r="BB399" s="2">
        <v>2144</v>
      </c>
    </row>
    <row r="400" spans="1:54" ht="13" x14ac:dyDescent="0.15">
      <c r="A400" s="1" t="s">
        <v>1209</v>
      </c>
      <c r="B400" s="1" t="s">
        <v>1210</v>
      </c>
      <c r="C400" s="4" t="s">
        <v>1211</v>
      </c>
      <c r="D400" s="1" t="s">
        <v>14</v>
      </c>
      <c r="E400" s="2">
        <v>1662</v>
      </c>
      <c r="F400" s="2">
        <v>7632</v>
      </c>
      <c r="G400" s="2">
        <v>7236</v>
      </c>
      <c r="H400" s="2">
        <f t="shared" si="2"/>
        <v>16530</v>
      </c>
      <c r="I400" s="2">
        <v>21831</v>
      </c>
      <c r="J400" s="2">
        <v>1469184</v>
      </c>
      <c r="K400" s="2">
        <f t="shared" si="3"/>
        <v>1.1251143491897543E-2</v>
      </c>
      <c r="M400" s="2">
        <v>0.79573492082340203</v>
      </c>
      <c r="N400" s="2">
        <v>0.61766813028062795</v>
      </c>
      <c r="O400" s="2">
        <v>12.8173777042627</v>
      </c>
      <c r="P400" s="2">
        <v>20.7512369117043</v>
      </c>
      <c r="Q400" s="2">
        <v>22.472205054244199</v>
      </c>
      <c r="R400" s="2">
        <v>16.5124838609226</v>
      </c>
      <c r="S400" s="2">
        <v>0.38629389498929401</v>
      </c>
      <c r="T400" s="2">
        <v>1714.37503311568</v>
      </c>
      <c r="U400" s="2">
        <v>292</v>
      </c>
      <c r="V400" s="2">
        <v>628</v>
      </c>
      <c r="W400" s="2">
        <v>166.89976589523499</v>
      </c>
      <c r="X400" s="2">
        <v>17481.811985938799</v>
      </c>
      <c r="Y400" s="2">
        <v>169.68602609983901</v>
      </c>
      <c r="Z400" s="2">
        <v>95.689391471211096</v>
      </c>
      <c r="AA400" s="2">
        <v>11.811326686477001</v>
      </c>
      <c r="AB400" s="2">
        <v>0.78023314074903805</v>
      </c>
      <c r="AC400" s="2">
        <v>2.5205061905570001</v>
      </c>
      <c r="AD400" s="2">
        <v>2.89637888189952</v>
      </c>
      <c r="AE400" s="2">
        <v>0.42406294632189301</v>
      </c>
      <c r="AF400" s="2">
        <v>0.34707728851308201</v>
      </c>
      <c r="AG400" s="2">
        <v>0.98371703173094704</v>
      </c>
      <c r="AH400" s="2">
        <v>0.91716786697929098</v>
      </c>
      <c r="AI400" s="2">
        <v>-0.196147541509857</v>
      </c>
      <c r="AJ400" s="2">
        <v>0.89364434730198805</v>
      </c>
      <c r="AK400" s="2">
        <v>6.67944521469998E-3</v>
      </c>
      <c r="AL400" s="2">
        <v>7.66998884730185</v>
      </c>
      <c r="AM400" s="2">
        <v>6.9950159768518798</v>
      </c>
      <c r="AN400" s="2">
        <v>248.30685920577599</v>
      </c>
      <c r="AO400" s="2">
        <v>0.14940244236208</v>
      </c>
      <c r="AP400" s="2">
        <v>97.542719614921793</v>
      </c>
      <c r="AQ400" s="2">
        <v>26.160168326910998</v>
      </c>
      <c r="AR400" s="2">
        <v>152.269554753309</v>
      </c>
      <c r="AS400" s="2">
        <v>19.066185318892899</v>
      </c>
      <c r="AT400" s="2">
        <v>2782.9903730445299</v>
      </c>
      <c r="AU400" s="2">
        <v>0.34140300191414202</v>
      </c>
      <c r="AV400" s="2">
        <v>1.75705172705534E-2</v>
      </c>
      <c r="AW400" s="2">
        <v>0.80552302157794697</v>
      </c>
      <c r="AX400" s="2">
        <v>7.2579315261104404E-3</v>
      </c>
      <c r="AY400" s="2">
        <v>340.18584491134101</v>
      </c>
      <c r="AZ400" s="2">
        <v>0.14190572798324899</v>
      </c>
      <c r="BA400" s="2">
        <v>1.5043666700252201</v>
      </c>
      <c r="BB400" s="2">
        <v>1347</v>
      </c>
    </row>
    <row r="401" spans="1:54" ht="13" x14ac:dyDescent="0.15">
      <c r="A401" s="1" t="s">
        <v>1212</v>
      </c>
      <c r="B401" s="1" t="s">
        <v>1213</v>
      </c>
      <c r="C401" s="4" t="s">
        <v>1214</v>
      </c>
      <c r="D401" s="1" t="s">
        <v>14</v>
      </c>
      <c r="E401" s="2">
        <v>2437</v>
      </c>
      <c r="F401" s="2">
        <v>86663</v>
      </c>
      <c r="G401" s="2">
        <v>12490</v>
      </c>
      <c r="H401" s="2">
        <f t="shared" si="2"/>
        <v>101590</v>
      </c>
      <c r="I401" s="2">
        <v>157321</v>
      </c>
      <c r="J401" s="2">
        <v>1414832</v>
      </c>
      <c r="K401" s="2">
        <f t="shared" si="3"/>
        <v>7.1803578092664008E-2</v>
      </c>
      <c r="M401" s="2">
        <v>0.41325020352830699</v>
      </c>
      <c r="N401" s="2">
        <v>0.34896375260627699</v>
      </c>
      <c r="O401" s="2">
        <v>12.6041681139787</v>
      </c>
      <c r="P401" s="2">
        <v>36.118846212086403</v>
      </c>
      <c r="Q401" s="2">
        <v>22.135943621178701</v>
      </c>
      <c r="R401" s="2">
        <v>14.9261205483523</v>
      </c>
      <c r="S401" s="2">
        <v>0.37523352835128498</v>
      </c>
      <c r="T401" s="2">
        <v>2275.74912923179</v>
      </c>
      <c r="U401" s="2">
        <v>818.6</v>
      </c>
      <c r="V401" s="2">
        <v>1478.4</v>
      </c>
      <c r="W401" s="2">
        <v>1456.2255059506101</v>
      </c>
      <c r="X401" s="2">
        <v>500854.35240041098</v>
      </c>
      <c r="Y401" s="2">
        <v>-3833.6093457079701</v>
      </c>
      <c r="Z401" s="2">
        <v>363.70917682322602</v>
      </c>
      <c r="AA401" s="2">
        <v>81.060583934966402</v>
      </c>
      <c r="AB401" s="2">
        <v>0.63423104755176996</v>
      </c>
      <c r="AC401" s="2">
        <v>6.5406106647323998</v>
      </c>
      <c r="AD401" s="2">
        <v>4.1772892059810003</v>
      </c>
      <c r="AE401" s="2">
        <v>0.25803700548195901</v>
      </c>
      <c r="AF401" s="2">
        <v>0.17081129217336799</v>
      </c>
      <c r="AG401" s="2">
        <v>0.98233711604193996</v>
      </c>
      <c r="AH401" s="2">
        <v>0.91463705427943298</v>
      </c>
      <c r="AI401" s="2">
        <v>-0.186917108866719</v>
      </c>
      <c r="AJ401" s="2">
        <v>0.92860491842184101</v>
      </c>
      <c r="AK401" s="2">
        <v>1.7457230351593E-3</v>
      </c>
      <c r="AL401" s="2">
        <v>9.7247448526452906</v>
      </c>
      <c r="AM401" s="2">
        <v>7.3009005463668197</v>
      </c>
      <c r="AN401" s="2">
        <v>669.10915059499405</v>
      </c>
      <c r="AO401" s="2">
        <v>0.27456263873409698</v>
      </c>
      <c r="AP401" s="2">
        <v>74.832581042265105</v>
      </c>
      <c r="AQ401" s="2">
        <v>113.83041029512</v>
      </c>
      <c r="AR401" s="2">
        <v>1422.6844480919201</v>
      </c>
      <c r="AS401" s="2">
        <v>6.4961017644645098</v>
      </c>
      <c r="AT401" s="2">
        <v>9496.4497332786195</v>
      </c>
      <c r="AU401" s="2">
        <v>7.44705603263217E-3</v>
      </c>
      <c r="AV401" s="2">
        <v>2.2413353447212898E-3</v>
      </c>
      <c r="AW401" s="2">
        <v>8.5634368505131897E-2</v>
      </c>
      <c r="AX401" s="2">
        <v>4.3769240867716297E-3</v>
      </c>
      <c r="AY401" s="2">
        <v>6438.3346358708804</v>
      </c>
      <c r="AZ401" s="2">
        <v>0.218093864154673</v>
      </c>
      <c r="BA401" s="2">
        <v>6.3706393326141102</v>
      </c>
      <c r="BB401" s="2">
        <v>681</v>
      </c>
    </row>
    <row r="402" spans="1:54" ht="13" x14ac:dyDescent="0.15">
      <c r="A402" s="1" t="s">
        <v>1215</v>
      </c>
      <c r="B402" s="1" t="s">
        <v>1216</v>
      </c>
      <c r="C402" s="4" t="s">
        <v>1217</v>
      </c>
      <c r="D402" s="1" t="s">
        <v>14</v>
      </c>
      <c r="E402" s="2">
        <v>53137</v>
      </c>
      <c r="F402" s="2">
        <v>108920</v>
      </c>
      <c r="G402" s="2">
        <v>50861</v>
      </c>
      <c r="H402" s="2">
        <f t="shared" si="2"/>
        <v>212918</v>
      </c>
      <c r="I402" s="2">
        <v>308293</v>
      </c>
      <c r="J402" s="2">
        <v>1411735</v>
      </c>
      <c r="K402" s="2">
        <f t="shared" si="3"/>
        <v>0.15082009017273071</v>
      </c>
      <c r="M402" s="2">
        <v>0.78370219899128901</v>
      </c>
      <c r="N402" s="2">
        <v>0.55457381334618205</v>
      </c>
      <c r="O402" s="2">
        <v>33.461303186745099</v>
      </c>
      <c r="P402" s="2">
        <v>60.3369693654424</v>
      </c>
      <c r="Q402" s="2">
        <v>68.425141578224</v>
      </c>
      <c r="R402" s="2">
        <v>47.286215572167201</v>
      </c>
      <c r="S402" s="2">
        <v>0.44613553985297</v>
      </c>
      <c r="T402" s="2">
        <v>15302.4169432587</v>
      </c>
      <c r="U402" s="2">
        <v>454</v>
      </c>
      <c r="V402" s="2">
        <v>799</v>
      </c>
      <c r="W402" s="2">
        <v>491.52485914502603</v>
      </c>
      <c r="X402" s="2">
        <v>41063.751285579601</v>
      </c>
      <c r="Y402" s="2">
        <v>339.47553905954601</v>
      </c>
      <c r="Z402" s="2">
        <v>108.582934695232</v>
      </c>
      <c r="AA402" s="2">
        <v>8.3135047980660701</v>
      </c>
      <c r="AB402" s="2">
        <v>0.85751650650790501</v>
      </c>
      <c r="AC402" s="2">
        <v>2.0932011982343499</v>
      </c>
      <c r="AD402" s="2">
        <v>2.6737951470055901</v>
      </c>
      <c r="AE402" s="2">
        <v>0.46053855929917897</v>
      </c>
      <c r="AF402" s="2">
        <v>0.39076151708034501</v>
      </c>
      <c r="AG402" s="2">
        <v>0.99598138564196104</v>
      </c>
      <c r="AH402" s="2">
        <v>0.95713683126237603</v>
      </c>
      <c r="AI402" s="2">
        <v>-0.23192603044565599</v>
      </c>
      <c r="AJ402" s="2">
        <v>0.92879049894290799</v>
      </c>
      <c r="AK402" s="2">
        <v>6.8506491118589096E-3</v>
      </c>
      <c r="AL402" s="2">
        <v>7.8637156212223296</v>
      </c>
      <c r="AM402" s="2">
        <v>7.8350379020515897</v>
      </c>
      <c r="AN402" s="2">
        <v>5735.2795415623796</v>
      </c>
      <c r="AO402" s="2">
        <v>0.107933822789438</v>
      </c>
      <c r="AP402" s="2">
        <v>2912.7084517379599</v>
      </c>
      <c r="AQ402" s="2">
        <v>30.231102077633899</v>
      </c>
      <c r="AR402" s="2">
        <v>492.560005269398</v>
      </c>
      <c r="AS402" s="2">
        <v>34.770442441236803</v>
      </c>
      <c r="AT402" s="2">
        <v>17881.5746278488</v>
      </c>
      <c r="AU402" s="2">
        <v>8.90016711535353E-2</v>
      </c>
      <c r="AV402" s="2">
        <v>2.9024963761109198E-3</v>
      </c>
      <c r="AW402" s="2">
        <v>2.8770614259536602</v>
      </c>
      <c r="AX402" s="2">
        <v>3.0844908297571498E-4</v>
      </c>
      <c r="AY402" s="2">
        <v>994.79941070245798</v>
      </c>
      <c r="AZ402" s="2">
        <v>4.13770036868958E-2</v>
      </c>
      <c r="BA402" s="2">
        <v>0.244317943896947</v>
      </c>
      <c r="BB402" s="2">
        <v>384</v>
      </c>
    </row>
    <row r="403" spans="1:54" ht="13" x14ac:dyDescent="0.15">
      <c r="A403" s="1" t="s">
        <v>1218</v>
      </c>
      <c r="B403" s="1" t="s">
        <v>1219</v>
      </c>
      <c r="C403" s="4" t="s">
        <v>1220</v>
      </c>
      <c r="D403" s="1" t="s">
        <v>14</v>
      </c>
      <c r="E403" s="2">
        <v>4028</v>
      </c>
      <c r="F403" s="2">
        <v>26597</v>
      </c>
      <c r="G403" s="2">
        <v>35834</v>
      </c>
      <c r="H403" s="2">
        <f t="shared" si="2"/>
        <v>66459</v>
      </c>
      <c r="I403" s="2">
        <v>79887</v>
      </c>
      <c r="J403" s="2">
        <v>1463983</v>
      </c>
      <c r="K403" s="2">
        <f t="shared" si="3"/>
        <v>4.5396018942842918E-2</v>
      </c>
      <c r="M403" s="2">
        <v>0.76143793735341603</v>
      </c>
      <c r="N403" s="2">
        <v>0.48842433970916899</v>
      </c>
      <c r="O403" s="2">
        <v>17.7306046846406</v>
      </c>
      <c r="P403" s="2">
        <v>36.301640281068302</v>
      </c>
      <c r="Q403" s="2">
        <v>43.863424398922596</v>
      </c>
      <c r="R403" s="2">
        <v>27.641446098162302</v>
      </c>
      <c r="S403" s="2">
        <v>0.40874868977145401</v>
      </c>
      <c r="T403" s="2">
        <v>2949.0913906379101</v>
      </c>
      <c r="U403" s="2">
        <v>513</v>
      </c>
      <c r="V403" s="2">
        <v>854</v>
      </c>
      <c r="W403" s="2">
        <v>157.98699078195801</v>
      </c>
      <c r="X403" s="2">
        <v>28107.967208587699</v>
      </c>
      <c r="Y403" s="2">
        <v>787.01624553850502</v>
      </c>
      <c r="Z403" s="2">
        <v>96.218330840199897</v>
      </c>
      <c r="AA403" s="2">
        <v>12.4154578122084</v>
      </c>
      <c r="AB403" s="2">
        <v>0.77085224704420496</v>
      </c>
      <c r="AC403" s="2">
        <v>2.6180296859368801</v>
      </c>
      <c r="AD403" s="2">
        <v>2.9485041669330601</v>
      </c>
      <c r="AE403" s="2">
        <v>0.40877595785445497</v>
      </c>
      <c r="AF403" s="2">
        <v>0.32790926625017303</v>
      </c>
      <c r="AG403" s="2">
        <v>0.98974536179606698</v>
      </c>
      <c r="AH403" s="2">
        <v>0.93204034110032896</v>
      </c>
      <c r="AI403" s="2">
        <v>-0.165535750356196</v>
      </c>
      <c r="AJ403" s="2">
        <v>0.86410818876800799</v>
      </c>
      <c r="AK403" s="2">
        <v>7.2385205368799797E-3</v>
      </c>
      <c r="AL403" s="2">
        <v>7.8130226764883997</v>
      </c>
      <c r="AM403" s="2">
        <v>7.1281607958757096</v>
      </c>
      <c r="AN403" s="2">
        <v>578.62313803376401</v>
      </c>
      <c r="AO403" s="2">
        <v>0.14365023287829301</v>
      </c>
      <c r="AP403" s="2">
        <v>253.06355511420099</v>
      </c>
      <c r="AQ403" s="2">
        <v>27.797363527304899</v>
      </c>
      <c r="AR403" s="2">
        <v>162.70431976166799</v>
      </c>
      <c r="AS403" s="2">
        <v>19.345084409136099</v>
      </c>
      <c r="AT403" s="2">
        <v>2561.0722442899701</v>
      </c>
      <c r="AU403" s="2">
        <v>0.27686187677908602</v>
      </c>
      <c r="AV403" s="2">
        <v>1.68969420479675E-2</v>
      </c>
      <c r="AW403" s="2">
        <v>1.07759053460849</v>
      </c>
      <c r="AX403" s="2">
        <v>2.6872569104200001E-3</v>
      </c>
      <c r="AY403" s="2">
        <v>791.32777583501002</v>
      </c>
      <c r="AZ403" s="2">
        <v>9.7025650328070603E-2</v>
      </c>
      <c r="BA403" s="2">
        <v>1.2810388764660301</v>
      </c>
      <c r="BB403" s="2">
        <v>643</v>
      </c>
    </row>
    <row r="404" spans="1:54" ht="13" x14ac:dyDescent="0.15">
      <c r="A404" s="1" t="s">
        <v>1221</v>
      </c>
      <c r="B404" s="1" t="s">
        <v>1222</v>
      </c>
      <c r="C404" s="4" t="s">
        <v>1223</v>
      </c>
      <c r="D404" s="1" t="s">
        <v>14</v>
      </c>
      <c r="E404" s="2">
        <v>13602</v>
      </c>
      <c r="F404" s="2">
        <v>6779</v>
      </c>
      <c r="G404" s="2">
        <v>12389</v>
      </c>
      <c r="H404" s="2">
        <f t="shared" si="2"/>
        <v>32770</v>
      </c>
      <c r="I404" s="2">
        <v>42294</v>
      </c>
      <c r="J404" s="2">
        <v>1448956</v>
      </c>
      <c r="K404" s="2">
        <f t="shared" si="3"/>
        <v>2.2616283724281483E-2</v>
      </c>
      <c r="M404" s="2">
        <v>0.94211314116590605</v>
      </c>
      <c r="N404" s="2">
        <v>0.77388847544018202</v>
      </c>
      <c r="O404" s="2">
        <v>23.650914178302799</v>
      </c>
      <c r="P404" s="2">
        <v>30.561140175721501</v>
      </c>
      <c r="Q404" s="2">
        <v>36.055512754639899</v>
      </c>
      <c r="R404" s="2">
        <v>28.792051768560601</v>
      </c>
      <c r="S404" s="2">
        <v>0.67878632021540797</v>
      </c>
      <c r="T404" s="2">
        <v>4051.8061389312502</v>
      </c>
      <c r="U404" s="2">
        <v>1017</v>
      </c>
      <c r="V404" s="2">
        <v>1666.9</v>
      </c>
      <c r="W404" s="2">
        <v>1557.2368054323899</v>
      </c>
      <c r="X404" s="2">
        <v>240109.61635467401</v>
      </c>
      <c r="Y404" s="2">
        <v>-729.49105635251794</v>
      </c>
      <c r="Z404" s="2">
        <v>341.87723778009803</v>
      </c>
      <c r="AA404" s="2">
        <v>25.913946032235501</v>
      </c>
      <c r="AB404" s="2">
        <v>0.85912343713741501</v>
      </c>
      <c r="AC404" s="2">
        <v>3.7178469282029498</v>
      </c>
      <c r="AD404" s="2">
        <v>3.41914694625219</v>
      </c>
      <c r="AE404" s="2">
        <v>0.34884655182917601</v>
      </c>
      <c r="AF404" s="2">
        <v>0.26239638387536801</v>
      </c>
      <c r="AG404" s="2">
        <v>0.99305267085044302</v>
      </c>
      <c r="AH404" s="2">
        <v>0.94423382135384804</v>
      </c>
      <c r="AI404" s="2">
        <v>-0.20398860203514699</v>
      </c>
      <c r="AJ404" s="2">
        <v>0.93304718979198398</v>
      </c>
      <c r="AK404" s="2">
        <v>2.0110403203637299E-3</v>
      </c>
      <c r="AL404" s="2">
        <v>9.3604006553422696</v>
      </c>
      <c r="AM404" s="2">
        <v>8.0308578066180392</v>
      </c>
      <c r="AN404" s="2">
        <v>2143.02426113807</v>
      </c>
      <c r="AO404" s="2">
        <v>0.15755214388605099</v>
      </c>
      <c r="AP404" s="2">
        <v>388.16762240846901</v>
      </c>
      <c r="AQ404" s="2">
        <v>92.593282499237205</v>
      </c>
      <c r="AR404" s="2">
        <v>1542.57800323482</v>
      </c>
      <c r="AS404" s="2">
        <v>17.042346713718601</v>
      </c>
      <c r="AT404" s="2">
        <v>29336.803852374702</v>
      </c>
      <c r="AU404" s="2">
        <v>1.3519068924667E-2</v>
      </c>
      <c r="AV404" s="2">
        <v>9.83325600985891E-4</v>
      </c>
      <c r="AW404" s="2">
        <v>0.36409341474934898</v>
      </c>
      <c r="AX404" s="2">
        <v>1.2523950775933301E-3</v>
      </c>
      <c r="AY404" s="2">
        <v>3231.8398810951198</v>
      </c>
      <c r="AZ404" s="2">
        <v>0.121936009962912</v>
      </c>
      <c r="BA404" s="2">
        <v>1.6718733345712999</v>
      </c>
      <c r="BB404" s="2">
        <v>711</v>
      </c>
    </row>
    <row r="405" spans="1:54" ht="13" x14ac:dyDescent="0.15">
      <c r="A405" s="1" t="s">
        <v>1224</v>
      </c>
      <c r="B405" s="1" t="s">
        <v>1225</v>
      </c>
      <c r="C405" s="4" t="s">
        <v>1226</v>
      </c>
      <c r="D405" s="1" t="s">
        <v>14</v>
      </c>
      <c r="E405" s="2">
        <v>14570</v>
      </c>
      <c r="F405" s="2">
        <v>90553</v>
      </c>
      <c r="G405" s="2">
        <v>32173</v>
      </c>
      <c r="H405" s="2">
        <f t="shared" si="2"/>
        <v>137296</v>
      </c>
      <c r="I405" s="2">
        <v>194234</v>
      </c>
      <c r="J405" s="2">
        <v>1825237</v>
      </c>
      <c r="K405" s="2">
        <f t="shared" si="3"/>
        <v>7.5220916516594835E-2</v>
      </c>
      <c r="M405" s="2">
        <v>0.58366597357800398</v>
      </c>
      <c r="N405" s="2">
        <v>0.48829439170544497</v>
      </c>
      <c r="O405" s="2">
        <v>22.868466212430601</v>
      </c>
      <c r="P405" s="2">
        <v>46.833358320088202</v>
      </c>
      <c r="Q405" s="2">
        <v>49.769468552517203</v>
      </c>
      <c r="R405" s="2">
        <v>27.335037679821799</v>
      </c>
      <c r="S405" s="2">
        <v>0.37674003914689402</v>
      </c>
      <c r="T405" s="2">
        <v>7600.6928950864303</v>
      </c>
      <c r="U405" s="2">
        <v>615</v>
      </c>
      <c r="V405" s="2">
        <v>903</v>
      </c>
      <c r="W405" s="2">
        <v>186.91617135856799</v>
      </c>
      <c r="X405" s="2">
        <v>17800.2141552182</v>
      </c>
      <c r="Y405" s="2">
        <v>485.37405238665298</v>
      </c>
      <c r="Z405" s="2">
        <v>76.108751794699799</v>
      </c>
      <c r="AA405" s="2">
        <v>7.7486483715581098</v>
      </c>
      <c r="AB405" s="2">
        <v>0.81480475862338297</v>
      </c>
      <c r="AC405" s="2">
        <v>1.99180491587994</v>
      </c>
      <c r="AD405" s="2">
        <v>2.6357214741792299</v>
      </c>
      <c r="AE405" s="2">
        <v>0.47884945904238302</v>
      </c>
      <c r="AF405" s="2">
        <v>0.41330282161212301</v>
      </c>
      <c r="AG405" s="2">
        <v>0.99419539850901495</v>
      </c>
      <c r="AH405" s="2">
        <v>0.94987468902024397</v>
      </c>
      <c r="AI405" s="2">
        <v>-0.20350759302999699</v>
      </c>
      <c r="AJ405" s="2">
        <v>0.89416442355064396</v>
      </c>
      <c r="AK405" s="2">
        <v>1.0140215089139201E-2</v>
      </c>
      <c r="AL405" s="2">
        <v>7.3744593974806101</v>
      </c>
      <c r="AM405" s="2">
        <v>7.4678035092939803</v>
      </c>
      <c r="AN405" s="2">
        <v>1485.7010295127</v>
      </c>
      <c r="AO405" s="2">
        <v>0.101969871620638</v>
      </c>
      <c r="AP405" s="2">
        <v>1015.184351407</v>
      </c>
      <c r="AQ405" s="2">
        <v>21.040610048100501</v>
      </c>
      <c r="AR405" s="2">
        <v>192.673987645848</v>
      </c>
      <c r="AS405" s="2">
        <v>37.8727522306108</v>
      </c>
      <c r="AT405" s="2">
        <v>5709.4587508579298</v>
      </c>
      <c r="AU405" s="2">
        <v>0.36190839206227599</v>
      </c>
      <c r="AV405" s="2">
        <v>8.7601168407375803E-3</v>
      </c>
      <c r="AW405" s="2">
        <v>2.0348924114432099</v>
      </c>
      <c r="AX405" s="2">
        <v>9.3757299583931196E-4</v>
      </c>
      <c r="AY405" s="2">
        <v>711.73852611694895</v>
      </c>
      <c r="AZ405" s="2">
        <v>4.3988134131122097E-2</v>
      </c>
      <c r="BA405" s="2">
        <v>0.57286111396178396</v>
      </c>
      <c r="BB405" s="2">
        <v>319</v>
      </c>
    </row>
    <row r="406" spans="1:54" ht="13" x14ac:dyDescent="0.15">
      <c r="A406" s="1" t="s">
        <v>1227</v>
      </c>
      <c r="B406" s="1" t="s">
        <v>1228</v>
      </c>
      <c r="C406" s="4" t="s">
        <v>1229</v>
      </c>
      <c r="D406" s="1" t="s">
        <v>14</v>
      </c>
      <c r="E406" s="2">
        <v>12015</v>
      </c>
      <c r="F406" s="2">
        <v>48811</v>
      </c>
      <c r="G406" s="2">
        <v>22218</v>
      </c>
      <c r="H406" s="2">
        <f t="shared" si="2"/>
        <v>83044</v>
      </c>
      <c r="I406" s="2">
        <v>107225</v>
      </c>
      <c r="J406" s="2">
        <v>1432561</v>
      </c>
      <c r="K406" s="2">
        <f t="shared" si="3"/>
        <v>5.7968910224416276E-2</v>
      </c>
      <c r="M406" s="2">
        <v>0.86792695609564097</v>
      </c>
      <c r="N406" s="2">
        <v>0.78322562134519802</v>
      </c>
      <c r="O406" s="2">
        <v>26.151362428854299</v>
      </c>
      <c r="P406" s="2">
        <v>33.389309180079103</v>
      </c>
      <c r="Q406" s="2">
        <v>45.122056690713897</v>
      </c>
      <c r="R406" s="2">
        <v>28.979481482802299</v>
      </c>
      <c r="S406" s="2">
        <v>0.43014040924973501</v>
      </c>
      <c r="T406" s="2">
        <v>5873.4863164458502</v>
      </c>
      <c r="U406" s="2">
        <v>571</v>
      </c>
      <c r="V406" s="2">
        <v>906</v>
      </c>
      <c r="W406" s="2">
        <v>454.616521527938</v>
      </c>
      <c r="X406" s="2">
        <v>40575.467586137798</v>
      </c>
      <c r="Y406" s="2">
        <v>597.39188415120202</v>
      </c>
      <c r="Z406" s="2">
        <v>105.300744379332</v>
      </c>
      <c r="AA406" s="2">
        <v>10.9446402718781</v>
      </c>
      <c r="AB406" s="2">
        <v>0.81110591440036095</v>
      </c>
      <c r="AC406" s="2">
        <v>2.4706189186365601</v>
      </c>
      <c r="AD406" s="2">
        <v>2.8554004267404101</v>
      </c>
      <c r="AE406" s="2">
        <v>0.418706450061821</v>
      </c>
      <c r="AF406" s="2">
        <v>0.33931441453342298</v>
      </c>
      <c r="AG406" s="2">
        <v>0.99553427313012999</v>
      </c>
      <c r="AH406" s="2">
        <v>0.95363761501631295</v>
      </c>
      <c r="AI406" s="2">
        <v>-0.19156554107309701</v>
      </c>
      <c r="AJ406" s="2">
        <v>0.89403097638065199</v>
      </c>
      <c r="AK406" s="2">
        <v>5.8447938220286899E-3</v>
      </c>
      <c r="AL406" s="2">
        <v>8.0252306560996001</v>
      </c>
      <c r="AM406" s="2">
        <v>7.4567503583989998</v>
      </c>
      <c r="AN406" s="2">
        <v>1650.5087806908</v>
      </c>
      <c r="AO406" s="2">
        <v>0.137370685034607</v>
      </c>
      <c r="AP406" s="2">
        <v>665.11252600915498</v>
      </c>
      <c r="AQ406" s="2">
        <v>29.5296718607913</v>
      </c>
      <c r="AR406" s="2">
        <v>456.33466500208101</v>
      </c>
      <c r="AS406" s="2">
        <v>22.383437369954201</v>
      </c>
      <c r="AT406" s="2">
        <v>9594.9285892634198</v>
      </c>
      <c r="AU406" s="2">
        <v>6.6320269172167295E-2</v>
      </c>
      <c r="AV406" s="2">
        <v>3.05344723725904E-3</v>
      </c>
      <c r="AW406" s="2">
        <v>0.70005191046124804</v>
      </c>
      <c r="AX406" s="2">
        <v>1.2411775393081899E-3</v>
      </c>
      <c r="AY406" s="2">
        <v>1280.5658216305901</v>
      </c>
      <c r="AZ406" s="2">
        <v>4.1120868084818102E-2</v>
      </c>
      <c r="BA406" s="2">
        <v>1.2056393215894401</v>
      </c>
      <c r="BB406" s="2">
        <v>292</v>
      </c>
    </row>
    <row r="407" spans="1:54" ht="13" x14ac:dyDescent="0.15">
      <c r="A407" s="1" t="s">
        <v>1230</v>
      </c>
      <c r="B407" s="1" t="s">
        <v>1231</v>
      </c>
      <c r="C407" s="4" t="s">
        <v>1232</v>
      </c>
      <c r="D407" s="1" t="s">
        <v>14</v>
      </c>
      <c r="E407" s="2">
        <v>19625</v>
      </c>
      <c r="F407" s="2">
        <v>73127</v>
      </c>
      <c r="G407" s="2">
        <v>26011</v>
      </c>
      <c r="H407" s="2">
        <f t="shared" si="2"/>
        <v>118763</v>
      </c>
      <c r="I407" s="2">
        <v>157852</v>
      </c>
      <c r="J407" s="2">
        <v>1513340</v>
      </c>
      <c r="K407" s="2">
        <f t="shared" si="3"/>
        <v>7.8477407588512821E-2</v>
      </c>
      <c r="M407" s="2">
        <v>0.71407573375247502</v>
      </c>
      <c r="N407" s="2">
        <v>0.45634909086242798</v>
      </c>
      <c r="O407" s="2">
        <v>22.673307631344102</v>
      </c>
      <c r="P407" s="2">
        <v>49.684130165560497</v>
      </c>
      <c r="Q407" s="2">
        <v>50.803543183522201</v>
      </c>
      <c r="R407" s="2">
        <v>35.478231703826097</v>
      </c>
      <c r="S407" s="2">
        <v>0.44762592586834399</v>
      </c>
      <c r="T407" s="2">
        <v>7815.6519613011797</v>
      </c>
      <c r="U407" s="2">
        <v>964</v>
      </c>
      <c r="V407" s="2">
        <v>1923</v>
      </c>
      <c r="W407" s="2">
        <v>2772.0739864413799</v>
      </c>
      <c r="X407" s="2">
        <v>1030403.55163921</v>
      </c>
      <c r="Y407" s="2">
        <v>-7891.4489838818699</v>
      </c>
      <c r="Z407" s="2">
        <v>630.74301350954897</v>
      </c>
      <c r="AA407" s="2">
        <v>43.245254561951498</v>
      </c>
      <c r="AB407" s="2">
        <v>0.87112947935372598</v>
      </c>
      <c r="AC407" s="2">
        <v>4.18562021108343</v>
      </c>
      <c r="AD407" s="2">
        <v>3.5975921833640201</v>
      </c>
      <c r="AE407" s="2">
        <v>0.37343619116725402</v>
      </c>
      <c r="AF407" s="2">
        <v>0.29839787767886</v>
      </c>
      <c r="AG407" s="2">
        <v>0.99274908171709997</v>
      </c>
      <c r="AH407" s="2">
        <v>0.95055479577517399</v>
      </c>
      <c r="AI407" s="2">
        <v>-0.25101135135687802</v>
      </c>
      <c r="AJ407" s="2">
        <v>0.96750682618278805</v>
      </c>
      <c r="AK407" s="2">
        <v>2.1194154355783199E-3</v>
      </c>
      <c r="AL407" s="2">
        <v>9.7805341606926604</v>
      </c>
      <c r="AM407" s="2">
        <v>8.5826454203556501</v>
      </c>
      <c r="AN407" s="2">
        <v>2618.48463694268</v>
      </c>
      <c r="AO407" s="2">
        <v>0.13342596876141</v>
      </c>
      <c r="AP407" s="2">
        <v>429.03678980891698</v>
      </c>
      <c r="AQ407" s="2">
        <v>186.51593026313401</v>
      </c>
      <c r="AR407" s="2">
        <v>2690.7929171974502</v>
      </c>
      <c r="AS407" s="2">
        <v>24.696305732484099</v>
      </c>
      <c r="AT407" s="2">
        <v>86990.810038216601</v>
      </c>
      <c r="AU407" s="2">
        <v>8.8814090196544099E-3</v>
      </c>
      <c r="AV407" s="2">
        <v>6.6816978253398805E-4</v>
      </c>
      <c r="AW407" s="2">
        <v>0.30496197422931398</v>
      </c>
      <c r="AX407" s="2">
        <v>9.8440433681565298E-4</v>
      </c>
      <c r="AY407" s="2">
        <v>4893.8806251966098</v>
      </c>
      <c r="AZ407" s="2">
        <v>0.21946366616686999</v>
      </c>
      <c r="BA407" s="2">
        <v>1.70087362233115</v>
      </c>
      <c r="BB407" s="2">
        <v>363</v>
      </c>
    </row>
    <row r="408" spans="1:54" ht="13" x14ac:dyDescent="0.15">
      <c r="A408" s="1" t="s">
        <v>1233</v>
      </c>
      <c r="B408" s="1" t="s">
        <v>1234</v>
      </c>
      <c r="C408" s="4" t="s">
        <v>1235</v>
      </c>
      <c r="D408" s="1" t="s">
        <v>14</v>
      </c>
      <c r="E408" s="2">
        <v>86</v>
      </c>
      <c r="F408" s="2">
        <v>88222</v>
      </c>
      <c r="G408" s="2">
        <v>7015</v>
      </c>
      <c r="H408" s="2">
        <f t="shared" si="2"/>
        <v>95323</v>
      </c>
      <c r="I408" s="2">
        <v>191495</v>
      </c>
      <c r="J408" s="2">
        <v>1415768</v>
      </c>
      <c r="K408" s="2">
        <f t="shared" si="3"/>
        <v>6.7329534217470663E-2</v>
      </c>
      <c r="M408" s="2">
        <v>0.23930624683318</v>
      </c>
      <c r="N408" s="2">
        <v>0.113697742740935</v>
      </c>
      <c r="O408" s="2">
        <v>3.7140306552671198</v>
      </c>
      <c r="P408" s="2">
        <v>32.665825773952903</v>
      </c>
      <c r="Q408" s="2">
        <v>22.203603311174501</v>
      </c>
      <c r="R408" s="2">
        <v>7.8171361656712204</v>
      </c>
      <c r="S408" s="2">
        <v>0.56802002735871604</v>
      </c>
      <c r="T408" s="2">
        <v>147.17669557086199</v>
      </c>
      <c r="U408" s="2">
        <v>881</v>
      </c>
      <c r="V408" s="2">
        <v>1384</v>
      </c>
      <c r="W408" s="2">
        <v>289.99692009876799</v>
      </c>
      <c r="X408" s="2">
        <v>75736.460248188698</v>
      </c>
      <c r="Y408" s="2">
        <v>-640.629488765676</v>
      </c>
      <c r="Z408" s="2">
        <v>192.99126989924301</v>
      </c>
      <c r="AA408" s="2">
        <v>30.4748022121498</v>
      </c>
      <c r="AB408" s="2">
        <v>0.725400677924674</v>
      </c>
      <c r="AC408" s="2">
        <v>4.2130489003709801</v>
      </c>
      <c r="AD408" s="2">
        <v>3.16514582402151</v>
      </c>
      <c r="AE408" s="2">
        <v>0.31078965644975698</v>
      </c>
      <c r="AF408" s="2">
        <v>0.21961899922650099</v>
      </c>
      <c r="AG408" s="2">
        <v>0.97712338264933596</v>
      </c>
      <c r="AH408" s="2">
        <v>0.89930155909010401</v>
      </c>
      <c r="AI408" s="2">
        <v>-0.64035122546105006</v>
      </c>
      <c r="AJ408" s="2">
        <v>0.99787778105094804</v>
      </c>
      <c r="AK408" s="2">
        <v>1.8588862114003499E-2</v>
      </c>
      <c r="AL408" s="2">
        <v>5.8845906186423402</v>
      </c>
      <c r="AM408" s="2">
        <v>5.3735981847836998</v>
      </c>
      <c r="AN408" s="2">
        <v>30.023255813953501</v>
      </c>
      <c r="AO408" s="2">
        <v>0.34910762574364501</v>
      </c>
      <c r="AP408" s="2">
        <v>4.65116279069768</v>
      </c>
      <c r="AQ408" s="2">
        <v>60.939561925365098</v>
      </c>
      <c r="AR408" s="2">
        <v>324.05813953488399</v>
      </c>
      <c r="AS408" s="2">
        <v>4.4883720930232602</v>
      </c>
      <c r="AT408" s="2">
        <v>1458.7558139534899</v>
      </c>
      <c r="AU408" s="2">
        <v>5.8494373683260797E-2</v>
      </c>
      <c r="AV408" s="2">
        <v>2.8881446661935699E-2</v>
      </c>
      <c r="AW408" s="2">
        <v>2.44243990378081E-2</v>
      </c>
      <c r="AX408" s="2">
        <v>8.3755214879901299E-2</v>
      </c>
      <c r="AY408" s="2">
        <v>1156.24665884617</v>
      </c>
      <c r="AZ408" s="2">
        <v>0.40555879718530202</v>
      </c>
      <c r="BA408" s="2">
        <v>35.792231082517901</v>
      </c>
      <c r="BB408" s="2">
        <v>396</v>
      </c>
    </row>
    <row r="409" spans="1:54" ht="13" x14ac:dyDescent="0.15">
      <c r="A409" s="1" t="s">
        <v>1236</v>
      </c>
      <c r="B409" s="1" t="s">
        <v>1237</v>
      </c>
      <c r="C409" s="4" t="s">
        <v>1238</v>
      </c>
      <c r="D409" s="1" t="s">
        <v>14</v>
      </c>
      <c r="E409" s="2">
        <v>23839</v>
      </c>
      <c r="F409" s="2">
        <v>67948</v>
      </c>
      <c r="G409" s="2">
        <v>16021</v>
      </c>
      <c r="H409" s="2">
        <f t="shared" si="2"/>
        <v>107808</v>
      </c>
      <c r="I409" s="2">
        <v>176273</v>
      </c>
      <c r="J409" s="2">
        <v>1369345</v>
      </c>
      <c r="K409" s="2">
        <f t="shared" si="3"/>
        <v>7.8729611602627536E-2</v>
      </c>
      <c r="M409" s="2">
        <v>0.75642977203431105</v>
      </c>
      <c r="N409" s="2">
        <v>0.60553701337303101</v>
      </c>
      <c r="O409" s="2">
        <v>26.525075784063301</v>
      </c>
      <c r="P409" s="2">
        <v>43.804218731915803</v>
      </c>
      <c r="Q409" s="2">
        <v>38.078865529319501</v>
      </c>
      <c r="R409" s="2">
        <v>33.134815189524197</v>
      </c>
      <c r="S409" s="2">
        <v>0.64675744042438899</v>
      </c>
      <c r="T409" s="2">
        <v>6183.2130923123696</v>
      </c>
      <c r="U409" s="2">
        <v>1760</v>
      </c>
      <c r="V409" s="2">
        <v>1970</v>
      </c>
      <c r="W409" s="2">
        <v>1878.94116176804</v>
      </c>
      <c r="X409" s="2">
        <v>23289.760740790301</v>
      </c>
      <c r="Y409" s="2">
        <v>-401.79435780366299</v>
      </c>
      <c r="Z409" s="2">
        <v>44.460399073078698</v>
      </c>
      <c r="AA409" s="2">
        <v>8.2911336387534096</v>
      </c>
      <c r="AB409" s="2">
        <v>0.68416008539770501</v>
      </c>
      <c r="AC409" s="2">
        <v>1.48833469560517</v>
      </c>
      <c r="AD409" s="2">
        <v>2.2421839711045601</v>
      </c>
      <c r="AE409" s="2">
        <v>0.576986168408121</v>
      </c>
      <c r="AF409" s="2">
        <v>0.53769521399410403</v>
      </c>
      <c r="AG409" s="2">
        <v>0.997586933375195</v>
      </c>
      <c r="AH409" s="2">
        <v>0.97556096500400202</v>
      </c>
      <c r="AI409" s="2">
        <v>-0.260314303049278</v>
      </c>
      <c r="AJ409" s="2">
        <v>0.92390859462002795</v>
      </c>
      <c r="AK409" s="2">
        <v>1.83777653708697E-2</v>
      </c>
      <c r="AL409" s="2">
        <v>6.5234016690096501</v>
      </c>
      <c r="AM409" s="2">
        <v>7.7455482240122899</v>
      </c>
      <c r="AN409" s="2">
        <v>1516.98246570745</v>
      </c>
      <c r="AO409" s="2">
        <v>6.3634484068436303E-2</v>
      </c>
      <c r="AP409" s="2">
        <v>2033.3975837912701</v>
      </c>
      <c r="AQ409" s="2">
        <v>16.3693098324743</v>
      </c>
      <c r="AR409" s="2">
        <v>1876.76135743949</v>
      </c>
      <c r="AS409" s="2">
        <v>82.918788539787698</v>
      </c>
      <c r="AT409" s="2">
        <v>156681.80334745601</v>
      </c>
      <c r="AU409" s="2">
        <v>4.4640078989244401E-2</v>
      </c>
      <c r="AV409" s="2">
        <v>6.1552601232211005E-4</v>
      </c>
      <c r="AW409" s="2">
        <v>0.509411029450757</v>
      </c>
      <c r="AX409" s="2">
        <v>5.4979670991560695E-4</v>
      </c>
      <c r="AY409" s="2">
        <v>1774.57495587429</v>
      </c>
      <c r="AZ409" s="2">
        <v>1.4769686590283999E-2</v>
      </c>
      <c r="BA409" s="2">
        <v>1.4961090140222999</v>
      </c>
      <c r="BB409" s="2">
        <v>618</v>
      </c>
    </row>
    <row r="410" spans="1:54" ht="13" x14ac:dyDescent="0.15">
      <c r="A410" s="1" t="s">
        <v>1239</v>
      </c>
      <c r="B410" s="1" t="s">
        <v>1240</v>
      </c>
      <c r="C410" s="4" t="s">
        <v>1241</v>
      </c>
      <c r="D410" s="1" t="s">
        <v>14</v>
      </c>
      <c r="E410" s="2">
        <v>26</v>
      </c>
      <c r="F410" s="2">
        <v>33213</v>
      </c>
      <c r="G410" s="2">
        <v>823</v>
      </c>
      <c r="H410" s="2">
        <f t="shared" si="2"/>
        <v>34062</v>
      </c>
      <c r="I410" s="2">
        <v>40245</v>
      </c>
      <c r="J410" s="2">
        <v>1651096</v>
      </c>
      <c r="K410" s="2">
        <f t="shared" si="3"/>
        <v>2.0629933086870781E-2</v>
      </c>
      <c r="M410" s="2">
        <v>0.43087112717299297</v>
      </c>
      <c r="N410" s="2">
        <v>0.298813225419444</v>
      </c>
      <c r="O410" s="2">
        <v>2.3367029492150602</v>
      </c>
      <c r="P410" s="2">
        <v>7.8199448700272001</v>
      </c>
      <c r="Q410" s="2">
        <v>4</v>
      </c>
      <c r="R410" s="2">
        <v>3.3693884605792901</v>
      </c>
      <c r="S410" s="2">
        <v>0.65589038058282401</v>
      </c>
      <c r="T410" s="2">
        <v>55.302315393557201</v>
      </c>
      <c r="U410" s="2">
        <v>780</v>
      </c>
      <c r="V410" s="2">
        <v>1016</v>
      </c>
      <c r="W410" s="2">
        <v>55.162087912087898</v>
      </c>
      <c r="X410" s="2">
        <v>1519.64323987797</v>
      </c>
      <c r="Y410" s="2">
        <v>-2.6249876775954499</v>
      </c>
      <c r="Z410" s="2">
        <v>24.8237858669109</v>
      </c>
      <c r="AA410" s="2">
        <v>31.5233516483516</v>
      </c>
      <c r="AB410" s="2">
        <v>-6.5313773807588404E-2</v>
      </c>
      <c r="AC410" s="2">
        <v>4.42518315018315</v>
      </c>
      <c r="AD410" s="2">
        <v>2.2393626412622401</v>
      </c>
      <c r="AE410" s="2">
        <v>0.30378675455598497</v>
      </c>
      <c r="AF410" s="2">
        <v>0.210109150071282</v>
      </c>
      <c r="AG410" s="2">
        <v>0.88485375143358802</v>
      </c>
      <c r="AH410" s="2">
        <v>0.78465722632838197</v>
      </c>
      <c r="AI410" s="2">
        <v>-0.72822154138968498</v>
      </c>
      <c r="AJ410" s="2">
        <v>0.99053072513654306</v>
      </c>
      <c r="AK410" s="2">
        <v>9.0578394819466307E-2</v>
      </c>
      <c r="AL410" s="2">
        <v>3.6682432331524502</v>
      </c>
      <c r="AM410" s="2">
        <v>3.6133373140453</v>
      </c>
      <c r="AN410" s="2">
        <v>10.307692307692299</v>
      </c>
      <c r="AO410" s="2">
        <v>0.39644970414201203</v>
      </c>
      <c r="AP410" s="2">
        <v>2.8461538461538498</v>
      </c>
      <c r="AQ410" s="2">
        <v>14.301775147929</v>
      </c>
      <c r="AR410" s="2">
        <v>64.384615384615401</v>
      </c>
      <c r="AS410" s="2">
        <v>3.5384615384615401</v>
      </c>
      <c r="AT410" s="2">
        <v>180.461538461538</v>
      </c>
      <c r="AU410" s="2">
        <v>0.42546516540091101</v>
      </c>
      <c r="AV410" s="2">
        <v>0.11435095493605101</v>
      </c>
      <c r="AW410" s="2">
        <v>0.10845897049756099</v>
      </c>
      <c r="AX410" s="2">
        <v>0.13407270009939401</v>
      </c>
      <c r="AY410" s="2">
        <v>202.27586619729499</v>
      </c>
      <c r="AZ410" s="2">
        <v>0.67401583832460699</v>
      </c>
      <c r="BA410" s="2">
        <v>9.6144499135709705</v>
      </c>
      <c r="BB410" s="2">
        <v>677</v>
      </c>
    </row>
    <row r="411" spans="1:54" ht="13" x14ac:dyDescent="0.15">
      <c r="A411" s="1" t="s">
        <v>1242</v>
      </c>
      <c r="B411" s="1" t="s">
        <v>1243</v>
      </c>
      <c r="C411" s="4" t="s">
        <v>1244</v>
      </c>
      <c r="D411" s="1" t="s">
        <v>14</v>
      </c>
      <c r="E411" s="2">
        <v>1520</v>
      </c>
      <c r="F411" s="2">
        <v>9823</v>
      </c>
      <c r="G411" s="2">
        <v>5014</v>
      </c>
      <c r="H411" s="2">
        <f t="shared" si="2"/>
        <v>16357</v>
      </c>
      <c r="I411" s="2">
        <v>32667</v>
      </c>
      <c r="J411" s="2">
        <v>1357938</v>
      </c>
      <c r="K411" s="2">
        <f t="shared" si="3"/>
        <v>1.2045468938935357E-2</v>
      </c>
      <c r="M411" s="2">
        <v>0.89831369978171605</v>
      </c>
      <c r="N411" s="2">
        <v>0.50503679181521199</v>
      </c>
      <c r="O411" s="2">
        <v>9.0588386562049195</v>
      </c>
      <c r="P411" s="2">
        <v>17.936987568065</v>
      </c>
      <c r="Q411" s="2">
        <v>19.313207915827999</v>
      </c>
      <c r="R411" s="2">
        <v>16.113041665207099</v>
      </c>
      <c r="S411" s="2">
        <v>0.65899765793227605</v>
      </c>
      <c r="T411" s="2">
        <v>961.20813385061604</v>
      </c>
      <c r="U411" s="2">
        <v>800.9</v>
      </c>
      <c r="V411" s="2">
        <v>1017</v>
      </c>
      <c r="W411" s="2">
        <v>149.888712499241</v>
      </c>
      <c r="X411" s="2">
        <v>3158.5301009755699</v>
      </c>
      <c r="Y411" s="2">
        <v>2.6710785636362102</v>
      </c>
      <c r="Z411" s="2">
        <v>34.276617052134199</v>
      </c>
      <c r="AA411" s="2">
        <v>6.4231834210964003</v>
      </c>
      <c r="AB411" s="2">
        <v>0.68308278653661902</v>
      </c>
      <c r="AC411" s="2">
        <v>1.8827690183552099</v>
      </c>
      <c r="AD411" s="2">
        <v>2.5171152854491399</v>
      </c>
      <c r="AE411" s="2">
        <v>0.47717002933008901</v>
      </c>
      <c r="AF411" s="2">
        <v>0.410135570395535</v>
      </c>
      <c r="AG411" s="2">
        <v>0.98493962480068897</v>
      </c>
      <c r="AH411" s="2">
        <v>0.91898121375658004</v>
      </c>
      <c r="AI411" s="2">
        <v>-0.16487355293415501</v>
      </c>
      <c r="AJ411" s="2">
        <v>0.82938526281881197</v>
      </c>
      <c r="AK411" s="2">
        <v>1.2976696165026801E-2</v>
      </c>
      <c r="AL411" s="2">
        <v>6.7816846474172197</v>
      </c>
      <c r="AM411" s="2">
        <v>6.8891410432721196</v>
      </c>
      <c r="AN411" s="2">
        <v>170.45789473684201</v>
      </c>
      <c r="AO411" s="2">
        <v>0.112143351800554</v>
      </c>
      <c r="AP411" s="2">
        <v>129.82894736842101</v>
      </c>
      <c r="AQ411" s="2">
        <v>11.092615997229901</v>
      </c>
      <c r="AR411" s="2">
        <v>148.07499999999999</v>
      </c>
      <c r="AS411" s="2">
        <v>31.559210526315798</v>
      </c>
      <c r="AT411" s="2">
        <v>4386.1421052631604</v>
      </c>
      <c r="AU411" s="2">
        <v>0.28902669572091899</v>
      </c>
      <c r="AV411" s="2">
        <v>1.1360815132432299E-2</v>
      </c>
      <c r="AW411" s="2">
        <v>0.56393597926016203</v>
      </c>
      <c r="AX411" s="2">
        <v>7.7795713680294601E-3</v>
      </c>
      <c r="AY411" s="2">
        <v>185.34860180670401</v>
      </c>
      <c r="AZ411" s="2">
        <v>6.8691340897272898E-2</v>
      </c>
      <c r="BA411" s="2">
        <v>1.02420147648253</v>
      </c>
      <c r="BB411" s="2">
        <v>561</v>
      </c>
    </row>
    <row r="412" spans="1:54" ht="13" x14ac:dyDescent="0.15">
      <c r="A412" s="1" t="s">
        <v>1245</v>
      </c>
      <c r="B412" s="1" t="s">
        <v>1246</v>
      </c>
      <c r="C412" s="4" t="s">
        <v>1247</v>
      </c>
      <c r="D412" s="1" t="s">
        <v>14</v>
      </c>
      <c r="E412" s="2">
        <v>4745</v>
      </c>
      <c r="F412" s="2">
        <v>55855</v>
      </c>
      <c r="G412" s="2">
        <v>17569</v>
      </c>
      <c r="H412" s="2">
        <f t="shared" si="2"/>
        <v>78169</v>
      </c>
      <c r="I412" s="2">
        <v>101734</v>
      </c>
      <c r="J412" s="2">
        <v>1481769</v>
      </c>
      <c r="K412" s="2">
        <f t="shared" si="3"/>
        <v>5.275383679912321E-2</v>
      </c>
      <c r="M412" s="2">
        <v>0.51883497632506304</v>
      </c>
      <c r="N412" s="2">
        <v>0.34783668640801602</v>
      </c>
      <c r="O412" s="2">
        <v>13.836263952084</v>
      </c>
      <c r="P412" s="2">
        <v>39.778046688996902</v>
      </c>
      <c r="Q412" s="2">
        <v>34.014702703389901</v>
      </c>
      <c r="R412" s="2">
        <v>20.638241912142998</v>
      </c>
      <c r="S412" s="2">
        <v>0.47072445782056799</v>
      </c>
      <c r="T412" s="2">
        <v>2882.3496480199501</v>
      </c>
      <c r="U412" s="2">
        <v>674.4</v>
      </c>
      <c r="V412" s="2">
        <v>1301</v>
      </c>
      <c r="W412" s="2">
        <v>543.43910122395096</v>
      </c>
      <c r="X412" s="2">
        <v>208787.58357191901</v>
      </c>
      <c r="Y412" s="2">
        <v>-165.39557876765801</v>
      </c>
      <c r="Z412" s="2">
        <v>335.85925224480599</v>
      </c>
      <c r="AA412" s="2">
        <v>34.509406035464302</v>
      </c>
      <c r="AB412" s="2">
        <v>0.813805189934248</v>
      </c>
      <c r="AC412" s="2">
        <v>4.5085780996401503</v>
      </c>
      <c r="AD412" s="2">
        <v>3.6368481270514699</v>
      </c>
      <c r="AE412" s="2">
        <v>0.29934063259696603</v>
      </c>
      <c r="AF412" s="2">
        <v>0.206909705267492</v>
      </c>
      <c r="AG412" s="2">
        <v>0.98457419862463502</v>
      </c>
      <c r="AH412" s="2">
        <v>0.91542639511093304</v>
      </c>
      <c r="AI412" s="2">
        <v>-0.17420283001428699</v>
      </c>
      <c r="AJ412" s="2">
        <v>0.90890908398188996</v>
      </c>
      <c r="AK412" s="2">
        <v>1.8099439699124399E-3</v>
      </c>
      <c r="AL412" s="2">
        <v>9.4454795249217902</v>
      </c>
      <c r="AM412" s="2">
        <v>7.41839957143132</v>
      </c>
      <c r="AN412" s="2">
        <v>1056.41454162276</v>
      </c>
      <c r="AO412" s="2">
        <v>0.22263741656960201</v>
      </c>
      <c r="AP412" s="2">
        <v>142.820021074816</v>
      </c>
      <c r="AQ412" s="2">
        <v>90.864464685249104</v>
      </c>
      <c r="AR412" s="2">
        <v>517.93782929399401</v>
      </c>
      <c r="AS412" s="2">
        <v>8.8179135932560602</v>
      </c>
      <c r="AT412" s="2">
        <v>4473.6807165437303</v>
      </c>
      <c r="AU412" s="2">
        <v>6.4318416677678097E-2</v>
      </c>
      <c r="AV412" s="2">
        <v>7.1741278921467304E-3</v>
      </c>
      <c r="AW412" s="2">
        <v>0.51980382464078201</v>
      </c>
      <c r="AX412" s="2">
        <v>2.8082870587892899E-3</v>
      </c>
      <c r="AY412" s="2">
        <v>1934.66988709117</v>
      </c>
      <c r="AZ412" s="2">
        <v>0.25288319629792699</v>
      </c>
      <c r="BA412" s="2">
        <v>1.81521841276968</v>
      </c>
      <c r="BB412" s="2">
        <v>19</v>
      </c>
    </row>
    <row r="413" spans="1:54" ht="13" x14ac:dyDescent="0.15">
      <c r="A413" s="1" t="s">
        <v>1248</v>
      </c>
      <c r="B413" s="1" t="s">
        <v>1249</v>
      </c>
      <c r="C413" s="4" t="s">
        <v>1250</v>
      </c>
      <c r="D413" s="1" t="s">
        <v>14</v>
      </c>
      <c r="E413" s="2">
        <v>0</v>
      </c>
      <c r="F413" s="2">
        <v>7830</v>
      </c>
      <c r="G413" s="2">
        <v>3649</v>
      </c>
      <c r="H413" s="2">
        <f t="shared" si="2"/>
        <v>11479</v>
      </c>
      <c r="I413" s="2">
        <v>15540</v>
      </c>
      <c r="J413" s="2">
        <v>1306555</v>
      </c>
      <c r="K413" s="2">
        <f t="shared" si="3"/>
        <v>8.7856997983246019E-3</v>
      </c>
      <c r="M413" s="2">
        <v>0.61533251943419098</v>
      </c>
      <c r="N413" s="2">
        <v>0.49028566953090802</v>
      </c>
      <c r="O413" s="2">
        <v>20.9307969156505</v>
      </c>
      <c r="P413" s="2">
        <v>42.691023247072501</v>
      </c>
      <c r="Q413" s="2">
        <v>46.389654018972799</v>
      </c>
      <c r="R413" s="2">
        <v>26.269174891844699</v>
      </c>
      <c r="S413" s="2">
        <v>0.43270507103522399</v>
      </c>
      <c r="T413" s="2">
        <v>4388.1674270274498</v>
      </c>
      <c r="U413" s="2">
        <v>1089</v>
      </c>
      <c r="V413" s="2">
        <v>1706.1</v>
      </c>
      <c r="W413" s="2">
        <v>729.80177425369402</v>
      </c>
      <c r="X413" s="2">
        <v>547520.07659123198</v>
      </c>
      <c r="Y413" s="2">
        <v>7215.48855112205</v>
      </c>
      <c r="Z413" s="2">
        <v>360.18264081345501</v>
      </c>
      <c r="AA413" s="2">
        <v>38.145631219149898</v>
      </c>
      <c r="AB413" s="2">
        <v>0.80862986880255505</v>
      </c>
      <c r="AC413" s="2">
        <v>4.1570524838914098</v>
      </c>
      <c r="AD413" s="2">
        <v>3.5404733635723602</v>
      </c>
      <c r="AE413" s="2">
        <v>0.33041264547047999</v>
      </c>
      <c r="AF413" s="2">
        <v>0.24136746702328499</v>
      </c>
      <c r="AG413" s="2">
        <v>0.99631201136207104</v>
      </c>
      <c r="AH413" s="2">
        <v>0.96133554968683199</v>
      </c>
      <c r="AI413" s="2">
        <v>-0.19910963120239999</v>
      </c>
      <c r="AJ413" s="2">
        <v>0.93044505766452901</v>
      </c>
      <c r="AK413" s="2">
        <v>2.2410294063414798E-3</v>
      </c>
      <c r="AL413" s="2">
        <v>9.4032546349731696</v>
      </c>
      <c r="AM413" s="2">
        <v>7.7524251693307704</v>
      </c>
      <c r="AN413" s="2">
        <v>1468.92720306513</v>
      </c>
      <c r="AO413" s="2">
        <v>0.18760245249874</v>
      </c>
      <c r="AP413" s="2">
        <v>255.964240102171</v>
      </c>
      <c r="AQ413" s="2">
        <v>103.907311923717</v>
      </c>
      <c r="AR413" s="2">
        <v>722.84291187739495</v>
      </c>
      <c r="AS413" s="2">
        <v>11.917241379310299</v>
      </c>
      <c r="AT413" s="2">
        <v>7874.1226053639903</v>
      </c>
      <c r="AU413" s="2">
        <v>2.9950250965894602E-2</v>
      </c>
      <c r="AV413" s="2">
        <v>2.9144374541637801E-3</v>
      </c>
      <c r="AW413" s="2">
        <v>0.27417764976334003</v>
      </c>
      <c r="AX413" s="2">
        <v>1.7748510034316699E-3</v>
      </c>
      <c r="AY413" s="2">
        <v>7145.8403727738196</v>
      </c>
      <c r="AZ413" s="2">
        <v>9.8322080015542698E-2</v>
      </c>
      <c r="BA413" s="2">
        <v>6.2437554218231597</v>
      </c>
      <c r="BB413" s="2">
        <v>743</v>
      </c>
    </row>
    <row r="414" spans="1:54" ht="13" x14ac:dyDescent="0.15">
      <c r="A414" s="1" t="s">
        <v>1251</v>
      </c>
      <c r="B414" s="1" t="s">
        <v>1252</v>
      </c>
      <c r="C414" s="4" t="s">
        <v>1253</v>
      </c>
      <c r="D414" s="1" t="s">
        <v>14</v>
      </c>
      <c r="E414" s="2">
        <v>115</v>
      </c>
      <c r="F414" s="2">
        <v>3529</v>
      </c>
      <c r="G414" s="2">
        <v>2402</v>
      </c>
      <c r="H414" s="2">
        <f t="shared" si="2"/>
        <v>6046</v>
      </c>
      <c r="I414" s="2">
        <v>15967</v>
      </c>
      <c r="J414" s="2">
        <v>1314200</v>
      </c>
      <c r="K414" s="2">
        <f t="shared" si="3"/>
        <v>4.6005174250494593E-3</v>
      </c>
      <c r="M414" s="2">
        <v>0.64605811419794301</v>
      </c>
      <c r="N414" s="2">
        <v>0.46907040931441202</v>
      </c>
      <c r="O414" s="2">
        <v>4.2711410280043198</v>
      </c>
      <c r="P414" s="2">
        <v>9.1055435243654994</v>
      </c>
      <c r="Q414" s="2">
        <v>9.2195444572928906</v>
      </c>
      <c r="R414" s="2">
        <v>5.8827102780988696</v>
      </c>
      <c r="S414" s="2">
        <v>0.66291130733827897</v>
      </c>
      <c r="T414" s="2">
        <v>162.27751688072601</v>
      </c>
      <c r="U414" s="2">
        <v>291.39999999999998</v>
      </c>
      <c r="V414" s="2">
        <v>789.8</v>
      </c>
      <c r="W414" s="2">
        <v>208.207830194526</v>
      </c>
      <c r="X414" s="2">
        <v>85466.427381023896</v>
      </c>
      <c r="Y414" s="2">
        <v>1787.03799899553</v>
      </c>
      <c r="Z414" s="2">
        <v>143.535853683353</v>
      </c>
      <c r="AA414" s="2">
        <v>91.857328833532605</v>
      </c>
      <c r="AB414" s="2">
        <v>0.22387471485209401</v>
      </c>
      <c r="AC414" s="2">
        <v>7.2174888222071001</v>
      </c>
      <c r="AD414" s="2">
        <v>3.9211495418157098</v>
      </c>
      <c r="AE414" s="2">
        <v>0.227180476251477</v>
      </c>
      <c r="AF414" s="2">
        <v>0.13844391028564801</v>
      </c>
      <c r="AG414" s="2">
        <v>0.95195342352624501</v>
      </c>
      <c r="AH414" s="2">
        <v>0.86050417074815899</v>
      </c>
      <c r="AI414" s="2">
        <v>-0.51093206429633398</v>
      </c>
      <c r="AJ414" s="2">
        <v>0.99444745669410495</v>
      </c>
      <c r="AK414" s="2">
        <v>1.07400981844751E-2</v>
      </c>
      <c r="AL414" s="2">
        <v>6.6500618072781696</v>
      </c>
      <c r="AM414" s="2">
        <v>5.4820640725141798</v>
      </c>
      <c r="AN414" s="2">
        <v>49.156521739130397</v>
      </c>
      <c r="AO414" s="2">
        <v>0.427448015122873</v>
      </c>
      <c r="AP414" s="2">
        <v>5.2086956521739101</v>
      </c>
      <c r="AQ414" s="2">
        <v>59.922117202268403</v>
      </c>
      <c r="AR414" s="2">
        <v>281.02608695652202</v>
      </c>
      <c r="AS414" s="2">
        <v>2.9478260869565198</v>
      </c>
      <c r="AT414" s="2">
        <v>640.71304347826106</v>
      </c>
      <c r="AU414" s="2">
        <v>4.1252204995822203E-2</v>
      </c>
      <c r="AV414" s="2">
        <v>1.90736235273079E-2</v>
      </c>
      <c r="AW414" s="2">
        <v>7.0421642470872597E-2</v>
      </c>
      <c r="AX414" s="2">
        <v>5.0457937883523603E-2</v>
      </c>
      <c r="AY414" s="2">
        <v>1769.65635095537</v>
      </c>
      <c r="AZ414" s="2">
        <v>0.63663953244874105</v>
      </c>
      <c r="BA414" s="2">
        <v>19.513054750302398</v>
      </c>
      <c r="BB414" s="2">
        <v>1248</v>
      </c>
    </row>
    <row r="415" spans="1:54" ht="13" x14ac:dyDescent="0.15">
      <c r="A415" s="1" t="s">
        <v>1254</v>
      </c>
      <c r="B415" s="1" t="s">
        <v>1255</v>
      </c>
      <c r="C415" s="4" t="s">
        <v>1256</v>
      </c>
      <c r="D415" s="1" t="s">
        <v>14</v>
      </c>
      <c r="E415" s="2">
        <v>16945</v>
      </c>
      <c r="F415" s="2">
        <v>44222</v>
      </c>
      <c r="G415" s="2">
        <v>20646</v>
      </c>
      <c r="H415" s="2">
        <f t="shared" si="2"/>
        <v>81813</v>
      </c>
      <c r="I415" s="2">
        <v>90931</v>
      </c>
      <c r="J415" s="2">
        <v>1668210</v>
      </c>
      <c r="K415" s="2">
        <f t="shared" si="3"/>
        <v>4.9042386749869618E-2</v>
      </c>
      <c r="M415" s="2">
        <v>0.84988683356426598</v>
      </c>
      <c r="N415" s="2">
        <v>0.80420308971223098</v>
      </c>
      <c r="O415" s="2">
        <v>27.396709176555099</v>
      </c>
      <c r="P415" s="2">
        <v>34.066903655342202</v>
      </c>
      <c r="Q415" s="2">
        <v>39.623225512317902</v>
      </c>
      <c r="R415" s="2">
        <v>28.953012876977699</v>
      </c>
      <c r="S415" s="2">
        <v>0.58268314372389196</v>
      </c>
      <c r="T415" s="2">
        <v>5464.2159753630003</v>
      </c>
      <c r="U415" s="2">
        <v>431</v>
      </c>
      <c r="V415" s="2">
        <v>1172</v>
      </c>
      <c r="W415" s="2">
        <v>1018.7968325982</v>
      </c>
      <c r="X415" s="2">
        <v>526493.69671031402</v>
      </c>
      <c r="Y415" s="2">
        <v>-1016.16322806291</v>
      </c>
      <c r="Z415" s="2">
        <v>482.80527166842899</v>
      </c>
      <c r="AA415" s="2">
        <v>23.476383398096701</v>
      </c>
      <c r="AB415" s="2">
        <v>0.90720043748134604</v>
      </c>
      <c r="AC415" s="2">
        <v>3.32020927395854</v>
      </c>
      <c r="AD415" s="2">
        <v>3.3105877327127802</v>
      </c>
      <c r="AE415" s="2">
        <v>0.39798947708961802</v>
      </c>
      <c r="AF415" s="2">
        <v>0.32153160055628299</v>
      </c>
      <c r="AG415" s="2">
        <v>0.99260013501420996</v>
      </c>
      <c r="AH415" s="2">
        <v>0.94617539016729602</v>
      </c>
      <c r="AI415" s="2">
        <v>-0.269010790935171</v>
      </c>
      <c r="AJ415" s="2">
        <v>0.96871568340035896</v>
      </c>
      <c r="AK415" s="2">
        <v>2.7493858892845202E-3</v>
      </c>
      <c r="AL415" s="2">
        <v>9.2850877080872305</v>
      </c>
      <c r="AM415" s="2">
        <v>8.3900893918456791</v>
      </c>
      <c r="AN415" s="2">
        <v>2173.0943051047502</v>
      </c>
      <c r="AO415" s="2">
        <v>0.128243983777206</v>
      </c>
      <c r="AP415" s="2">
        <v>453.94895249336099</v>
      </c>
      <c r="AQ415" s="2">
        <v>126.641689001117</v>
      </c>
      <c r="AR415" s="2">
        <v>1008.6528179404</v>
      </c>
      <c r="AS415" s="2">
        <v>35.416287990557699</v>
      </c>
      <c r="AT415" s="2">
        <v>54281.0345234583</v>
      </c>
      <c r="AU415" s="2">
        <v>0.468996316304094</v>
      </c>
      <c r="AV415" s="2">
        <v>6.1244159586639002E-3</v>
      </c>
      <c r="AW415" s="2">
        <v>0.452177864154024</v>
      </c>
      <c r="AX415" s="2">
        <v>1.4285133907691501E-3</v>
      </c>
      <c r="AY415" s="2">
        <v>1923.1249183109601</v>
      </c>
      <c r="AZ415" s="2">
        <v>0.142090119996898</v>
      </c>
      <c r="BA415" s="2">
        <v>1.4864932774540001</v>
      </c>
      <c r="BB415" s="2">
        <v>740</v>
      </c>
    </row>
    <row r="416" spans="1:54" ht="13" x14ac:dyDescent="0.15">
      <c r="A416" s="1" t="s">
        <v>1257</v>
      </c>
      <c r="B416" s="1" t="s">
        <v>1258</v>
      </c>
      <c r="C416" s="4" t="s">
        <v>1259</v>
      </c>
      <c r="D416" s="1" t="s">
        <v>14</v>
      </c>
      <c r="E416" s="2">
        <v>24770</v>
      </c>
      <c r="F416" s="2">
        <v>120631</v>
      </c>
      <c r="G416" s="2">
        <v>38431</v>
      </c>
      <c r="H416" s="2">
        <f t="shared" si="2"/>
        <v>183832</v>
      </c>
      <c r="I416" s="2">
        <v>354430</v>
      </c>
      <c r="J416" s="2">
        <v>1726961</v>
      </c>
      <c r="K416" s="2">
        <f t="shared" si="3"/>
        <v>0.10644826374191427</v>
      </c>
      <c r="M416" s="2">
        <v>0.761497244509169</v>
      </c>
      <c r="N416" s="2">
        <v>0.50787697664480902</v>
      </c>
      <c r="O416" s="2">
        <v>26.155355878880901</v>
      </c>
      <c r="P416" s="2">
        <v>51.499392730245702</v>
      </c>
      <c r="Q416" s="2">
        <v>57.314919523628397</v>
      </c>
      <c r="R416" s="2">
        <v>39.216645657977601</v>
      </c>
      <c r="S416" s="2">
        <v>0.29764189756381598</v>
      </c>
      <c r="T416" s="2">
        <v>13746.8189860533</v>
      </c>
      <c r="U416" s="2">
        <v>658</v>
      </c>
      <c r="V416" s="2">
        <v>1159</v>
      </c>
      <c r="W416" s="2">
        <v>810.63439869024398</v>
      </c>
      <c r="X416" s="2">
        <v>114249.992452358</v>
      </c>
      <c r="Y416" s="2">
        <v>976.17631892562395</v>
      </c>
      <c r="Z416" s="2">
        <v>215.97518984246199</v>
      </c>
      <c r="AA416" s="2">
        <v>15.463877906530699</v>
      </c>
      <c r="AB416" s="2">
        <v>0.86622898085334699</v>
      </c>
      <c r="AC416" s="2">
        <v>2.9149025341330099</v>
      </c>
      <c r="AD416" s="2">
        <v>3.0692975517848802</v>
      </c>
      <c r="AE416" s="2">
        <v>0.38870617442483102</v>
      </c>
      <c r="AF416" s="2">
        <v>0.305244620069552</v>
      </c>
      <c r="AG416" s="2">
        <v>0.99482176022180502</v>
      </c>
      <c r="AH416" s="2">
        <v>0.95069578097815499</v>
      </c>
      <c r="AI416" s="2">
        <v>-0.22041958682641299</v>
      </c>
      <c r="AJ416" s="2">
        <v>0.93329696713159804</v>
      </c>
      <c r="AK416" s="2">
        <v>3.2609695369433499E-3</v>
      </c>
      <c r="AL416" s="2">
        <v>8.7681751604053701</v>
      </c>
      <c r="AM416" s="2">
        <v>7.8126988000382802</v>
      </c>
      <c r="AN416" s="2">
        <v>3757.6750100928498</v>
      </c>
      <c r="AO416" s="2">
        <v>0.151702664920987</v>
      </c>
      <c r="AP416" s="2">
        <v>924.54687121517998</v>
      </c>
      <c r="AQ416" s="2">
        <v>58.362933173325402</v>
      </c>
      <c r="AR416" s="2">
        <v>786.58486071861103</v>
      </c>
      <c r="AS416" s="2">
        <v>18.204440855874001</v>
      </c>
      <c r="AT416" s="2">
        <v>13891.5988292289</v>
      </c>
      <c r="AU416" s="2">
        <v>3.2771986509482001E-2</v>
      </c>
      <c r="AV416" s="2">
        <v>1.8794215459227101E-3</v>
      </c>
      <c r="AW416" s="2">
        <v>1.02340051164107</v>
      </c>
      <c r="AX416" s="2">
        <v>6.7808617482029003E-4</v>
      </c>
      <c r="AY416" s="2">
        <v>1970.9143688230199</v>
      </c>
      <c r="AZ416" s="2">
        <v>7.47299910678378E-2</v>
      </c>
      <c r="BA416" s="2">
        <v>0.70694568076799602</v>
      </c>
      <c r="BB416" s="2">
        <v>773</v>
      </c>
    </row>
    <row r="417" spans="1:54" ht="13" x14ac:dyDescent="0.15">
      <c r="A417" s="1" t="s">
        <v>1260</v>
      </c>
      <c r="B417" s="1" t="s">
        <v>1261</v>
      </c>
      <c r="C417" s="4" t="s">
        <v>1262</v>
      </c>
      <c r="D417" s="1" t="s">
        <v>14</v>
      </c>
      <c r="E417" s="2">
        <v>0</v>
      </c>
      <c r="F417" s="2">
        <v>27554</v>
      </c>
      <c r="G417" s="2">
        <v>2206</v>
      </c>
      <c r="H417" s="2">
        <f t="shared" si="2"/>
        <v>29760</v>
      </c>
      <c r="I417" s="2">
        <v>44845</v>
      </c>
      <c r="J417" s="2">
        <v>1618692</v>
      </c>
      <c r="K417" s="2">
        <f t="shared" si="3"/>
        <v>1.8385214728929282E-2</v>
      </c>
      <c r="M417" s="2">
        <v>0.72507689728604297</v>
      </c>
      <c r="N417" s="2">
        <v>0.43123293931872703</v>
      </c>
      <c r="O417" s="2">
        <v>24.349903145749</v>
      </c>
      <c r="P417" s="2">
        <v>56.4657773689961</v>
      </c>
      <c r="Q417" s="2">
        <v>51.6236379965612</v>
      </c>
      <c r="R417" s="2">
        <v>40.942030657556202</v>
      </c>
      <c r="S417" s="2">
        <v>0.50545237573674995</v>
      </c>
      <c r="T417" s="2">
        <v>8708.7099304263393</v>
      </c>
      <c r="U417" s="2">
        <v>544</v>
      </c>
      <c r="V417" s="2">
        <v>723</v>
      </c>
      <c r="W417" s="2">
        <v>523.57403420058301</v>
      </c>
      <c r="X417" s="2">
        <v>2301.5254389212</v>
      </c>
      <c r="Y417" s="2">
        <v>36.053244660256702</v>
      </c>
      <c r="Z417" s="2">
        <v>26.872059539338299</v>
      </c>
      <c r="AA417" s="2">
        <v>4.3982668141761003</v>
      </c>
      <c r="AB417" s="2">
        <v>0.71851910998725499</v>
      </c>
      <c r="AC417" s="2">
        <v>1.45170221786422</v>
      </c>
      <c r="AD417" s="2">
        <v>2.23943422865297</v>
      </c>
      <c r="AE417" s="2">
        <v>0.54322744456951799</v>
      </c>
      <c r="AF417" s="2">
        <v>0.493589928862947</v>
      </c>
      <c r="AG417" s="2">
        <v>0.99731516278690102</v>
      </c>
      <c r="AH417" s="2">
        <v>0.96616330929537797</v>
      </c>
      <c r="AI417" s="2">
        <v>-0.18421580948758901</v>
      </c>
      <c r="AJ417" s="2">
        <v>0.84460245520171295</v>
      </c>
      <c r="AK417" s="2">
        <v>1.87349826958354E-2</v>
      </c>
      <c r="AL417" s="2">
        <v>6.3390509727422097</v>
      </c>
      <c r="AM417" s="2">
        <v>7.1863790383448203</v>
      </c>
      <c r="AN417" s="2">
        <v>2236.6447702692899</v>
      </c>
      <c r="AO417" s="2">
        <v>8.1173142566207807E-2</v>
      </c>
      <c r="AP417" s="2">
        <v>2836.4154750671401</v>
      </c>
      <c r="AQ417" s="2">
        <v>8.1900130909641806</v>
      </c>
      <c r="AR417" s="2">
        <v>517.70831821151205</v>
      </c>
      <c r="AS417" s="2">
        <v>58.091166436815001</v>
      </c>
      <c r="AT417" s="2">
        <v>29795.2554620019</v>
      </c>
      <c r="AU417" s="2">
        <v>0.118598590395183</v>
      </c>
      <c r="AV417" s="2">
        <v>2.1342695336325798E-3</v>
      </c>
      <c r="AW417" s="2">
        <v>1.7960768699126499</v>
      </c>
      <c r="AX417" s="2">
        <v>4.2504253858593598E-4</v>
      </c>
      <c r="AY417" s="2">
        <v>691.07620029130396</v>
      </c>
      <c r="AZ417" s="2">
        <v>1.1442012755282401E-2</v>
      </c>
      <c r="BA417" s="2">
        <v>0.39632643137247298</v>
      </c>
      <c r="BB417" s="2">
        <v>660</v>
      </c>
    </row>
    <row r="418" spans="1:54" ht="13" x14ac:dyDescent="0.15">
      <c r="A418" s="1" t="s">
        <v>1263</v>
      </c>
      <c r="B418" s="1" t="s">
        <v>1264</v>
      </c>
      <c r="C418" s="4" t="s">
        <v>1265</v>
      </c>
      <c r="D418" s="1" t="s">
        <v>14</v>
      </c>
      <c r="E418" s="2">
        <v>5184</v>
      </c>
      <c r="F418" s="2">
        <v>27914</v>
      </c>
      <c r="G418" s="2">
        <v>11613</v>
      </c>
      <c r="H418" s="2">
        <f t="shared" si="2"/>
        <v>44711</v>
      </c>
      <c r="I418" s="2">
        <v>88784</v>
      </c>
      <c r="J418" s="2">
        <v>1411033</v>
      </c>
      <c r="K418" s="2">
        <f t="shared" si="3"/>
        <v>3.1686714626801782E-2</v>
      </c>
      <c r="M418" s="2">
        <v>0.55212343867814395</v>
      </c>
      <c r="N418" s="2">
        <v>0.409640076809827</v>
      </c>
      <c r="O418" s="2">
        <v>16.091492886423399</v>
      </c>
      <c r="P418" s="2">
        <v>39.282027802894497</v>
      </c>
      <c r="Q418" s="2">
        <v>39.115214431215897</v>
      </c>
      <c r="R418" s="2">
        <v>21.688528268784601</v>
      </c>
      <c r="S418" s="2">
        <v>0.50602533918893799</v>
      </c>
      <c r="T418" s="2">
        <v>2836.6595376241498</v>
      </c>
      <c r="U418" s="2">
        <v>174</v>
      </c>
      <c r="V418" s="2">
        <v>1448.7</v>
      </c>
      <c r="W418" s="2">
        <v>1410.41864589276</v>
      </c>
      <c r="X418" s="2">
        <v>3767886.7696746099</v>
      </c>
      <c r="Y418" s="2">
        <v>1349.82580298741</v>
      </c>
      <c r="Z418" s="2">
        <v>1272.4366776450599</v>
      </c>
      <c r="AA418" s="2">
        <v>164.22608554828199</v>
      </c>
      <c r="AB418" s="2">
        <v>0.77202705481094502</v>
      </c>
      <c r="AC418" s="2">
        <v>9.0818151633844302</v>
      </c>
      <c r="AD418" s="2">
        <v>4.6438529844303398</v>
      </c>
      <c r="AE418" s="2">
        <v>0.228372288556665</v>
      </c>
      <c r="AF418" s="2">
        <v>0.14944189589394399</v>
      </c>
      <c r="AG418" s="2">
        <v>0.98560364006046197</v>
      </c>
      <c r="AH418" s="2">
        <v>0.924320851826687</v>
      </c>
      <c r="AI418" s="2">
        <v>-0.19718609762257899</v>
      </c>
      <c r="AJ418" s="2">
        <v>0.95091257728448297</v>
      </c>
      <c r="AK418" s="2">
        <v>7.52379526021857E-4</v>
      </c>
      <c r="AL418" s="2">
        <v>10.9745305983091</v>
      </c>
      <c r="AM418" s="2">
        <v>7.9919945328686897</v>
      </c>
      <c r="AN418" s="2">
        <v>1416.7727623456799</v>
      </c>
      <c r="AO418" s="2">
        <v>0.273297214958657</v>
      </c>
      <c r="AP418" s="2">
        <v>89.507716049382694</v>
      </c>
      <c r="AQ418" s="2">
        <v>326.35893795814002</v>
      </c>
      <c r="AR418" s="2">
        <v>1469.99633487654</v>
      </c>
      <c r="AS418" s="2">
        <v>7.47723765432099</v>
      </c>
      <c r="AT418" s="2">
        <v>9489.7112268518504</v>
      </c>
      <c r="AU418" s="2">
        <v>0.35715852414872601</v>
      </c>
      <c r="AV418" s="2">
        <v>1.6909743906657799E-2</v>
      </c>
      <c r="AW418" s="2">
        <v>0.15713382462466399</v>
      </c>
      <c r="AX418" s="2">
        <v>2.3065165441194199E-3</v>
      </c>
      <c r="AY418" s="2">
        <v>17447.794205365601</v>
      </c>
      <c r="AZ418" s="2">
        <v>0.45210502267554498</v>
      </c>
      <c r="BA418" s="2">
        <v>7.3100064517318701</v>
      </c>
      <c r="BB418" s="2">
        <v>461</v>
      </c>
    </row>
    <row r="419" spans="1:54" ht="13" x14ac:dyDescent="0.15">
      <c r="A419" s="1" t="s">
        <v>1266</v>
      </c>
      <c r="B419" s="1" t="s">
        <v>1267</v>
      </c>
      <c r="C419" s="4" t="s">
        <v>1268</v>
      </c>
      <c r="D419" s="1" t="s">
        <v>14</v>
      </c>
      <c r="E419" s="2">
        <v>3759</v>
      </c>
      <c r="F419" s="2">
        <v>8054</v>
      </c>
      <c r="G419" s="2">
        <v>12466</v>
      </c>
      <c r="H419" s="2">
        <f t="shared" si="2"/>
        <v>24279</v>
      </c>
      <c r="I419" s="2">
        <v>50009</v>
      </c>
      <c r="J419" s="2">
        <v>1209091</v>
      </c>
      <c r="K419" s="2">
        <f t="shared" si="3"/>
        <v>2.0080374430047034E-2</v>
      </c>
      <c r="M419" s="2">
        <v>0.79631390747629704</v>
      </c>
      <c r="N419" s="2">
        <v>0.64967740861407197</v>
      </c>
      <c r="O419" s="2">
        <v>14.520685791901901</v>
      </c>
      <c r="P419" s="2">
        <v>22.350609085943599</v>
      </c>
      <c r="Q419" s="2">
        <v>21.540659228538001</v>
      </c>
      <c r="R419" s="2">
        <v>17.798100855702899</v>
      </c>
      <c r="S419" s="2">
        <v>0.70848328944400896</v>
      </c>
      <c r="T419" s="2">
        <v>1645.3166469928899</v>
      </c>
      <c r="U419" s="2">
        <v>574</v>
      </c>
      <c r="V419" s="2">
        <v>840</v>
      </c>
      <c r="W419" s="2">
        <v>358.40658611463601</v>
      </c>
      <c r="X419" s="2">
        <v>7466.3070871179798</v>
      </c>
      <c r="Y419" s="2">
        <v>-133.39121845832301</v>
      </c>
      <c r="Z419" s="2">
        <v>51.404062816148198</v>
      </c>
      <c r="AA419" s="2">
        <v>8.7663578964081594</v>
      </c>
      <c r="AB419" s="2">
        <v>0.70794506853607297</v>
      </c>
      <c r="AC419" s="2">
        <v>2.2200550140884698</v>
      </c>
      <c r="AD419" s="2">
        <v>2.7197822664898199</v>
      </c>
      <c r="AE419" s="2">
        <v>0.44118648872670202</v>
      </c>
      <c r="AF419" s="2">
        <v>0.366162757950736</v>
      </c>
      <c r="AG419" s="2">
        <v>0.98929740414975498</v>
      </c>
      <c r="AH419" s="2">
        <v>0.93014786690893103</v>
      </c>
      <c r="AI419" s="2">
        <v>-0.1528088408696</v>
      </c>
      <c r="AJ419" s="2">
        <v>0.82407774185752203</v>
      </c>
      <c r="AK419" s="2">
        <v>8.7106036285464605E-3</v>
      </c>
      <c r="AL419" s="2">
        <v>7.3280912549336898</v>
      </c>
      <c r="AM419" s="2">
        <v>7.08716321788987</v>
      </c>
      <c r="AN419" s="2">
        <v>452.51210428305399</v>
      </c>
      <c r="AO419" s="2">
        <v>0.120380980123185</v>
      </c>
      <c r="AP419" s="2">
        <v>259.11013567438101</v>
      </c>
      <c r="AQ419" s="2">
        <v>16.737045597969299</v>
      </c>
      <c r="AR419" s="2">
        <v>345.82309124767198</v>
      </c>
      <c r="AS419" s="2">
        <v>28.2865123703113</v>
      </c>
      <c r="AT419" s="2">
        <v>11339.735301942001</v>
      </c>
      <c r="AU419" s="2">
        <v>8.2312892416012404E-2</v>
      </c>
      <c r="AV419" s="2">
        <v>4.0950550586848697E-3</v>
      </c>
      <c r="AW419" s="2">
        <v>0.54856830149741098</v>
      </c>
      <c r="AX419" s="2">
        <v>3.3421627497903098E-3</v>
      </c>
      <c r="AY419" s="2">
        <v>425.55704281518098</v>
      </c>
      <c r="AZ419" s="2">
        <v>6.4634970003377798E-2</v>
      </c>
      <c r="BA419" s="2">
        <v>0.95021085293388796</v>
      </c>
      <c r="BB419" s="2">
        <v>86</v>
      </c>
    </row>
    <row r="420" spans="1:54" ht="13" x14ac:dyDescent="0.15">
      <c r="A420" s="1" t="s">
        <v>1269</v>
      </c>
      <c r="B420" s="1" t="s">
        <v>1270</v>
      </c>
      <c r="C420" s="4" t="s">
        <v>1271</v>
      </c>
      <c r="D420" s="1" t="s">
        <v>14</v>
      </c>
      <c r="E420" s="2">
        <v>3620</v>
      </c>
      <c r="F420" s="2">
        <v>185290</v>
      </c>
      <c r="G420" s="2">
        <v>36247</v>
      </c>
      <c r="H420" s="2">
        <f t="shared" si="2"/>
        <v>225157</v>
      </c>
      <c r="I420" s="2">
        <v>336586</v>
      </c>
      <c r="J420" s="2">
        <v>1730058</v>
      </c>
      <c r="K420" s="2">
        <f t="shared" si="3"/>
        <v>0.1301441916976194</v>
      </c>
      <c r="M420" s="2">
        <v>0.73103874540203995</v>
      </c>
      <c r="N420" s="2">
        <v>0.44432886028438201</v>
      </c>
      <c r="O420" s="2">
        <v>12.410491081067001</v>
      </c>
      <c r="P420" s="2">
        <v>27.930868755911899</v>
      </c>
      <c r="Q420" s="2">
        <v>28.844410203711899</v>
      </c>
      <c r="R420" s="2">
        <v>20.418547253310901</v>
      </c>
      <c r="S420" s="2">
        <v>0.61066450948618101</v>
      </c>
      <c r="T420" s="2">
        <v>1852.31270513152</v>
      </c>
      <c r="U420" s="2">
        <v>901</v>
      </c>
      <c r="V420" s="2">
        <v>1345</v>
      </c>
      <c r="W420" s="2">
        <v>733.15065688247603</v>
      </c>
      <c r="X420" s="2">
        <v>58144.808195095102</v>
      </c>
      <c r="Y420" s="2">
        <v>-180.60284484282701</v>
      </c>
      <c r="Z420" s="2">
        <v>151.12634561370001</v>
      </c>
      <c r="AA420" s="2">
        <v>12.0701171703105</v>
      </c>
      <c r="AB420" s="2">
        <v>0.852065524855111</v>
      </c>
      <c r="AC420" s="2">
        <v>2.4940283922312099</v>
      </c>
      <c r="AD420" s="2">
        <v>2.8962151970925101</v>
      </c>
      <c r="AE420" s="2">
        <v>0.42945926267648898</v>
      </c>
      <c r="AF420" s="2">
        <v>0.35332814631366299</v>
      </c>
      <c r="AG420" s="2">
        <v>0.99370903830223201</v>
      </c>
      <c r="AH420" s="2">
        <v>0.94762132883938799</v>
      </c>
      <c r="AI420" s="2">
        <v>-0.25069462613223997</v>
      </c>
      <c r="AJ420" s="2">
        <v>0.94655662226012705</v>
      </c>
      <c r="AK420" s="2">
        <v>4.9552361450241698E-3</v>
      </c>
      <c r="AL420" s="2">
        <v>8.1766298114278602</v>
      </c>
      <c r="AM420" s="2">
        <v>7.7791431948285199</v>
      </c>
      <c r="AN420" s="2">
        <v>434.56464088397797</v>
      </c>
      <c r="AO420" s="2">
        <v>0.120045480907176</v>
      </c>
      <c r="AP420" s="2">
        <v>154.99226519337</v>
      </c>
      <c r="AQ420" s="2">
        <v>43.619920026861202</v>
      </c>
      <c r="AR420" s="2">
        <v>725.08950276243104</v>
      </c>
      <c r="AS420" s="2">
        <v>27.5524861878453</v>
      </c>
      <c r="AT420" s="2">
        <v>23189.672375690599</v>
      </c>
      <c r="AU420" s="2">
        <v>4.1593397049768097E-2</v>
      </c>
      <c r="AV420" s="2">
        <v>2.2415288828774201E-3</v>
      </c>
      <c r="AW420" s="2">
        <v>0.20428298682481799</v>
      </c>
      <c r="AX420" s="2">
        <v>4.4215909854482104E-3</v>
      </c>
      <c r="AY420" s="2">
        <v>1104.20606745492</v>
      </c>
      <c r="AZ420" s="2">
        <v>8.5440900920088603E-2</v>
      </c>
      <c r="BA420" s="2">
        <v>2.7587162327202899</v>
      </c>
      <c r="BB420" s="2">
        <v>388</v>
      </c>
    </row>
    <row r="421" spans="1:54" ht="13" x14ac:dyDescent="0.15">
      <c r="A421" s="1" t="s">
        <v>1272</v>
      </c>
      <c r="B421" s="1" t="s">
        <v>1273</v>
      </c>
      <c r="C421" s="4" t="s">
        <v>1274</v>
      </c>
      <c r="D421" s="1" t="s">
        <v>14</v>
      </c>
      <c r="E421" s="2">
        <v>5167</v>
      </c>
      <c r="F421" s="2">
        <v>75630</v>
      </c>
      <c r="G421" s="2">
        <v>13926</v>
      </c>
      <c r="H421" s="2">
        <f t="shared" si="2"/>
        <v>94723</v>
      </c>
      <c r="I421" s="2">
        <v>128232</v>
      </c>
      <c r="J421" s="2">
        <v>1565377</v>
      </c>
      <c r="K421" s="2">
        <f t="shared" si="3"/>
        <v>6.0511301750313183E-2</v>
      </c>
      <c r="M421" s="2">
        <v>0.93408201379633904</v>
      </c>
      <c r="N421" s="2">
        <v>0.63308507640378897</v>
      </c>
      <c r="O421" s="2">
        <v>16.285192070842498</v>
      </c>
      <c r="P421" s="2">
        <v>25.723544398408102</v>
      </c>
      <c r="Q421" s="2">
        <v>30.413812651491099</v>
      </c>
      <c r="R421" s="2">
        <v>24.027900153644602</v>
      </c>
      <c r="S421" s="2">
        <v>0.490939764662498</v>
      </c>
      <c r="T421" s="2">
        <v>2932.8541824978502</v>
      </c>
      <c r="U421" s="2">
        <v>487</v>
      </c>
      <c r="V421" s="2">
        <v>1075</v>
      </c>
      <c r="W421" s="2">
        <v>1108.6343221306099</v>
      </c>
      <c r="X421" s="2">
        <v>973358.41990685498</v>
      </c>
      <c r="Y421" s="2">
        <v>-9574.6070850156302</v>
      </c>
      <c r="Z421" s="2">
        <v>469.67239876173898</v>
      </c>
      <c r="AA421" s="2">
        <v>52.918926977199099</v>
      </c>
      <c r="AB421" s="2">
        <v>0.79844148701775697</v>
      </c>
      <c r="AC421" s="2">
        <v>4.7890304094855596</v>
      </c>
      <c r="AD421" s="2">
        <v>3.76352971625652</v>
      </c>
      <c r="AE421" s="2">
        <v>0.32849549315063797</v>
      </c>
      <c r="AF421" s="2">
        <v>0.24442897324319701</v>
      </c>
      <c r="AG421" s="2">
        <v>0.98884963542897697</v>
      </c>
      <c r="AH421" s="2">
        <v>0.93712747795568196</v>
      </c>
      <c r="AI421" s="2">
        <v>-0.20340436926104699</v>
      </c>
      <c r="AJ421" s="2">
        <v>0.93526567055687104</v>
      </c>
      <c r="AK421" s="2">
        <v>2.4319111190232601E-3</v>
      </c>
      <c r="AL421" s="2">
        <v>9.3920866647267207</v>
      </c>
      <c r="AM421" s="2">
        <v>7.6939773322495002</v>
      </c>
      <c r="AN421" s="2">
        <v>925.74511321850196</v>
      </c>
      <c r="AO421" s="2">
        <v>0.17916491449942001</v>
      </c>
      <c r="AP421" s="2">
        <v>180.26804722276</v>
      </c>
      <c r="AQ421" s="2">
        <v>117.350100002289</v>
      </c>
      <c r="AR421" s="2">
        <v>1118.1962454035199</v>
      </c>
      <c r="AS421" s="2">
        <v>13.868976195084199</v>
      </c>
      <c r="AT421" s="2">
        <v>13462.063479775499</v>
      </c>
      <c r="AU421" s="2">
        <v>1.4341785202939901</v>
      </c>
      <c r="AV421" s="2">
        <v>2.1436558443948799E-2</v>
      </c>
      <c r="AW421" s="2">
        <v>0.15540417075839899</v>
      </c>
      <c r="AX421" s="2">
        <v>2.4612030570563799E-3</v>
      </c>
      <c r="AY421" s="2">
        <v>4898.0654426215197</v>
      </c>
      <c r="AZ421" s="2">
        <v>0.149645091828704</v>
      </c>
      <c r="BA421" s="2">
        <v>4.51795377887108</v>
      </c>
      <c r="BB421" s="2">
        <v>565</v>
      </c>
    </row>
    <row r="422" spans="1:54" ht="13" x14ac:dyDescent="0.15">
      <c r="A422" s="1" t="s">
        <v>1275</v>
      </c>
      <c r="B422" s="1" t="s">
        <v>1276</v>
      </c>
      <c r="C422" s="4" t="s">
        <v>1277</v>
      </c>
      <c r="D422" s="1" t="s">
        <v>14</v>
      </c>
      <c r="E422" s="2">
        <v>9920</v>
      </c>
      <c r="F422" s="2">
        <v>150821</v>
      </c>
      <c r="G422" s="2">
        <v>18530</v>
      </c>
      <c r="H422" s="2">
        <f t="shared" si="2"/>
        <v>179271</v>
      </c>
      <c r="I422" s="2">
        <v>334706</v>
      </c>
      <c r="J422" s="2">
        <v>1420257</v>
      </c>
      <c r="K422" s="2">
        <f t="shared" si="3"/>
        <v>0.12622433827117205</v>
      </c>
      <c r="M422" s="2">
        <v>0.74480415549316303</v>
      </c>
      <c r="N422" s="2">
        <v>0.53456588642127401</v>
      </c>
      <c r="O422" s="2">
        <v>20.512908592791899</v>
      </c>
      <c r="P422" s="2">
        <v>38.373022135996003</v>
      </c>
      <c r="Q422" s="2">
        <v>36.769552621700498</v>
      </c>
      <c r="R422" s="2">
        <v>28.5803863457209</v>
      </c>
      <c r="S422" s="2">
        <v>0.38787514572562298</v>
      </c>
      <c r="T422" s="2">
        <v>5739.1967439739301</v>
      </c>
      <c r="U422" s="2">
        <v>737</v>
      </c>
      <c r="V422" s="2">
        <v>1012</v>
      </c>
      <c r="W422" s="2">
        <v>539.24449971191495</v>
      </c>
      <c r="X422" s="2">
        <v>39736.592747051298</v>
      </c>
      <c r="Y422" s="2">
        <v>109.214392239246</v>
      </c>
      <c r="Z422" s="2">
        <v>88.680898379177705</v>
      </c>
      <c r="AA422" s="2">
        <v>17.8387172944912</v>
      </c>
      <c r="AB422" s="2">
        <v>0.66487932685000095</v>
      </c>
      <c r="AC422" s="2">
        <v>2.6740449252383698</v>
      </c>
      <c r="AD422" s="2">
        <v>3.0070604826779701</v>
      </c>
      <c r="AE422" s="2">
        <v>0.44597260915228998</v>
      </c>
      <c r="AF422" s="2">
        <v>0.37845550512638398</v>
      </c>
      <c r="AG422" s="2">
        <v>0.99149858545420999</v>
      </c>
      <c r="AH422" s="2">
        <v>0.94665407743501495</v>
      </c>
      <c r="AI422" s="2">
        <v>-0.16617496090454201</v>
      </c>
      <c r="AJ422" s="2">
        <v>0.86333029190635802</v>
      </c>
      <c r="AK422" s="2">
        <v>8.7393647899274094E-3</v>
      </c>
      <c r="AL422" s="2">
        <v>7.8435958166801196</v>
      </c>
      <c r="AM422" s="2">
        <v>7.5003536903308898</v>
      </c>
      <c r="AN422" s="2">
        <v>1084.96491935484</v>
      </c>
      <c r="AO422" s="2">
        <v>0.109371463644641</v>
      </c>
      <c r="AP422" s="2">
        <v>674.28366935483905</v>
      </c>
      <c r="AQ422" s="2">
        <v>26.933557126365798</v>
      </c>
      <c r="AR422" s="2">
        <v>536.35483870967698</v>
      </c>
      <c r="AS422" s="2">
        <v>31.3264112903226</v>
      </c>
      <c r="AT422" s="2">
        <v>16660.146370967701</v>
      </c>
      <c r="AU422" s="2">
        <v>7.2598001092721201E-2</v>
      </c>
      <c r="AV422" s="2">
        <v>2.6376247204642099E-3</v>
      </c>
      <c r="AW422" s="2">
        <v>0.60474336601101497</v>
      </c>
      <c r="AX422" s="2">
        <v>1.2393000038495999E-3</v>
      </c>
      <c r="AY422" s="2">
        <v>1345.5709346374799</v>
      </c>
      <c r="AZ422" s="2">
        <v>4.7204324443887197E-2</v>
      </c>
      <c r="BA422" s="2">
        <v>1.00689663809102</v>
      </c>
      <c r="BB422" s="2">
        <v>509</v>
      </c>
    </row>
    <row r="423" spans="1:54" ht="13" x14ac:dyDescent="0.15">
      <c r="A423" s="1" t="s">
        <v>1278</v>
      </c>
      <c r="B423" s="1" t="s">
        <v>1279</v>
      </c>
      <c r="C423" s="4" t="s">
        <v>1280</v>
      </c>
      <c r="D423" s="1" t="s">
        <v>14</v>
      </c>
      <c r="E423" s="2">
        <v>4582</v>
      </c>
      <c r="F423" s="2">
        <v>71068</v>
      </c>
      <c r="G423" s="2">
        <v>8522</v>
      </c>
      <c r="H423" s="2">
        <f t="shared" si="2"/>
        <v>84172</v>
      </c>
      <c r="I423" s="2">
        <v>107384</v>
      </c>
      <c r="J423" s="2">
        <v>1768198</v>
      </c>
      <c r="K423" s="2">
        <f t="shared" si="3"/>
        <v>4.7603266150057853E-2</v>
      </c>
      <c r="M423" s="2">
        <v>0.63345329164697395</v>
      </c>
      <c r="N423" s="2">
        <v>0.55962771842497605</v>
      </c>
      <c r="O423" s="2">
        <v>14.832221811879601</v>
      </c>
      <c r="P423" s="2">
        <v>26.503729753815001</v>
      </c>
      <c r="Q423" s="2">
        <v>27.459060435491999</v>
      </c>
      <c r="R423" s="2">
        <v>16.7888748534759</v>
      </c>
      <c r="S423" s="2">
        <v>0.763040429339371</v>
      </c>
      <c r="T423" s="2">
        <v>1742.7850450646699</v>
      </c>
      <c r="U423" s="2">
        <v>594</v>
      </c>
      <c r="V423" s="2">
        <v>918</v>
      </c>
      <c r="W423" s="2">
        <v>532.93151382190797</v>
      </c>
      <c r="X423" s="2">
        <v>28260.153954798301</v>
      </c>
      <c r="Y423" s="2">
        <v>-172.82636719585901</v>
      </c>
      <c r="Z423" s="2">
        <v>98.123191387725399</v>
      </c>
      <c r="AA423" s="2">
        <v>9.5802162623582294</v>
      </c>
      <c r="AB423" s="2">
        <v>0.82185864646967299</v>
      </c>
      <c r="AC423" s="2">
        <v>2.3350889460398201</v>
      </c>
      <c r="AD423" s="2">
        <v>2.78178597571155</v>
      </c>
      <c r="AE423" s="2">
        <v>0.42858191769634901</v>
      </c>
      <c r="AF423" s="2">
        <v>0.35111749344925203</v>
      </c>
      <c r="AG423" s="2">
        <v>0.99385169712489396</v>
      </c>
      <c r="AH423" s="2">
        <v>0.94566031726259803</v>
      </c>
      <c r="AI423" s="2">
        <v>-0.209521919798586</v>
      </c>
      <c r="AJ423" s="2">
        <v>0.911430956080865</v>
      </c>
      <c r="AK423" s="2">
        <v>5.9916475174539496E-3</v>
      </c>
      <c r="AL423" s="2">
        <v>7.8731962620464699</v>
      </c>
      <c r="AM423" s="2">
        <v>7.45222044644441</v>
      </c>
      <c r="AN423" s="2">
        <v>581.40113487559995</v>
      </c>
      <c r="AO423" s="2">
        <v>0.126888069593103</v>
      </c>
      <c r="AP423" s="2">
        <v>250.63247490179</v>
      </c>
      <c r="AQ423" s="2">
        <v>26.875307958323202</v>
      </c>
      <c r="AR423" s="2">
        <v>532.51658664338697</v>
      </c>
      <c r="AS423" s="2">
        <v>25.310344827586199</v>
      </c>
      <c r="AT423" s="2">
        <v>13939.4764295068</v>
      </c>
      <c r="AU423" s="2">
        <v>5.5660697860388499E-2</v>
      </c>
      <c r="AV423" s="2">
        <v>2.8222617774434199E-3</v>
      </c>
      <c r="AW423" s="2">
        <v>0.33629343749578999</v>
      </c>
      <c r="AX423" s="2">
        <v>3.18318942406245E-3</v>
      </c>
      <c r="AY423" s="2">
        <v>834.98064588834097</v>
      </c>
      <c r="AZ423" s="2">
        <v>5.5512893128651597E-2</v>
      </c>
      <c r="BA423" s="2">
        <v>1.81624535079978</v>
      </c>
      <c r="BB423" s="2">
        <v>534</v>
      </c>
    </row>
    <row r="424" spans="1:54" ht="13" x14ac:dyDescent="0.15">
      <c r="A424" s="1" t="s">
        <v>1281</v>
      </c>
      <c r="B424" s="1" t="s">
        <v>1282</v>
      </c>
      <c r="C424" s="4" t="s">
        <v>1283</v>
      </c>
      <c r="D424" s="1" t="s">
        <v>14</v>
      </c>
      <c r="E424" s="2">
        <v>2861</v>
      </c>
      <c r="F424" s="2">
        <v>6558</v>
      </c>
      <c r="G424" s="2">
        <v>9344</v>
      </c>
      <c r="H424" s="2">
        <f t="shared" si="2"/>
        <v>18763</v>
      </c>
      <c r="I424" s="2">
        <v>23643</v>
      </c>
      <c r="J424" s="2">
        <v>1384942</v>
      </c>
      <c r="K424" s="2">
        <f t="shared" si="3"/>
        <v>1.3547859765968539E-2</v>
      </c>
      <c r="M424" s="2">
        <v>0.87607846673990697</v>
      </c>
      <c r="N424" s="2">
        <v>0.680880691045187</v>
      </c>
      <c r="O424" s="2">
        <v>14.8637518491051</v>
      </c>
      <c r="P424" s="2">
        <v>21.830185588444898</v>
      </c>
      <c r="Q424" s="2">
        <v>24.698178070456901</v>
      </c>
      <c r="R424" s="2">
        <v>19.124955518972499</v>
      </c>
      <c r="S424" s="2">
        <v>0.51391194484528102</v>
      </c>
      <c r="T424" s="2">
        <v>1878.5069885487601</v>
      </c>
      <c r="U424" s="2">
        <v>413</v>
      </c>
      <c r="V424" s="2">
        <v>741</v>
      </c>
      <c r="W424" s="2">
        <v>163.93699113279601</v>
      </c>
      <c r="X424" s="2">
        <v>14993.9280833141</v>
      </c>
      <c r="Y424" s="2">
        <v>297.91201060926801</v>
      </c>
      <c r="Z424" s="2">
        <v>77.815651489874298</v>
      </c>
      <c r="AA424" s="2">
        <v>7.5243054150747799</v>
      </c>
      <c r="AB424" s="2">
        <v>0.82289246068988997</v>
      </c>
      <c r="AC424" s="2">
        <v>2.0373012713350498</v>
      </c>
      <c r="AD424" s="2">
        <v>2.6181471222752899</v>
      </c>
      <c r="AE424" s="2">
        <v>0.46196317793485497</v>
      </c>
      <c r="AF424" s="2">
        <v>0.39163917903319301</v>
      </c>
      <c r="AG424" s="2">
        <v>0.990098635985183</v>
      </c>
      <c r="AH424" s="2">
        <v>0.93328869325487296</v>
      </c>
      <c r="AI424" s="2">
        <v>-0.21969713626151199</v>
      </c>
      <c r="AJ424" s="2">
        <v>0.90926111732779102</v>
      </c>
      <c r="AK424" s="2">
        <v>7.7629955204681998E-3</v>
      </c>
      <c r="AL424" s="2">
        <v>7.4369507509483199</v>
      </c>
      <c r="AM424" s="2">
        <v>7.3522237150779199</v>
      </c>
      <c r="AN424" s="2">
        <v>338.77560293603602</v>
      </c>
      <c r="AO424" s="2">
        <v>0.118411605360376</v>
      </c>
      <c r="AP424" s="2">
        <v>169.63544215309301</v>
      </c>
      <c r="AQ424" s="2">
        <v>23.656930253559999</v>
      </c>
      <c r="AR424" s="2">
        <v>167.103809856693</v>
      </c>
      <c r="AS424" s="2">
        <v>28.517651170919301</v>
      </c>
      <c r="AT424" s="2">
        <v>4145.5763718979397</v>
      </c>
      <c r="AU424" s="2">
        <v>0.400315174499423</v>
      </c>
      <c r="AV424" s="2">
        <v>1.2640604089299E-2</v>
      </c>
      <c r="AW424" s="2">
        <v>0.75089478584224301</v>
      </c>
      <c r="AX424" s="2">
        <v>5.1575381729860497E-3</v>
      </c>
      <c r="AY424" s="2">
        <v>367.763007092441</v>
      </c>
      <c r="AZ424" s="2">
        <v>8.2606927103240496E-2</v>
      </c>
      <c r="BA424" s="2">
        <v>1.3615812370953699</v>
      </c>
      <c r="BB424" s="2">
        <v>539</v>
      </c>
    </row>
    <row r="425" spans="1:54" ht="13" x14ac:dyDescent="0.15">
      <c r="A425" s="1" t="s">
        <v>1284</v>
      </c>
      <c r="B425" s="1" t="s">
        <v>1285</v>
      </c>
      <c r="C425" s="4" t="s">
        <v>1286</v>
      </c>
      <c r="D425" s="1" t="s">
        <v>14</v>
      </c>
      <c r="E425" s="2">
        <v>15850</v>
      </c>
      <c r="F425" s="2">
        <v>20654</v>
      </c>
      <c r="G425" s="2">
        <v>32983</v>
      </c>
      <c r="H425" s="2">
        <f t="shared" si="2"/>
        <v>69487</v>
      </c>
      <c r="I425" s="2">
        <v>94897</v>
      </c>
      <c r="J425" s="2">
        <v>1571201</v>
      </c>
      <c r="K425" s="2">
        <f t="shared" si="3"/>
        <v>4.4225404642690529E-2</v>
      </c>
      <c r="M425" s="2">
        <v>0.569859746115979</v>
      </c>
      <c r="N425" s="2">
        <v>0.50600383939110904</v>
      </c>
      <c r="O425" s="2">
        <v>25.405414832133498</v>
      </c>
      <c r="P425" s="2">
        <v>50.207948743441698</v>
      </c>
      <c r="Q425" s="2">
        <v>45.891175622335098</v>
      </c>
      <c r="R425" s="2">
        <v>28.611488923941799</v>
      </c>
      <c r="S425" s="2">
        <v>0.43946260090845102</v>
      </c>
      <c r="T425" s="2">
        <v>6891.2248804606197</v>
      </c>
      <c r="U425" s="2">
        <v>655</v>
      </c>
      <c r="V425" s="2">
        <v>1068</v>
      </c>
      <c r="W425" s="2">
        <v>670.84904961084203</v>
      </c>
      <c r="X425" s="2">
        <v>48912.913897459497</v>
      </c>
      <c r="Y425" s="2">
        <v>-397.08200311309702</v>
      </c>
      <c r="Z425" s="2">
        <v>146.56669527838</v>
      </c>
      <c r="AA425" s="2">
        <v>10.747668462786301</v>
      </c>
      <c r="AB425" s="2">
        <v>0.86333595836007104</v>
      </c>
      <c r="AC425" s="2">
        <v>2.2185526471891301</v>
      </c>
      <c r="AD425" s="2">
        <v>2.7994953710291099</v>
      </c>
      <c r="AE425" s="2">
        <v>0.47768226585243101</v>
      </c>
      <c r="AF425" s="2">
        <v>0.414358412811482</v>
      </c>
      <c r="AG425" s="2">
        <v>0.99287864535392201</v>
      </c>
      <c r="AH425" s="2">
        <v>0.94791339047501599</v>
      </c>
      <c r="AI425" s="2">
        <v>-0.25294916946717499</v>
      </c>
      <c r="AJ425" s="2">
        <v>0.94379610913848</v>
      </c>
      <c r="AK425" s="2">
        <v>7.3244333989505497E-3</v>
      </c>
      <c r="AL425" s="2">
        <v>7.90510588744388</v>
      </c>
      <c r="AM425" s="2">
        <v>7.9984868821537498</v>
      </c>
      <c r="AN425" s="2">
        <v>1481.21678233438</v>
      </c>
      <c r="AO425" s="2">
        <v>9.3452162923304993E-2</v>
      </c>
      <c r="AP425" s="2">
        <v>752.077097791798</v>
      </c>
      <c r="AQ425" s="2">
        <v>40.022391342336</v>
      </c>
      <c r="AR425" s="2">
        <v>660.86214511040998</v>
      </c>
      <c r="AS425" s="2">
        <v>48.368832807571003</v>
      </c>
      <c r="AT425" s="2">
        <v>41452.204605678198</v>
      </c>
      <c r="AU425" s="2">
        <v>7.0506463543770201E-2</v>
      </c>
      <c r="AV425" s="2">
        <v>2.2060105291610201E-3</v>
      </c>
      <c r="AW425" s="2">
        <v>0.93851720584627996</v>
      </c>
      <c r="AX425" s="2">
        <v>1.0187677048365501E-3</v>
      </c>
      <c r="AY425" s="2">
        <v>912.34443659996896</v>
      </c>
      <c r="AZ425" s="2">
        <v>8.1367608093166593E-2</v>
      </c>
      <c r="BA425" s="2">
        <v>0.63613248819200396</v>
      </c>
      <c r="BB425" s="2">
        <v>244</v>
      </c>
    </row>
    <row r="426" spans="1:54" ht="13" x14ac:dyDescent="0.15">
      <c r="A426" s="1" t="s">
        <v>1287</v>
      </c>
      <c r="B426" s="1" t="s">
        <v>1288</v>
      </c>
      <c r="C426" s="4" t="s">
        <v>1289</v>
      </c>
      <c r="D426" s="1" t="s">
        <v>14</v>
      </c>
      <c r="E426" s="2">
        <v>7429</v>
      </c>
      <c r="F426" s="2">
        <v>32296</v>
      </c>
      <c r="G426" s="2">
        <v>11199</v>
      </c>
      <c r="H426" s="2">
        <f t="shared" si="2"/>
        <v>50924</v>
      </c>
      <c r="I426" s="2">
        <v>74119</v>
      </c>
      <c r="J426" s="2">
        <v>1685036</v>
      </c>
      <c r="K426" s="2">
        <f t="shared" si="3"/>
        <v>3.0221312779074156E-2</v>
      </c>
      <c r="M426" s="2">
        <v>0.59531848202431403</v>
      </c>
      <c r="N426" s="2">
        <v>0.51256380490683895</v>
      </c>
      <c r="O426" s="2">
        <v>17.809146072229101</v>
      </c>
      <c r="P426" s="2">
        <v>34.745227621887899</v>
      </c>
      <c r="Q426" s="2">
        <v>35.1283361405006</v>
      </c>
      <c r="R426" s="2">
        <v>20.684476165451599</v>
      </c>
      <c r="S426" s="2">
        <v>0.62711067009158095</v>
      </c>
      <c r="T426" s="2">
        <v>2925.3694266971402</v>
      </c>
      <c r="U426" s="2">
        <v>534</v>
      </c>
      <c r="V426" s="2">
        <v>725</v>
      </c>
      <c r="W426" s="2">
        <v>254.535210789068</v>
      </c>
      <c r="X426" s="2">
        <v>2812.78834763958</v>
      </c>
      <c r="Y426" s="2">
        <v>-38.039737482951601</v>
      </c>
      <c r="Z426" s="2">
        <v>29.091873995280299</v>
      </c>
      <c r="AA426" s="2">
        <v>6.21256490524111</v>
      </c>
      <c r="AB426" s="2">
        <v>0.64735837508583605</v>
      </c>
      <c r="AC426" s="2">
        <v>1.83503588596331</v>
      </c>
      <c r="AD426" s="2">
        <v>2.5084978890288898</v>
      </c>
      <c r="AE426" s="2">
        <v>0.48606218943628599</v>
      </c>
      <c r="AF426" s="2">
        <v>0.42137304647978702</v>
      </c>
      <c r="AG426" s="2">
        <v>0.99046621864972495</v>
      </c>
      <c r="AH426" s="2">
        <v>0.93502411539337105</v>
      </c>
      <c r="AI426" s="2">
        <v>-0.12950341882837099</v>
      </c>
      <c r="AJ426" s="2">
        <v>0.76523100841528602</v>
      </c>
      <c r="AK426" s="2">
        <v>1.39124646056022E-2</v>
      </c>
      <c r="AL426" s="2">
        <v>6.7290193730547898</v>
      </c>
      <c r="AM426" s="2">
        <v>7.0236930514394498</v>
      </c>
      <c r="AN426" s="2">
        <v>739.01453762282995</v>
      </c>
      <c r="AO426" s="2">
        <v>9.94769871615062E-2</v>
      </c>
      <c r="AP426" s="2">
        <v>698.00901871045903</v>
      </c>
      <c r="AQ426" s="2">
        <v>9.4985924000310096</v>
      </c>
      <c r="AR426" s="2">
        <v>253.138376632117</v>
      </c>
      <c r="AS426" s="2">
        <v>39.187373805357403</v>
      </c>
      <c r="AT426" s="2">
        <v>10109.4490510163</v>
      </c>
      <c r="AU426" s="2">
        <v>0.17095984135900599</v>
      </c>
      <c r="AV426" s="2">
        <v>5.3453782105759703E-3</v>
      </c>
      <c r="AW426" s="2">
        <v>1.4574590944856101</v>
      </c>
      <c r="AX426" s="2">
        <v>1.4024114526604999E-3</v>
      </c>
      <c r="AY426" s="2">
        <v>340.77434578702702</v>
      </c>
      <c r="AZ426" s="2">
        <v>3.8465940129476899E-2</v>
      </c>
      <c r="BA426" s="2">
        <v>0.37840392440464299</v>
      </c>
      <c r="BB426" s="2">
        <v>319</v>
      </c>
    </row>
    <row r="427" spans="1:54" ht="13" x14ac:dyDescent="0.15">
      <c r="A427" s="1" t="s">
        <v>1290</v>
      </c>
      <c r="B427" s="1" t="s">
        <v>1291</v>
      </c>
      <c r="C427" s="4" t="s">
        <v>1292</v>
      </c>
      <c r="D427" s="1" t="s">
        <v>14</v>
      </c>
      <c r="E427" s="2">
        <v>6162</v>
      </c>
      <c r="F427" s="2">
        <v>48372</v>
      </c>
      <c r="G427" s="2">
        <v>15222</v>
      </c>
      <c r="H427" s="2">
        <f t="shared" si="2"/>
        <v>69756</v>
      </c>
      <c r="I427" s="2">
        <v>108176</v>
      </c>
      <c r="J427" s="2">
        <v>1757368</v>
      </c>
      <c r="K427" s="2">
        <f t="shared" si="3"/>
        <v>3.9693450660305642E-2</v>
      </c>
      <c r="M427" s="2">
        <v>0.93319916186987895</v>
      </c>
      <c r="N427" s="2">
        <v>0.69138021205503997</v>
      </c>
      <c r="O427" s="2">
        <v>19.272995803383001</v>
      </c>
      <c r="P427" s="2">
        <v>27.8761171745087</v>
      </c>
      <c r="Q427" s="2">
        <v>32.249030993194197</v>
      </c>
      <c r="R427" s="2">
        <v>26.0139691834381</v>
      </c>
      <c r="S427" s="2">
        <v>0.42057921933900699</v>
      </c>
      <c r="T427" s="2">
        <v>3824.3998822981198</v>
      </c>
      <c r="U427" s="2">
        <v>987</v>
      </c>
      <c r="V427" s="2">
        <v>1179</v>
      </c>
      <c r="W427" s="2">
        <v>606.53214428961303</v>
      </c>
      <c r="X427" s="2">
        <v>50722.023983135201</v>
      </c>
      <c r="Y427" s="2">
        <v>-1436.03388882935</v>
      </c>
      <c r="Z427" s="2">
        <v>64.953849007769605</v>
      </c>
      <c r="AA427" s="2">
        <v>5.3880601517574096</v>
      </c>
      <c r="AB427" s="2">
        <v>0.84573824394896002</v>
      </c>
      <c r="AC427" s="2">
        <v>1.3533588626053601</v>
      </c>
      <c r="AD427" s="2">
        <v>2.2309836446960398</v>
      </c>
      <c r="AE427" s="2">
        <v>0.611681181120453</v>
      </c>
      <c r="AF427" s="2">
        <v>0.57624254781601802</v>
      </c>
      <c r="AG427" s="2">
        <v>0.99501616139433102</v>
      </c>
      <c r="AH427" s="2">
        <v>0.96210132466337495</v>
      </c>
      <c r="AI427" s="2">
        <v>-0.26352800379955099</v>
      </c>
      <c r="AJ427" s="2">
        <v>0.91217291850660898</v>
      </c>
      <c r="AK427" s="2">
        <v>3.4360307518009399E-2</v>
      </c>
      <c r="AL427" s="2">
        <v>5.9853933982285801</v>
      </c>
      <c r="AM427" s="2">
        <v>7.4695931936780298</v>
      </c>
      <c r="AN427" s="2">
        <v>349.648490749757</v>
      </c>
      <c r="AO427" s="2">
        <v>5.6742695675065999E-2</v>
      </c>
      <c r="AP427" s="2">
        <v>726.74683544303798</v>
      </c>
      <c r="AQ427" s="2">
        <v>20.729007061424198</v>
      </c>
      <c r="AR427" s="2">
        <v>595.24991885751399</v>
      </c>
      <c r="AS427" s="2">
        <v>105.89938331710501</v>
      </c>
      <c r="AT427" s="2">
        <v>69374.554365465796</v>
      </c>
      <c r="AU427" s="2">
        <v>0.18635763349607001</v>
      </c>
      <c r="AV427" s="2">
        <v>3.0164597129380701E-3</v>
      </c>
      <c r="AW427" s="2">
        <v>0.45821310121698899</v>
      </c>
      <c r="AX427" s="2">
        <v>1.8675250967123799E-3</v>
      </c>
      <c r="AY427" s="2">
        <v>526.87223819414601</v>
      </c>
      <c r="AZ427" s="2">
        <v>4.2502649062876603E-2</v>
      </c>
      <c r="BA427" s="2">
        <v>1.65207679709458</v>
      </c>
      <c r="BB427" s="2">
        <v>213</v>
      </c>
    </row>
    <row r="428" spans="1:54" ht="13" x14ac:dyDescent="0.15">
      <c r="A428" s="1" t="s">
        <v>1293</v>
      </c>
      <c r="B428" s="1" t="s">
        <v>1294</v>
      </c>
      <c r="C428" s="4" t="s">
        <v>1295</v>
      </c>
      <c r="D428" s="1" t="s">
        <v>14</v>
      </c>
      <c r="E428" s="2">
        <v>0</v>
      </c>
      <c r="F428" s="2">
        <v>4582</v>
      </c>
      <c r="G428" s="2">
        <v>2298</v>
      </c>
      <c r="H428" s="2">
        <f t="shared" si="2"/>
        <v>6880</v>
      </c>
      <c r="I428" s="2">
        <v>39692</v>
      </c>
      <c r="J428" s="2">
        <v>1413043</v>
      </c>
      <c r="K428" s="2">
        <f t="shared" si="3"/>
        <v>4.8689247248668299E-3</v>
      </c>
      <c r="M428" s="2">
        <v>0.37514281234485902</v>
      </c>
      <c r="N428" s="2">
        <v>0.23896840030146199</v>
      </c>
      <c r="O428" s="2">
        <v>23.297240288494301</v>
      </c>
      <c r="P428" s="2">
        <v>97.4908827238432</v>
      </c>
      <c r="Q428" s="2">
        <v>99.463561166891694</v>
      </c>
      <c r="R428" s="2">
        <v>36.573003923005302</v>
      </c>
      <c r="S428" s="2">
        <v>0.33117140302483999</v>
      </c>
      <c r="T428" s="2">
        <v>3956.8131755944801</v>
      </c>
      <c r="U428" s="2">
        <v>660</v>
      </c>
      <c r="V428" s="2">
        <v>1483.9</v>
      </c>
      <c r="W428" s="2">
        <v>991.47516519711905</v>
      </c>
      <c r="X428" s="2">
        <v>3296260.01743935</v>
      </c>
      <c r="Y428" s="2">
        <v>35995.6924036083</v>
      </c>
      <c r="Z428" s="2">
        <v>793.31419862465998</v>
      </c>
      <c r="AA428" s="2">
        <v>106.599777883556</v>
      </c>
      <c r="AB428" s="2">
        <v>0.76358544563061603</v>
      </c>
      <c r="AC428" s="2">
        <v>6.6642851017961302</v>
      </c>
      <c r="AD428" s="2">
        <v>4.1798668906401</v>
      </c>
      <c r="AE428" s="2">
        <v>0.27727738065482199</v>
      </c>
      <c r="AF428" s="2">
        <v>0.19172300162146999</v>
      </c>
      <c r="AG428" s="2">
        <v>0.98939274747439199</v>
      </c>
      <c r="AH428" s="2">
        <v>0.93978708010593903</v>
      </c>
      <c r="AI428" s="2">
        <v>-0.20850239086469299</v>
      </c>
      <c r="AJ428" s="2">
        <v>0.94343929398551596</v>
      </c>
      <c r="AK428" s="2">
        <v>2.0144477016767301E-3</v>
      </c>
      <c r="AL428" s="2">
        <v>9.7729916537538397</v>
      </c>
      <c r="AM428" s="2">
        <v>7.5732767251817803</v>
      </c>
      <c r="AN428" s="2">
        <v>1102.4975993016201</v>
      </c>
      <c r="AO428" s="2">
        <v>0.24061492782662899</v>
      </c>
      <c r="AP428" s="2">
        <v>142.72282845918801</v>
      </c>
      <c r="AQ428" s="2">
        <v>213.512111519065</v>
      </c>
      <c r="AR428" s="2">
        <v>984.34395460497603</v>
      </c>
      <c r="AS428" s="2">
        <v>8.20122217372327</v>
      </c>
      <c r="AT428" s="2">
        <v>5615.5971191619401</v>
      </c>
      <c r="AU428" s="2">
        <v>1.9855373535591199E-2</v>
      </c>
      <c r="AV428" s="2">
        <v>2.5947401367155199E-3</v>
      </c>
      <c r="AW428" s="2">
        <v>0.19303563505534699</v>
      </c>
      <c r="AX428" s="2">
        <v>2.1771705787790399E-3</v>
      </c>
      <c r="AY428" s="2">
        <v>14898.0159753633</v>
      </c>
      <c r="AZ428" s="2">
        <v>0.24304941786356599</v>
      </c>
      <c r="BA428" s="2">
        <v>10.389805639498499</v>
      </c>
      <c r="BB428" s="2">
        <v>510</v>
      </c>
    </row>
    <row r="429" spans="1:54" ht="13" x14ac:dyDescent="0.15">
      <c r="A429" s="1" t="s">
        <v>1296</v>
      </c>
      <c r="B429" s="1" t="s">
        <v>1297</v>
      </c>
      <c r="C429" s="4" t="s">
        <v>1298</v>
      </c>
      <c r="D429" s="1" t="s">
        <v>14</v>
      </c>
      <c r="E429" s="2">
        <v>28022</v>
      </c>
      <c r="F429" s="2">
        <v>50279</v>
      </c>
      <c r="G429" s="2">
        <v>49563</v>
      </c>
      <c r="H429" s="2">
        <f t="shared" si="2"/>
        <v>127864</v>
      </c>
      <c r="I429" s="2">
        <v>173457</v>
      </c>
      <c r="J429" s="2">
        <v>1395830</v>
      </c>
      <c r="K429" s="2">
        <f t="shared" si="3"/>
        <v>9.1604278457978403E-2</v>
      </c>
      <c r="M429" s="2">
        <v>0.68163927878485597</v>
      </c>
      <c r="N429" s="2">
        <v>0.443195088543195</v>
      </c>
      <c r="O429" s="2">
        <v>28.0254744475153</v>
      </c>
      <c r="P429" s="2">
        <v>63.235074512302099</v>
      </c>
      <c r="Q429" s="2">
        <v>67.268120235368599</v>
      </c>
      <c r="R429" s="2">
        <v>43.103510584472303</v>
      </c>
      <c r="S429" s="2">
        <v>0.32093669430031502</v>
      </c>
      <c r="T429" s="2">
        <v>13762.4903836699</v>
      </c>
      <c r="U429" s="2">
        <v>751</v>
      </c>
      <c r="V429" s="2">
        <v>1626</v>
      </c>
      <c r="W429" s="2">
        <v>2679.19034382776</v>
      </c>
      <c r="X429" s="2">
        <v>1875126.94676682</v>
      </c>
      <c r="Y429" s="2">
        <v>-23719.274475792001</v>
      </c>
      <c r="Z429" s="2">
        <v>569.62159380991795</v>
      </c>
      <c r="AA429" s="2">
        <v>8.5558713762287901</v>
      </c>
      <c r="AB429" s="2">
        <v>0.97015139301474096</v>
      </c>
      <c r="AC429" s="2">
        <v>1.7364308504897099</v>
      </c>
      <c r="AD429" s="2">
        <v>2.4818338274277698</v>
      </c>
      <c r="AE429" s="2">
        <v>0.54874123669675201</v>
      </c>
      <c r="AF429" s="2">
        <v>0.50253060118471704</v>
      </c>
      <c r="AG429" s="2">
        <v>0.998622016435465</v>
      </c>
      <c r="AH429" s="2">
        <v>0.97900189732812104</v>
      </c>
      <c r="AI429" s="2">
        <v>-0.40004533919405</v>
      </c>
      <c r="AJ429" s="2">
        <v>0.98986441157885396</v>
      </c>
      <c r="AK429" s="2">
        <v>9.6666183193389408E-3</v>
      </c>
      <c r="AL429" s="2">
        <v>7.9869048561741298</v>
      </c>
      <c r="AM429" s="2">
        <v>8.8487547032152492</v>
      </c>
      <c r="AN429" s="2">
        <v>1917.77360645207</v>
      </c>
      <c r="AO429" s="2">
        <v>6.8438141690531501E-2</v>
      </c>
      <c r="AP429" s="2">
        <v>1117.4831204054001</v>
      </c>
      <c r="AQ429" s="2">
        <v>173.52721457330799</v>
      </c>
      <c r="AR429" s="2">
        <v>2587.9649204196699</v>
      </c>
      <c r="AS429" s="2">
        <v>71.419527514096103</v>
      </c>
      <c r="AT429" s="2">
        <v>205758.40329027199</v>
      </c>
      <c r="AU429" s="2">
        <v>3.1935380602330102E-2</v>
      </c>
      <c r="AV429" s="2">
        <v>1.0310029833435401E-3</v>
      </c>
      <c r="AW429" s="2">
        <v>0.18601018804710101</v>
      </c>
      <c r="AX429" s="2">
        <v>9.7990230704475306E-4</v>
      </c>
      <c r="AY429" s="2">
        <v>3279.5028183194399</v>
      </c>
      <c r="AZ429" s="2">
        <v>7.3361372371176306E-2</v>
      </c>
      <c r="BA429" s="2">
        <v>3.3909884258755101</v>
      </c>
      <c r="BB429" s="2">
        <v>1037</v>
      </c>
    </row>
    <row r="430" spans="1:54" ht="13" x14ac:dyDescent="0.15">
      <c r="A430" s="1" t="s">
        <v>1299</v>
      </c>
      <c r="B430" s="1" t="s">
        <v>1300</v>
      </c>
      <c r="C430" s="4" t="s">
        <v>1301</v>
      </c>
      <c r="D430" s="1" t="s">
        <v>14</v>
      </c>
      <c r="E430" s="2">
        <v>12086</v>
      </c>
      <c r="F430" s="2">
        <v>28162</v>
      </c>
      <c r="G430" s="2">
        <v>26749</v>
      </c>
      <c r="H430" s="2">
        <f t="shared" si="2"/>
        <v>66997</v>
      </c>
      <c r="I430" s="2">
        <v>188151</v>
      </c>
      <c r="J430" s="2">
        <v>1544307</v>
      </c>
      <c r="K430" s="2">
        <f t="shared" si="3"/>
        <v>4.3383213311860916E-2</v>
      </c>
      <c r="M430" s="2">
        <v>0.40294390336168301</v>
      </c>
      <c r="N430" s="2">
        <v>0.34431265153421398</v>
      </c>
      <c r="O430" s="2">
        <v>22.953049433011198</v>
      </c>
      <c r="P430" s="2">
        <v>66.663392503108099</v>
      </c>
      <c r="Q430" s="2">
        <v>56.568542494923797</v>
      </c>
      <c r="R430" s="2">
        <v>26.861607586534301</v>
      </c>
      <c r="S430" s="2">
        <v>0.40075510311916701</v>
      </c>
      <c r="T430" s="2">
        <v>6325.8009076538101</v>
      </c>
      <c r="U430" s="2">
        <v>644</v>
      </c>
      <c r="V430" s="2">
        <v>939</v>
      </c>
      <c r="W430" s="2">
        <v>301.33194933928598</v>
      </c>
      <c r="X430" s="2">
        <v>10808.1622044912</v>
      </c>
      <c r="Y430" s="2">
        <v>-110.919509148158</v>
      </c>
      <c r="Z430" s="2">
        <v>65.931973445371199</v>
      </c>
      <c r="AA430" s="2">
        <v>9.2453627246422005</v>
      </c>
      <c r="AB430" s="2">
        <v>0.75346870689522605</v>
      </c>
      <c r="AC430" s="2">
        <v>2.2773028259642598</v>
      </c>
      <c r="AD430" s="2">
        <v>2.7622476004498902</v>
      </c>
      <c r="AE430" s="2">
        <v>0.43625233543986602</v>
      </c>
      <c r="AF430" s="2">
        <v>0.36018584681051902</v>
      </c>
      <c r="AG430" s="2">
        <v>0.99225398859153002</v>
      </c>
      <c r="AH430" s="2">
        <v>0.93992814850914796</v>
      </c>
      <c r="AI430" s="2">
        <v>-0.161038632784817</v>
      </c>
      <c r="AJ430" s="2">
        <v>0.84751788594425403</v>
      </c>
      <c r="AK430" s="2">
        <v>7.0041805352021999E-3</v>
      </c>
      <c r="AL430" s="2">
        <v>7.6056758125625796</v>
      </c>
      <c r="AM430" s="2">
        <v>7.2864605703183596</v>
      </c>
      <c r="AN430" s="2">
        <v>1509.3691874896599</v>
      </c>
      <c r="AO430" s="2">
        <v>0.124885751074769</v>
      </c>
      <c r="AP430" s="2">
        <v>739.61145126592805</v>
      </c>
      <c r="AQ430" s="2">
        <v>20.115645783244201</v>
      </c>
      <c r="AR430" s="2">
        <v>289.22927353963303</v>
      </c>
      <c r="AS430" s="2">
        <v>25.604335594903201</v>
      </c>
      <c r="AT430" s="2">
        <v>8208.5958133377499</v>
      </c>
      <c r="AU430" s="2">
        <v>0.107110654892552</v>
      </c>
      <c r="AV430" s="2">
        <v>5.15895033016404E-3</v>
      </c>
      <c r="AW430" s="2">
        <v>1.5080714660635901</v>
      </c>
      <c r="AX430" s="2">
        <v>1.0370213775228901E-3</v>
      </c>
      <c r="AY430" s="2">
        <v>685.06037322354302</v>
      </c>
      <c r="AZ430" s="2">
        <v>5.4663386662092001E-2</v>
      </c>
      <c r="BA430" s="2">
        <v>0.42692580599416202</v>
      </c>
      <c r="BB430" s="2">
        <v>349</v>
      </c>
    </row>
    <row r="431" spans="1:54" ht="13" x14ac:dyDescent="0.15">
      <c r="A431" s="1" t="s">
        <v>1302</v>
      </c>
      <c r="B431" s="1" t="s">
        <v>1303</v>
      </c>
      <c r="C431" s="4" t="s">
        <v>1304</v>
      </c>
      <c r="D431" s="1" t="s">
        <v>14</v>
      </c>
      <c r="E431" s="2">
        <v>1204</v>
      </c>
      <c r="F431" s="2">
        <v>12877</v>
      </c>
      <c r="G431" s="2">
        <v>10802</v>
      </c>
      <c r="H431" s="2">
        <f t="shared" si="2"/>
        <v>24883</v>
      </c>
      <c r="I431" s="2">
        <v>28364</v>
      </c>
      <c r="J431" s="2">
        <v>1720044</v>
      </c>
      <c r="K431" s="2">
        <f t="shared" si="3"/>
        <v>1.4466490392106249E-2</v>
      </c>
      <c r="M431" s="2">
        <v>0.66520355167426404</v>
      </c>
      <c r="N431" s="2">
        <v>0.42122429132224598</v>
      </c>
      <c r="O431" s="2">
        <v>10.5356963573483</v>
      </c>
      <c r="P431" s="2">
        <v>25.012081625863001</v>
      </c>
      <c r="Q431" s="2">
        <v>21.189620100417098</v>
      </c>
      <c r="R431" s="2">
        <v>16.638125532290701</v>
      </c>
      <c r="S431" s="2">
        <v>0.45171544459445301</v>
      </c>
      <c r="T431" s="2">
        <v>1179.4931224321101</v>
      </c>
      <c r="U431" s="2">
        <v>875</v>
      </c>
      <c r="V431" s="2">
        <v>1351.8</v>
      </c>
      <c r="W431" s="2">
        <v>750.87664327190203</v>
      </c>
      <c r="X431" s="2">
        <v>199070.67377591701</v>
      </c>
      <c r="Y431" s="2">
        <v>3410.0784415432699</v>
      </c>
      <c r="Z431" s="2">
        <v>212.65513619897601</v>
      </c>
      <c r="AA431" s="2">
        <v>29.832499604303699</v>
      </c>
      <c r="AB431" s="2">
        <v>0.75380093727055697</v>
      </c>
      <c r="AC431" s="2">
        <v>3.6662737370557901</v>
      </c>
      <c r="AD431" s="2">
        <v>3.3627543124750301</v>
      </c>
      <c r="AE431" s="2">
        <v>0.36082096232431299</v>
      </c>
      <c r="AF431" s="2">
        <v>0.276145122619668</v>
      </c>
      <c r="AG431" s="2">
        <v>0.99090776296342797</v>
      </c>
      <c r="AH431" s="2">
        <v>0.94132064819541394</v>
      </c>
      <c r="AI431" s="2">
        <v>-0.24917444090869101</v>
      </c>
      <c r="AJ431" s="2">
        <v>0.94702106147354703</v>
      </c>
      <c r="AK431" s="2">
        <v>6.3054787874612401E-3</v>
      </c>
      <c r="AL431" s="2">
        <v>8.0566381370885303</v>
      </c>
      <c r="AM431" s="2">
        <v>6.9179626453627501</v>
      </c>
      <c r="AN431" s="2">
        <v>228.41860465116301</v>
      </c>
      <c r="AO431" s="2">
        <v>0.189716449045816</v>
      </c>
      <c r="AP431" s="2">
        <v>71.194352159468394</v>
      </c>
      <c r="AQ431" s="2">
        <v>63.147895718590298</v>
      </c>
      <c r="AR431" s="2">
        <v>755.65946843853806</v>
      </c>
      <c r="AS431" s="2">
        <v>11.991694352159501</v>
      </c>
      <c r="AT431" s="2">
        <v>8640.9485049833893</v>
      </c>
      <c r="AU431" s="2">
        <v>2.2062320678926699E-2</v>
      </c>
      <c r="AV431" s="2">
        <v>3.17983816066855E-3</v>
      </c>
      <c r="AW431" s="2">
        <v>7.3150023669210806E-2</v>
      </c>
      <c r="AX431" s="2">
        <v>8.0015229855277502E-3</v>
      </c>
      <c r="AY431" s="2">
        <v>2740.9184634099602</v>
      </c>
      <c r="AZ431" s="2">
        <v>0.11528078567720999</v>
      </c>
      <c r="BA431" s="2">
        <v>10.660622823546399</v>
      </c>
      <c r="BB431" s="2">
        <v>205</v>
      </c>
    </row>
    <row r="432" spans="1:54" ht="13" x14ac:dyDescent="0.15">
      <c r="A432" s="1" t="s">
        <v>1305</v>
      </c>
      <c r="B432" s="1" t="s">
        <v>1306</v>
      </c>
      <c r="C432" s="4" t="s">
        <v>1307</v>
      </c>
      <c r="D432" s="1" t="s">
        <v>14</v>
      </c>
      <c r="E432" s="2">
        <v>25349</v>
      </c>
      <c r="F432" s="2">
        <v>29754</v>
      </c>
      <c r="G432" s="2">
        <v>59804</v>
      </c>
      <c r="H432" s="2">
        <f t="shared" si="2"/>
        <v>114907</v>
      </c>
      <c r="I432" s="2">
        <v>154106</v>
      </c>
      <c r="J432" s="2">
        <v>1493358</v>
      </c>
      <c r="K432" s="2">
        <f t="shared" si="3"/>
        <v>7.6945380812906222E-2</v>
      </c>
      <c r="M432" s="2">
        <v>0.82343613489388701</v>
      </c>
      <c r="N432" s="2">
        <v>0.70276336881731005</v>
      </c>
      <c r="O432" s="2">
        <v>33.5468912266914</v>
      </c>
      <c r="P432" s="2">
        <v>47.735685602321396</v>
      </c>
      <c r="Q432" s="2">
        <v>52.392747589718901</v>
      </c>
      <c r="R432" s="2">
        <v>39.307288448885302</v>
      </c>
      <c r="S432" s="2">
        <v>0.32818204878530799</v>
      </c>
      <c r="T432" s="2">
        <v>12663.3110380792</v>
      </c>
      <c r="U432" s="2">
        <v>925</v>
      </c>
      <c r="V432" s="2">
        <v>2009</v>
      </c>
      <c r="W432" s="2">
        <v>1440.62913044844</v>
      </c>
      <c r="X432" s="2">
        <v>2099669.8363467101</v>
      </c>
      <c r="Y432" s="2">
        <v>14218.3647181951</v>
      </c>
      <c r="Z432" s="2">
        <v>1056.76405305447</v>
      </c>
      <c r="AA432" s="2">
        <v>45.315807560026698</v>
      </c>
      <c r="AB432" s="2">
        <v>0.91777895120969799</v>
      </c>
      <c r="AC432" s="2">
        <v>4.5997808593738698</v>
      </c>
      <c r="AD432" s="2">
        <v>3.7222801225295599</v>
      </c>
      <c r="AE432" s="2">
        <v>0.32738720279210698</v>
      </c>
      <c r="AF432" s="2">
        <v>0.24286118467472001</v>
      </c>
      <c r="AG432" s="2">
        <v>0.99439904959777703</v>
      </c>
      <c r="AH432" s="2">
        <v>0.95272526300680005</v>
      </c>
      <c r="AI432" s="2">
        <v>-0.24585258856276601</v>
      </c>
      <c r="AJ432" s="2">
        <v>0.96822770441713601</v>
      </c>
      <c r="AK432" s="2">
        <v>1.6104224498820301E-3</v>
      </c>
      <c r="AL432" s="2">
        <v>10.1566492380973</v>
      </c>
      <c r="AM432" s="2">
        <v>8.3629146846994509</v>
      </c>
      <c r="AN432" s="2">
        <v>4462.6904808868203</v>
      </c>
      <c r="AO432" s="2">
        <v>0.17604996176917501</v>
      </c>
      <c r="AP432" s="2">
        <v>552.60195668468202</v>
      </c>
      <c r="AQ432" s="2">
        <v>270.64474857962199</v>
      </c>
      <c r="AR432" s="2">
        <v>1389.0985048719899</v>
      </c>
      <c r="AS432" s="2">
        <v>13.8805870054046</v>
      </c>
      <c r="AT432" s="2">
        <v>13889.8630320723</v>
      </c>
      <c r="AU432" s="2">
        <v>3.8213661909452502E-2</v>
      </c>
      <c r="AV432" s="2">
        <v>2.0553274660864498E-3</v>
      </c>
      <c r="AW432" s="2">
        <v>0.48819793739623302</v>
      </c>
      <c r="AX432" s="2">
        <v>7.9174184425859695E-4</v>
      </c>
      <c r="AY432" s="2">
        <v>9047.9098784223806</v>
      </c>
      <c r="AZ432" s="2">
        <v>0.191100672390728</v>
      </c>
      <c r="BA432" s="2">
        <v>2.6667084854217098</v>
      </c>
      <c r="BB432" s="2">
        <v>421</v>
      </c>
    </row>
    <row r="433" spans="1:54" ht="13" x14ac:dyDescent="0.15">
      <c r="A433" s="1" t="s">
        <v>1308</v>
      </c>
      <c r="B433" s="1" t="s">
        <v>1309</v>
      </c>
      <c r="C433" s="4" t="s">
        <v>1310</v>
      </c>
      <c r="D433" s="1" t="s">
        <v>14</v>
      </c>
      <c r="E433" s="2">
        <v>36188</v>
      </c>
      <c r="F433" s="2">
        <v>80497</v>
      </c>
      <c r="G433" s="2">
        <v>44890</v>
      </c>
      <c r="H433" s="2">
        <f t="shared" si="2"/>
        <v>161575</v>
      </c>
      <c r="I433" s="2">
        <v>332263</v>
      </c>
      <c r="J433" s="2">
        <v>1756234</v>
      </c>
      <c r="K433" s="2">
        <f t="shared" si="3"/>
        <v>9.2000838157102069E-2</v>
      </c>
      <c r="M433" s="2">
        <v>0.51823414625723396</v>
      </c>
      <c r="N433" s="2">
        <v>0.470046671178171</v>
      </c>
      <c r="O433" s="2">
        <v>29.954358547628999</v>
      </c>
      <c r="P433" s="2">
        <v>63.726349710228703</v>
      </c>
      <c r="Q433" s="2">
        <v>51.4198405287298</v>
      </c>
      <c r="R433" s="2">
        <v>33.025170436170299</v>
      </c>
      <c r="S433" s="2">
        <v>0.43682892976934301</v>
      </c>
      <c r="T433" s="2">
        <v>12076.5033339622</v>
      </c>
      <c r="U433" s="2">
        <v>685</v>
      </c>
      <c r="V433" s="2">
        <v>1141</v>
      </c>
      <c r="W433" s="2">
        <v>1233.23308192073</v>
      </c>
      <c r="X433" s="2">
        <v>199521.02970533099</v>
      </c>
      <c r="Y433" s="2">
        <v>-3709.7509630688901</v>
      </c>
      <c r="Z433" s="2">
        <v>186.558637033623</v>
      </c>
      <c r="AA433" s="2">
        <v>19.430777562785401</v>
      </c>
      <c r="AB433" s="2">
        <v>0.810322860893675</v>
      </c>
      <c r="AC433" s="2">
        <v>2.8807595073217298</v>
      </c>
      <c r="AD433" s="2">
        <v>3.1087345920059701</v>
      </c>
      <c r="AE433" s="2">
        <v>0.42350011917400598</v>
      </c>
      <c r="AF433" s="2">
        <v>0.35098236561055102</v>
      </c>
      <c r="AG433" s="2">
        <v>0.99543705138981498</v>
      </c>
      <c r="AH433" s="2">
        <v>0.95905838014010403</v>
      </c>
      <c r="AI433" s="2">
        <v>-0.19066754894271101</v>
      </c>
      <c r="AJ433" s="2">
        <v>0.90358061076037199</v>
      </c>
      <c r="AK433" s="2">
        <v>6.4645598878223399E-3</v>
      </c>
      <c r="AL433" s="2">
        <v>8.3399996287478206</v>
      </c>
      <c r="AM433" s="2">
        <v>7.8603108986546397</v>
      </c>
      <c r="AN433" s="2">
        <v>3949.51707748425</v>
      </c>
      <c r="AO433" s="2">
        <v>0.10913886032619199</v>
      </c>
      <c r="AP433" s="2">
        <v>1818.02072510224</v>
      </c>
      <c r="AQ433" s="2">
        <v>57.756315317632698</v>
      </c>
      <c r="AR433" s="2">
        <v>1203.73446999005</v>
      </c>
      <c r="AS433" s="2">
        <v>30.468332043771401</v>
      </c>
      <c r="AT433" s="2">
        <v>42245.213192218398</v>
      </c>
      <c r="AU433" s="2">
        <v>3.3319876356935799E-2</v>
      </c>
      <c r="AV433" s="2">
        <v>1.6483702530125299E-3</v>
      </c>
      <c r="AW433" s="2">
        <v>0.84956119675647002</v>
      </c>
      <c r="AX433" s="2">
        <v>3.9208077822707702E-4</v>
      </c>
      <c r="AY433" s="2">
        <v>3088.2987590276398</v>
      </c>
      <c r="AZ433" s="2">
        <v>5.93192444085789E-2</v>
      </c>
      <c r="BA433" s="2">
        <v>0.68416671178449695</v>
      </c>
      <c r="BB433" s="2">
        <v>169</v>
      </c>
    </row>
    <row r="434" spans="1:54" ht="13" x14ac:dyDescent="0.15">
      <c r="A434" s="1" t="s">
        <v>1311</v>
      </c>
      <c r="B434" s="1" t="s">
        <v>1312</v>
      </c>
      <c r="C434" s="4" t="s">
        <v>1313</v>
      </c>
      <c r="D434" s="1" t="s">
        <v>14</v>
      </c>
      <c r="E434" s="2">
        <v>5579</v>
      </c>
      <c r="F434" s="2">
        <v>43772</v>
      </c>
      <c r="G434" s="2">
        <v>38901</v>
      </c>
      <c r="H434" s="2">
        <f t="shared" si="2"/>
        <v>88252</v>
      </c>
      <c r="I434" s="2">
        <v>257126</v>
      </c>
      <c r="J434" s="2">
        <v>1576231</v>
      </c>
      <c r="K434" s="2">
        <f t="shared" si="3"/>
        <v>5.5989255381983988E-2</v>
      </c>
      <c r="M434" s="2">
        <v>0.16738197906862901</v>
      </c>
      <c r="N434" s="2">
        <v>0.14949425151724399</v>
      </c>
      <c r="O434" s="2">
        <v>19.226566041180298</v>
      </c>
      <c r="P434" s="2">
        <v>128.610738179203</v>
      </c>
      <c r="Q434" s="2">
        <v>82.1522975941635</v>
      </c>
      <c r="R434" s="2">
        <v>21.527119885912398</v>
      </c>
      <c r="S434" s="2">
        <v>0.39162465490319798</v>
      </c>
      <c r="T434" s="2">
        <v>3834.31015539994</v>
      </c>
      <c r="U434" s="2">
        <v>974</v>
      </c>
      <c r="V434" s="2">
        <v>1675</v>
      </c>
      <c r="W434" s="2">
        <v>2487.2701551926698</v>
      </c>
      <c r="X434" s="2">
        <v>413772.623246965</v>
      </c>
      <c r="Y434" s="2">
        <v>2204.6801810265802</v>
      </c>
      <c r="Z434" s="2">
        <v>387.04656191529199</v>
      </c>
      <c r="AA434" s="2">
        <v>37.095661615740603</v>
      </c>
      <c r="AB434" s="2">
        <v>0.82406011493881903</v>
      </c>
      <c r="AC434" s="2">
        <v>4.4171367091180702</v>
      </c>
      <c r="AD434" s="2">
        <v>3.6636361719566599</v>
      </c>
      <c r="AE434" s="2">
        <v>0.32507812660527802</v>
      </c>
      <c r="AF434" s="2">
        <v>0.239027391966982</v>
      </c>
      <c r="AG434" s="2">
        <v>0.99570964978076104</v>
      </c>
      <c r="AH434" s="2">
        <v>0.955879047991955</v>
      </c>
      <c r="AI434" s="2">
        <v>-0.20707865260026301</v>
      </c>
      <c r="AJ434" s="2">
        <v>0.93947744412476097</v>
      </c>
      <c r="AK434" s="2">
        <v>2.0505591156272499E-3</v>
      </c>
      <c r="AL434" s="2">
        <v>9.5163840315399995</v>
      </c>
      <c r="AM434" s="2">
        <v>7.8463370264551697</v>
      </c>
      <c r="AN434" s="2">
        <v>1053.6008245205201</v>
      </c>
      <c r="AO434" s="2">
        <v>0.188851196365034</v>
      </c>
      <c r="AP434" s="2">
        <v>154.99211328195</v>
      </c>
      <c r="AQ434" s="2">
        <v>116.297645566825</v>
      </c>
      <c r="AR434" s="2">
        <v>2507.7162573937999</v>
      </c>
      <c r="AS434" s="2">
        <v>13.0552070263488</v>
      </c>
      <c r="AT434" s="2">
        <v>26982.253271195601</v>
      </c>
      <c r="AU434" s="2">
        <v>7.7679989559724903E-3</v>
      </c>
      <c r="AV434" s="2">
        <v>6.7465682353941097E-4</v>
      </c>
      <c r="AW434" s="2">
        <v>9.2422839241932897E-2</v>
      </c>
      <c r="AX434" s="2">
        <v>2.6126787158254499E-3</v>
      </c>
      <c r="AY434" s="2">
        <v>7257.6468012407704</v>
      </c>
      <c r="AZ434" s="2">
        <v>0.11272861385683799</v>
      </c>
      <c r="BA434" s="2">
        <v>6.6810560633668601</v>
      </c>
      <c r="BB434" s="2">
        <v>239</v>
      </c>
    </row>
    <row r="435" spans="1:54" ht="13" x14ac:dyDescent="0.15">
      <c r="A435" s="1" t="s">
        <v>1314</v>
      </c>
      <c r="B435" s="1" t="s">
        <v>1315</v>
      </c>
      <c r="C435" s="4" t="s">
        <v>1316</v>
      </c>
      <c r="D435" s="1" t="s">
        <v>14</v>
      </c>
      <c r="E435" s="2">
        <v>7857</v>
      </c>
      <c r="F435" s="2">
        <v>81246</v>
      </c>
      <c r="G435" s="2">
        <v>20970</v>
      </c>
      <c r="H435" s="2">
        <f t="shared" si="2"/>
        <v>110073</v>
      </c>
      <c r="I435" s="2">
        <v>187829</v>
      </c>
      <c r="J435" s="2">
        <v>1568889</v>
      </c>
      <c r="K435" s="2">
        <f t="shared" si="3"/>
        <v>7.0159839223807419E-2</v>
      </c>
      <c r="M435" s="2">
        <v>0.68403912381878496</v>
      </c>
      <c r="N435" s="2">
        <v>0.53219211160652002</v>
      </c>
      <c r="O435" s="2">
        <v>20.342183459249899</v>
      </c>
      <c r="P435" s="2">
        <v>38.223384029205697</v>
      </c>
      <c r="Q435" s="2">
        <v>40.706264874095197</v>
      </c>
      <c r="R435" s="2">
        <v>26.1462901207268</v>
      </c>
      <c r="S435" s="2">
        <v>0.39784167227339101</v>
      </c>
      <c r="T435" s="2">
        <v>4748.5659148878503</v>
      </c>
      <c r="U435" s="2">
        <v>933</v>
      </c>
      <c r="V435" s="2">
        <v>1522.4</v>
      </c>
      <c r="W435" s="2">
        <v>1384.43147223606</v>
      </c>
      <c r="X435" s="2">
        <v>181769.83128111501</v>
      </c>
      <c r="Y435" s="2">
        <v>-78.693446729216703</v>
      </c>
      <c r="Z435" s="2">
        <v>263.205263480079</v>
      </c>
      <c r="AA435" s="2">
        <v>33.558972938605798</v>
      </c>
      <c r="AB435" s="2">
        <v>0.77332237328062503</v>
      </c>
      <c r="AC435" s="2">
        <v>4.2482601975308798</v>
      </c>
      <c r="AD435" s="2">
        <v>3.5990482578493701</v>
      </c>
      <c r="AE435" s="2">
        <v>0.32364817842086302</v>
      </c>
      <c r="AF435" s="2">
        <v>0.23544999146346501</v>
      </c>
      <c r="AG435" s="2">
        <v>0.98981446534015705</v>
      </c>
      <c r="AH435" s="2">
        <v>0.93310527704901602</v>
      </c>
      <c r="AI435" s="2">
        <v>-0.17050305110220099</v>
      </c>
      <c r="AJ435" s="2">
        <v>0.90256590508324797</v>
      </c>
      <c r="AK435" s="2">
        <v>2.0954261237795899E-3</v>
      </c>
      <c r="AL435" s="2">
        <v>9.3260032524114092</v>
      </c>
      <c r="AM435" s="2">
        <v>7.5597748002614598</v>
      </c>
      <c r="AN435" s="2">
        <v>1501.7845233549699</v>
      </c>
      <c r="AO435" s="2">
        <v>0.19113968733040201</v>
      </c>
      <c r="AP435" s="2">
        <v>252.28395061728401</v>
      </c>
      <c r="AQ435" s="2">
        <v>77.018218117347004</v>
      </c>
      <c r="AR435" s="2">
        <v>1352.1271477663199</v>
      </c>
      <c r="AS435" s="2">
        <v>11.779941453480999</v>
      </c>
      <c r="AT435" s="2">
        <v>19531.004581901499</v>
      </c>
      <c r="AU435" s="2">
        <v>9.3310035706000802E-3</v>
      </c>
      <c r="AV435" s="2">
        <v>1.1907060706930401E-3</v>
      </c>
      <c r="AW435" s="2">
        <v>0.30782330830596499</v>
      </c>
      <c r="AX435" s="2">
        <v>1.57896461110238E-3</v>
      </c>
      <c r="AY435" s="2">
        <v>3671.61226367071</v>
      </c>
      <c r="AZ435" s="2">
        <v>0.135409123918667</v>
      </c>
      <c r="BA435" s="2">
        <v>2.0545191598658898</v>
      </c>
      <c r="BB435" s="2">
        <v>174</v>
      </c>
    </row>
    <row r="436" spans="1:54" ht="13" x14ac:dyDescent="0.15">
      <c r="A436" s="1" t="s">
        <v>1317</v>
      </c>
      <c r="B436" s="1" t="s">
        <v>1318</v>
      </c>
      <c r="C436" s="4" t="s">
        <v>1319</v>
      </c>
      <c r="D436" s="1" t="s">
        <v>14</v>
      </c>
      <c r="E436" s="2">
        <v>13366</v>
      </c>
      <c r="F436" s="2">
        <v>56927</v>
      </c>
      <c r="G436" s="2">
        <v>23086</v>
      </c>
      <c r="H436" s="2">
        <f t="shared" si="2"/>
        <v>93379</v>
      </c>
      <c r="I436" s="2">
        <v>116825</v>
      </c>
      <c r="J436" s="2">
        <v>1257112</v>
      </c>
      <c r="K436" s="2">
        <f t="shared" si="3"/>
        <v>7.4280573250434329E-2</v>
      </c>
      <c r="M436" s="2">
        <v>0.99032881996293698</v>
      </c>
      <c r="N436" s="2">
        <v>0.749153480638165</v>
      </c>
      <c r="O436" s="2">
        <v>25.575773637068501</v>
      </c>
      <c r="P436" s="2">
        <v>34.139564585993497</v>
      </c>
      <c r="Q436" s="2">
        <v>41.880783182743897</v>
      </c>
      <c r="R436" s="2">
        <v>33.809394710495397</v>
      </c>
      <c r="S436" s="2">
        <v>0.49815042306204899</v>
      </c>
      <c r="T436" s="2">
        <v>5443.0849478733198</v>
      </c>
      <c r="U436" s="2">
        <v>2110</v>
      </c>
      <c r="V436" s="2">
        <v>4090.5</v>
      </c>
      <c r="W436" s="2">
        <v>15281.213342343501</v>
      </c>
      <c r="X436" s="2">
        <v>38846595.4160363</v>
      </c>
      <c r="Y436" s="2">
        <v>-228348.016762149</v>
      </c>
      <c r="Z436" s="2">
        <v>3431.60971968688</v>
      </c>
      <c r="AA436" s="2">
        <v>113.361942075324</v>
      </c>
      <c r="AB436" s="2">
        <v>0.93596752394862703</v>
      </c>
      <c r="AC436" s="2">
        <v>6.3526960101301002</v>
      </c>
      <c r="AD436" s="2">
        <v>4.1141313200872203</v>
      </c>
      <c r="AE436" s="2">
        <v>0.29425763755016798</v>
      </c>
      <c r="AF436" s="2">
        <v>0.21017065541593399</v>
      </c>
      <c r="AG436" s="2">
        <v>0.99663828519109399</v>
      </c>
      <c r="AH436" s="2">
        <v>0.96750338627561905</v>
      </c>
      <c r="AI436" s="2">
        <v>-0.29754137837626599</v>
      </c>
      <c r="AJ436" s="2">
        <v>0.98738727933562598</v>
      </c>
      <c r="AK436" s="2">
        <v>1.29357730484205E-3</v>
      </c>
      <c r="AL436" s="2">
        <v>10.7367909356407</v>
      </c>
      <c r="AM436" s="2">
        <v>8.7353199276586704</v>
      </c>
      <c r="AN436" s="2">
        <v>2621.7896154421701</v>
      </c>
      <c r="AO436" s="2">
        <v>0.19615364472857799</v>
      </c>
      <c r="AP436" s="2">
        <v>235.85874607212301</v>
      </c>
      <c r="AQ436" s="2">
        <v>917.02881172274101</v>
      </c>
      <c r="AR436" s="2">
        <v>15311.1937004339</v>
      </c>
      <c r="AS436" s="2">
        <v>11.8090677839294</v>
      </c>
      <c r="AT436" s="2">
        <v>197749.426081101</v>
      </c>
      <c r="AU436" s="2">
        <v>9.2916412620393002E-4</v>
      </c>
      <c r="AV436" s="2">
        <v>1.83955962985692E-4</v>
      </c>
      <c r="AW436" s="2">
        <v>2.19738159461705E-2</v>
      </c>
      <c r="AX436" s="2">
        <v>1.6267174558840501E-3</v>
      </c>
      <c r="AY436" s="2">
        <v>45633.1069549889</v>
      </c>
      <c r="AZ436" s="2">
        <v>0.24455778947354401</v>
      </c>
      <c r="BA436" s="2">
        <v>26.6904220737241</v>
      </c>
      <c r="BB436" s="2">
        <v>351</v>
      </c>
    </row>
    <row r="437" spans="1:54" ht="13" x14ac:dyDescent="0.15">
      <c r="A437" s="1" t="s">
        <v>1320</v>
      </c>
      <c r="B437" s="1" t="s">
        <v>1321</v>
      </c>
      <c r="C437" s="4" t="s">
        <v>1322</v>
      </c>
      <c r="D437" s="1" t="s">
        <v>14</v>
      </c>
      <c r="E437" s="2">
        <v>329</v>
      </c>
      <c r="F437" s="2">
        <v>104855</v>
      </c>
      <c r="G437" s="2">
        <v>4017</v>
      </c>
      <c r="H437" s="2">
        <f t="shared" si="2"/>
        <v>109201</v>
      </c>
      <c r="I437" s="2">
        <v>121162</v>
      </c>
      <c r="J437" s="2">
        <v>1505121</v>
      </c>
      <c r="K437" s="2">
        <f t="shared" si="3"/>
        <v>7.2552970824272603E-2</v>
      </c>
      <c r="M437" s="2">
        <v>0.27242887951843803</v>
      </c>
      <c r="N437" s="2">
        <v>0.23840679520236899</v>
      </c>
      <c r="O437" s="2">
        <v>9.0395772968240102</v>
      </c>
      <c r="P437" s="2">
        <v>37.916609252478899</v>
      </c>
      <c r="Q437" s="2">
        <v>15.8113883008419</v>
      </c>
      <c r="R437" s="2">
        <v>10.3295793737912</v>
      </c>
      <c r="S437" s="2">
        <v>0.346729959247145</v>
      </c>
      <c r="T437" s="2">
        <v>586.83065803899103</v>
      </c>
      <c r="U437" s="2">
        <v>773.6</v>
      </c>
      <c r="V437" s="2">
        <v>954.4</v>
      </c>
      <c r="W437" s="2">
        <v>72.049359304469306</v>
      </c>
      <c r="X437" s="2">
        <v>2831.3143847176302</v>
      </c>
      <c r="Y437" s="2">
        <v>77.203251362069096</v>
      </c>
      <c r="Z437" s="2">
        <v>31.315426716258401</v>
      </c>
      <c r="AA437" s="2">
        <v>6.7157186850190298</v>
      </c>
      <c r="AB437" s="2">
        <v>0.64752949823389905</v>
      </c>
      <c r="AC437" s="2">
        <v>1.8969717476145</v>
      </c>
      <c r="AD437" s="2">
        <v>2.4964194434397702</v>
      </c>
      <c r="AE437" s="2">
        <v>0.48295332670794899</v>
      </c>
      <c r="AF437" s="2">
        <v>0.41903902903608198</v>
      </c>
      <c r="AG437" s="2">
        <v>0.98083880730639905</v>
      </c>
      <c r="AH437" s="2">
        <v>0.911135214118861</v>
      </c>
      <c r="AI437" s="2">
        <v>-0.27932283619805898</v>
      </c>
      <c r="AJ437" s="2">
        <v>0.92952465327239597</v>
      </c>
      <c r="AK437" s="2">
        <v>1.9453168361998101E-2</v>
      </c>
      <c r="AL437" s="2">
        <v>6.1769530831774198</v>
      </c>
      <c r="AM437" s="2">
        <v>5.9075065277822096</v>
      </c>
      <c r="AN437" s="2">
        <v>58.623100303951396</v>
      </c>
      <c r="AO437" s="2">
        <v>0.17818571520957899</v>
      </c>
      <c r="AP437" s="2">
        <v>34.294832826747701</v>
      </c>
      <c r="AQ437" s="2">
        <v>8.4375236740237103</v>
      </c>
      <c r="AR437" s="2">
        <v>71.179331306990903</v>
      </c>
      <c r="AS437" s="2">
        <v>13.699088145896701</v>
      </c>
      <c r="AT437" s="2">
        <v>840.674772036474</v>
      </c>
      <c r="AU437" s="2">
        <v>0.35187604735558298</v>
      </c>
      <c r="AV437" s="2">
        <v>3.1037982314707401E-2</v>
      </c>
      <c r="AW437" s="2">
        <v>0.25294774732757203</v>
      </c>
      <c r="AX437" s="2">
        <v>2.7737436791427501E-2</v>
      </c>
      <c r="AY437" s="2">
        <v>155.67916425094199</v>
      </c>
      <c r="AZ437" s="2">
        <v>6.5924972069573304E-2</v>
      </c>
      <c r="BA437" s="2">
        <v>3.46431698432899</v>
      </c>
      <c r="BB437" s="2">
        <v>407</v>
      </c>
    </row>
    <row r="438" spans="1:54" ht="13" x14ac:dyDescent="0.15">
      <c r="A438" s="1" t="s">
        <v>1323</v>
      </c>
      <c r="B438" s="1" t="s">
        <v>1324</v>
      </c>
      <c r="C438" s="4" t="s">
        <v>1325</v>
      </c>
      <c r="D438" s="1" t="s">
        <v>14</v>
      </c>
      <c r="E438" s="2">
        <v>3853</v>
      </c>
      <c r="F438" s="2">
        <v>1859</v>
      </c>
      <c r="G438" s="2">
        <v>4767</v>
      </c>
      <c r="H438" s="2">
        <f t="shared" si="2"/>
        <v>10479</v>
      </c>
      <c r="I438" s="2">
        <v>13852</v>
      </c>
      <c r="J438" s="2">
        <v>1576750</v>
      </c>
      <c r="K438" s="2">
        <f t="shared" si="3"/>
        <v>6.6459489456159818E-3</v>
      </c>
      <c r="M438" s="2">
        <v>0.89279169320095197</v>
      </c>
      <c r="N438" s="2">
        <v>0.59128726078156402</v>
      </c>
      <c r="O438" s="2">
        <v>13.3120857355886</v>
      </c>
      <c r="P438" s="2">
        <v>22.5137367546068</v>
      </c>
      <c r="Q438" s="2">
        <v>25.7099202643649</v>
      </c>
      <c r="R438" s="2">
        <v>20.100077157425901</v>
      </c>
      <c r="S438" s="2">
        <v>0.70855076096138703</v>
      </c>
      <c r="T438" s="2">
        <v>1672.77634243025</v>
      </c>
      <c r="U438" s="2">
        <v>667</v>
      </c>
      <c r="V438" s="2">
        <v>948</v>
      </c>
      <c r="W438" s="2">
        <v>283.71357967804801</v>
      </c>
      <c r="X438" s="2">
        <v>12712.4445530373</v>
      </c>
      <c r="Y438" s="2">
        <v>-479.73457854194402</v>
      </c>
      <c r="Z438" s="2">
        <v>55.833266374355603</v>
      </c>
      <c r="AA438" s="2">
        <v>8.8333548425958703</v>
      </c>
      <c r="AB438" s="2">
        <v>0.72512527690510498</v>
      </c>
      <c r="AC438" s="2">
        <v>1.97452611533811</v>
      </c>
      <c r="AD438" s="2">
        <v>2.6526779962867302</v>
      </c>
      <c r="AE438" s="2">
        <v>0.50595304974413002</v>
      </c>
      <c r="AF438" s="2">
        <v>0.44867767474740999</v>
      </c>
      <c r="AG438" s="2">
        <v>0.98483912459175704</v>
      </c>
      <c r="AH438" s="2">
        <v>0.92724788325243701</v>
      </c>
      <c r="AI438" s="2">
        <v>-0.17981538204700601</v>
      </c>
      <c r="AJ438" s="2">
        <v>0.85184438497511705</v>
      </c>
      <c r="AK438" s="2">
        <v>1.5713166859086299E-2</v>
      </c>
      <c r="AL438" s="2">
        <v>6.9094733211606298</v>
      </c>
      <c r="AM438" s="2">
        <v>7.4021487708217704</v>
      </c>
      <c r="AN438" s="2">
        <v>305.58915131066698</v>
      </c>
      <c r="AO438" s="2">
        <v>7.9312003973700196E-2</v>
      </c>
      <c r="AP438" s="2">
        <v>309.86426161432701</v>
      </c>
      <c r="AQ438" s="2">
        <v>19.0756654038241</v>
      </c>
      <c r="AR438" s="2">
        <v>272.53231248377898</v>
      </c>
      <c r="AS438" s="2">
        <v>57.643135219309599</v>
      </c>
      <c r="AT438" s="2">
        <v>19859.0550220607</v>
      </c>
      <c r="AU438" s="2">
        <v>0.21941383405458401</v>
      </c>
      <c r="AV438" s="2">
        <v>7.9962112508240105E-3</v>
      </c>
      <c r="AW438" s="2">
        <v>0.74375789170503204</v>
      </c>
      <c r="AX438" s="2">
        <v>3.0899867067591701E-3</v>
      </c>
      <c r="AY438" s="2">
        <v>293.21411326104601</v>
      </c>
      <c r="AZ438" s="2">
        <v>0.102103869472343</v>
      </c>
      <c r="BA438" s="2">
        <v>0.69157420542735404</v>
      </c>
      <c r="BB438" s="2">
        <v>571</v>
      </c>
    </row>
    <row r="439" spans="1:54" ht="13" x14ac:dyDescent="0.15">
      <c r="A439" s="1" t="s">
        <v>1326</v>
      </c>
      <c r="B439" s="1" t="s">
        <v>1327</v>
      </c>
      <c r="C439" s="4" t="s">
        <v>1328</v>
      </c>
      <c r="D439" s="1" t="s">
        <v>14</v>
      </c>
      <c r="E439" s="2">
        <v>22305</v>
      </c>
      <c r="F439" s="2">
        <v>37075</v>
      </c>
      <c r="G439" s="2">
        <v>48476</v>
      </c>
      <c r="H439" s="2">
        <f t="shared" si="2"/>
        <v>107856</v>
      </c>
      <c r="I439" s="2">
        <v>202919</v>
      </c>
      <c r="J439" s="2">
        <v>1398313</v>
      </c>
      <c r="K439" s="2">
        <f t="shared" si="3"/>
        <v>7.7132945198964756E-2</v>
      </c>
      <c r="M439" s="2">
        <v>0.71292939604621597</v>
      </c>
      <c r="N439" s="2">
        <v>0.45584524940838</v>
      </c>
      <c r="O439" s="2">
        <v>25.193836340033901</v>
      </c>
      <c r="P439" s="2">
        <v>55.2683972745834</v>
      </c>
      <c r="Q439" s="2">
        <v>84.308955633432006</v>
      </c>
      <c r="R439" s="2">
        <v>39.402465089411102</v>
      </c>
      <c r="S439" s="2">
        <v>0.36881601388729501</v>
      </c>
      <c r="T439" s="2">
        <v>10304.194961531201</v>
      </c>
      <c r="U439" s="2">
        <v>258</v>
      </c>
      <c r="V439" s="2">
        <v>729</v>
      </c>
      <c r="W439" s="2">
        <v>445.459202045827</v>
      </c>
      <c r="X439" s="2">
        <v>74772.670536142003</v>
      </c>
      <c r="Y439" s="2">
        <v>-150.30062239306599</v>
      </c>
      <c r="Z439" s="2">
        <v>187.71093456586101</v>
      </c>
      <c r="AA439" s="2">
        <v>19.497908325096301</v>
      </c>
      <c r="AB439" s="2">
        <v>0.81201443655336403</v>
      </c>
      <c r="AC439" s="2">
        <v>3.0953695058354</v>
      </c>
      <c r="AD439" s="2">
        <v>3.1986153018937</v>
      </c>
      <c r="AE439" s="2">
        <v>0.39619475176225599</v>
      </c>
      <c r="AF439" s="2">
        <v>0.317922806019591</v>
      </c>
      <c r="AG439" s="2">
        <v>0.98907023417093098</v>
      </c>
      <c r="AH439" s="2">
        <v>0.93405122451213496</v>
      </c>
      <c r="AI439" s="2">
        <v>-0.18626880944671401</v>
      </c>
      <c r="AJ439" s="2">
        <v>0.90706631015889905</v>
      </c>
      <c r="AK439" s="2">
        <v>3.2311784344014501E-3</v>
      </c>
      <c r="AL439" s="2">
        <v>8.7411538938645403</v>
      </c>
      <c r="AM439" s="2">
        <v>7.8975839546387396</v>
      </c>
      <c r="AN439" s="2">
        <v>2961.31571396548</v>
      </c>
      <c r="AO439" s="2">
        <v>0.13276465877451199</v>
      </c>
      <c r="AP439" s="2">
        <v>856.55023537323495</v>
      </c>
      <c r="AQ439" s="2">
        <v>50.594103468949399</v>
      </c>
      <c r="AR439" s="2">
        <v>468.20407980273501</v>
      </c>
      <c r="AS439" s="2">
        <v>22.613898229096598</v>
      </c>
      <c r="AT439" s="2">
        <v>10311.272988119301</v>
      </c>
      <c r="AU439" s="2">
        <v>0.116173659298072</v>
      </c>
      <c r="AV439" s="2">
        <v>4.6888179518252198E-3</v>
      </c>
      <c r="AW439" s="2">
        <v>1.77059601706912</v>
      </c>
      <c r="AX439" s="2">
        <v>6.7768421726385297E-4</v>
      </c>
      <c r="AY439" s="2">
        <v>1242.16252331598</v>
      </c>
      <c r="AZ439" s="2">
        <v>0.11166965340080801</v>
      </c>
      <c r="BA439" s="2">
        <v>0.38779075717538503</v>
      </c>
      <c r="BB439" s="2">
        <v>248</v>
      </c>
    </row>
    <row r="440" spans="1:54" ht="13" x14ac:dyDescent="0.15">
      <c r="A440" s="1" t="s">
        <v>1329</v>
      </c>
      <c r="B440" s="1" t="s">
        <v>1330</v>
      </c>
      <c r="C440" s="4" t="s">
        <v>1331</v>
      </c>
      <c r="D440" s="1" t="s">
        <v>14</v>
      </c>
      <c r="E440" s="2">
        <v>415</v>
      </c>
      <c r="F440" s="2">
        <v>136841</v>
      </c>
      <c r="G440" s="2">
        <v>14465</v>
      </c>
      <c r="H440" s="2">
        <f t="shared" si="2"/>
        <v>151721</v>
      </c>
      <c r="I440" s="2">
        <v>225040</v>
      </c>
      <c r="J440" s="2">
        <v>1526466</v>
      </c>
      <c r="K440" s="2">
        <f t="shared" si="3"/>
        <v>9.9393632088759259E-2</v>
      </c>
      <c r="M440" s="2">
        <v>0.25709931045200701</v>
      </c>
      <c r="N440" s="2">
        <v>0.135507367677349</v>
      </c>
      <c r="O440" s="2">
        <v>8.4404216093851492</v>
      </c>
      <c r="P440" s="2">
        <v>62.287547563334599</v>
      </c>
      <c r="Q440" s="2">
        <v>37.013511046643501</v>
      </c>
      <c r="R440" s="2">
        <v>16.0140855282799</v>
      </c>
      <c r="S440" s="2">
        <v>0.43869286636482302</v>
      </c>
      <c r="T440" s="2">
        <v>578.63063698594499</v>
      </c>
      <c r="U440" s="2">
        <v>575.4</v>
      </c>
      <c r="V440" s="2">
        <v>880.8</v>
      </c>
      <c r="W440" s="2">
        <v>81.624818763880995</v>
      </c>
      <c r="X440" s="2">
        <v>59134.911150529399</v>
      </c>
      <c r="Y440" s="2">
        <v>1348.14438270342</v>
      </c>
      <c r="Z440" s="2">
        <v>78.939694410849697</v>
      </c>
      <c r="AA440" s="2">
        <v>11.981685652676701</v>
      </c>
      <c r="AB440" s="2">
        <v>0.73712909469685295</v>
      </c>
      <c r="AC440" s="2">
        <v>2.32116237195127</v>
      </c>
      <c r="AD440" s="2">
        <v>2.6900007182624002</v>
      </c>
      <c r="AE440" s="2">
        <v>0.43968743792992598</v>
      </c>
      <c r="AF440" s="2">
        <v>0.364504293427383</v>
      </c>
      <c r="AG440" s="2">
        <v>0.99347768283589799</v>
      </c>
      <c r="AH440" s="2">
        <v>0.94919069982814697</v>
      </c>
      <c r="AI440" s="2">
        <v>-0.29347019895962201</v>
      </c>
      <c r="AJ440" s="2">
        <v>0.94751729178921096</v>
      </c>
      <c r="AK440" s="2">
        <v>1.28285576205085E-2</v>
      </c>
      <c r="AL440" s="2">
        <v>6.7021484412913299</v>
      </c>
      <c r="AM440" s="2">
        <v>6.3697045769117704</v>
      </c>
      <c r="AN440" s="2">
        <v>69.187951807228899</v>
      </c>
      <c r="AO440" s="2">
        <v>0.166717956161997</v>
      </c>
      <c r="AP440" s="2">
        <v>28.412048192771099</v>
      </c>
      <c r="AQ440" s="2">
        <v>30.562368994048501</v>
      </c>
      <c r="AR440" s="2">
        <v>112.257831325301</v>
      </c>
      <c r="AS440" s="2">
        <v>14.730120481927701</v>
      </c>
      <c r="AT440" s="2">
        <v>941.76144578313301</v>
      </c>
      <c r="AU440" s="2">
        <v>0.60113607233686095</v>
      </c>
      <c r="AV440" s="2">
        <v>4.4664135353640201E-2</v>
      </c>
      <c r="AW440" s="2">
        <v>0.16218315152896001</v>
      </c>
      <c r="AX440" s="2">
        <v>2.5968006913681702E-2</v>
      </c>
      <c r="AY440" s="2">
        <v>796.68520055484998</v>
      </c>
      <c r="AZ440" s="2">
        <v>0.119951476372302</v>
      </c>
      <c r="BA440" s="2">
        <v>16.7344884224818</v>
      </c>
      <c r="BB440" s="2">
        <v>219</v>
      </c>
    </row>
    <row r="441" spans="1:54" ht="13" x14ac:dyDescent="0.15">
      <c r="A441" s="1" t="s">
        <v>1332</v>
      </c>
      <c r="B441" s="1" t="s">
        <v>1333</v>
      </c>
      <c r="C441" s="4" t="s">
        <v>1334</v>
      </c>
      <c r="D441" s="1" t="s">
        <v>14</v>
      </c>
      <c r="E441" s="2">
        <v>2098</v>
      </c>
      <c r="F441" s="2">
        <v>40950</v>
      </c>
      <c r="G441" s="2">
        <v>12412</v>
      </c>
      <c r="H441" s="2">
        <f t="shared" si="2"/>
        <v>55460</v>
      </c>
      <c r="I441" s="2">
        <v>66922</v>
      </c>
      <c r="J441" s="2">
        <v>1499896</v>
      </c>
      <c r="K441" s="2">
        <f t="shared" si="3"/>
        <v>3.6975896995525025E-2</v>
      </c>
      <c r="M441" s="2">
        <v>0.769940175324765</v>
      </c>
      <c r="N441" s="2">
        <v>0.60546572162770895</v>
      </c>
      <c r="O441" s="2">
        <v>12.3610419266814</v>
      </c>
      <c r="P441" s="2">
        <v>20.415758456895801</v>
      </c>
      <c r="Q441" s="2">
        <v>23.323807579381199</v>
      </c>
      <c r="R441" s="2">
        <v>15.7189126456904</v>
      </c>
      <c r="S441" s="2">
        <v>0.60471432366238498</v>
      </c>
      <c r="T441" s="2">
        <v>1300.93624361301</v>
      </c>
      <c r="U441" s="2">
        <v>942</v>
      </c>
      <c r="V441" s="2">
        <v>1343.3</v>
      </c>
      <c r="W441" s="2">
        <v>521.94122754935802</v>
      </c>
      <c r="X441" s="2">
        <v>129114.62298580501</v>
      </c>
      <c r="Y441" s="2">
        <v>2095.0987363865702</v>
      </c>
      <c r="Z441" s="2">
        <v>155.14931079943401</v>
      </c>
      <c r="AA441" s="2">
        <v>27.300827491521598</v>
      </c>
      <c r="AB441" s="2">
        <v>0.69835641656320502</v>
      </c>
      <c r="AC441" s="2">
        <v>3.8564796783565298</v>
      </c>
      <c r="AD441" s="2">
        <v>3.4389704199750701</v>
      </c>
      <c r="AE441" s="2">
        <v>0.332166316511807</v>
      </c>
      <c r="AF441" s="2">
        <v>0.241889208154841</v>
      </c>
      <c r="AG441" s="2">
        <v>0.99136441609237402</v>
      </c>
      <c r="AH441" s="2">
        <v>0.93753027951299495</v>
      </c>
      <c r="AI441" s="2">
        <v>-0.170529281537453</v>
      </c>
      <c r="AJ441" s="2">
        <v>0.88753202701154799</v>
      </c>
      <c r="AK441" s="2">
        <v>4.1134852084264298E-3</v>
      </c>
      <c r="AL441" s="2">
        <v>8.5065356460356991</v>
      </c>
      <c r="AM441" s="2">
        <v>7.0220244958918103</v>
      </c>
      <c r="AN441" s="2">
        <v>410.08007626310803</v>
      </c>
      <c r="AO441" s="2">
        <v>0.19546238144094699</v>
      </c>
      <c r="AP441" s="2">
        <v>102.225929456625</v>
      </c>
      <c r="AQ441" s="2">
        <v>50.315182601615199</v>
      </c>
      <c r="AR441" s="2">
        <v>531.32078169685406</v>
      </c>
      <c r="AS441" s="2">
        <v>10.906577693040999</v>
      </c>
      <c r="AT441" s="2">
        <v>5200.6239275500502</v>
      </c>
      <c r="AU441" s="2">
        <v>3.0746613068035101E-2</v>
      </c>
      <c r="AV441" s="2">
        <v>3.4037344714628599E-3</v>
      </c>
      <c r="AW441" s="2">
        <v>0.15061114103449699</v>
      </c>
      <c r="AX441" s="2">
        <v>5.0856023584730098E-3</v>
      </c>
      <c r="AY441" s="2">
        <v>2720.7626022309801</v>
      </c>
      <c r="AZ441" s="2">
        <v>9.4182079094332002E-2</v>
      </c>
      <c r="BA441" s="2">
        <v>6.29634380510148</v>
      </c>
      <c r="BB441" s="2">
        <v>616</v>
      </c>
    </row>
    <row r="442" spans="1:54" ht="13" x14ac:dyDescent="0.15">
      <c r="A442" s="1" t="s">
        <v>1335</v>
      </c>
      <c r="B442" s="1" t="s">
        <v>1336</v>
      </c>
      <c r="C442" s="4" t="s">
        <v>1337</v>
      </c>
      <c r="D442" s="1" t="s">
        <v>14</v>
      </c>
      <c r="E442" s="2">
        <v>31944</v>
      </c>
      <c r="F442" s="2">
        <v>66076</v>
      </c>
      <c r="G442" s="2">
        <v>15333</v>
      </c>
      <c r="H442" s="2">
        <f t="shared" si="2"/>
        <v>113353</v>
      </c>
      <c r="I442" s="2">
        <v>148369</v>
      </c>
      <c r="J442" s="2">
        <v>1467602</v>
      </c>
      <c r="K442" s="2">
        <f t="shared" si="3"/>
        <v>7.7236880298609575E-2</v>
      </c>
      <c r="M442" s="2">
        <v>0.824290724054771</v>
      </c>
      <c r="N442" s="2">
        <v>0.67513664258809303</v>
      </c>
      <c r="O442" s="2">
        <v>29.3489729988368</v>
      </c>
      <c r="P442" s="2">
        <v>43.471159980784599</v>
      </c>
      <c r="Q442" s="2">
        <v>47.0956473572665</v>
      </c>
      <c r="R442" s="2">
        <v>35.832873936061702</v>
      </c>
      <c r="S442" s="2">
        <v>0.78650191635910904</v>
      </c>
      <c r="T442" s="2">
        <v>6184.0161593268704</v>
      </c>
      <c r="U442" s="2">
        <v>1214</v>
      </c>
      <c r="V442" s="2">
        <v>1739</v>
      </c>
      <c r="W442" s="2">
        <v>1336.2317750795901</v>
      </c>
      <c r="X442" s="2">
        <v>133046.605780265</v>
      </c>
      <c r="Y442" s="2">
        <v>-822.44504609054502</v>
      </c>
      <c r="Z442" s="2">
        <v>247.95569954175099</v>
      </c>
      <c r="AA442" s="2">
        <v>8.0213869084642404</v>
      </c>
      <c r="AB442" s="2">
        <v>0.93724134145453697</v>
      </c>
      <c r="AC442" s="2">
        <v>1.64056611269329</v>
      </c>
      <c r="AD442" s="2">
        <v>2.3525942688002801</v>
      </c>
      <c r="AE442" s="2">
        <v>0.554740016768138</v>
      </c>
      <c r="AF442" s="2">
        <v>0.51168356339003895</v>
      </c>
      <c r="AG442" s="2">
        <v>0.99736531510180204</v>
      </c>
      <c r="AH442" s="2">
        <v>0.97197772988397901</v>
      </c>
      <c r="AI442" s="2">
        <v>-0.40342764384974</v>
      </c>
      <c r="AJ442" s="2">
        <v>0.98993549642520995</v>
      </c>
      <c r="AK442" s="2">
        <v>6.9632593492566898E-3</v>
      </c>
      <c r="AL442" s="2">
        <v>7.8811540652447398</v>
      </c>
      <c r="AM442" s="2">
        <v>8.6931520782121492</v>
      </c>
      <c r="AN442" s="2">
        <v>2274.28355872777</v>
      </c>
      <c r="AO442" s="2">
        <v>7.1195954129970401E-2</v>
      </c>
      <c r="AP442" s="2">
        <v>1113.4298772852501</v>
      </c>
      <c r="AQ442" s="2">
        <v>67.262743794722397</v>
      </c>
      <c r="AR442" s="2">
        <v>1324.26533934385</v>
      </c>
      <c r="AS442" s="2">
        <v>72.992424242424306</v>
      </c>
      <c r="AT442" s="2">
        <v>104290.80052592</v>
      </c>
      <c r="AU442" s="2">
        <v>6.0713792294891898E-2</v>
      </c>
      <c r="AV442" s="2">
        <v>1.0756002351828501E-3</v>
      </c>
      <c r="AW442" s="2">
        <v>0.50453575617366297</v>
      </c>
      <c r="AX442" s="2">
        <v>9.5461167482467104E-4</v>
      </c>
      <c r="AY442" s="2">
        <v>1357.9679914169101</v>
      </c>
      <c r="AZ442" s="2">
        <v>5.3826887206322199E-2</v>
      </c>
      <c r="BA442" s="2">
        <v>1.09188947208707</v>
      </c>
      <c r="BB442" s="2">
        <v>762</v>
      </c>
    </row>
    <row r="443" spans="1:54" ht="13" x14ac:dyDescent="0.15">
      <c r="A443" s="1" t="s">
        <v>1338</v>
      </c>
      <c r="B443" s="1" t="s">
        <v>1339</v>
      </c>
      <c r="C443" s="4" t="s">
        <v>1340</v>
      </c>
      <c r="D443" s="1" t="s">
        <v>14</v>
      </c>
      <c r="E443" s="2">
        <v>3745</v>
      </c>
      <c r="F443" s="2">
        <v>32223</v>
      </c>
      <c r="G443" s="2">
        <v>12507</v>
      </c>
      <c r="H443" s="2">
        <f t="shared" si="2"/>
        <v>48475</v>
      </c>
      <c r="I443" s="2">
        <v>60892</v>
      </c>
      <c r="J443" s="2">
        <v>1379399</v>
      </c>
      <c r="K443" s="2">
        <f t="shared" si="3"/>
        <v>3.5142116240478645E-2</v>
      </c>
      <c r="M443" s="2">
        <v>0.81497603352106496</v>
      </c>
      <c r="N443" s="2">
        <v>0.41863982591425702</v>
      </c>
      <c r="O443" s="2">
        <v>12.527024114306201</v>
      </c>
      <c r="P443" s="2">
        <v>29.923154317553902</v>
      </c>
      <c r="Q443" s="2">
        <v>33.376638536557302</v>
      </c>
      <c r="R443" s="2">
        <v>24.386653616158799</v>
      </c>
      <c r="S443" s="2">
        <v>0.408436708060542</v>
      </c>
      <c r="T443" s="2">
        <v>2826.2259580959999</v>
      </c>
      <c r="U443" s="2">
        <v>911</v>
      </c>
      <c r="V443" s="2">
        <v>1370</v>
      </c>
      <c r="W443" s="2">
        <v>522.71281108904805</v>
      </c>
      <c r="X443" s="2">
        <v>79935.639567119593</v>
      </c>
      <c r="Y443" s="2">
        <v>624.95302605406005</v>
      </c>
      <c r="Z443" s="2">
        <v>179.43629769210901</v>
      </c>
      <c r="AA443" s="2">
        <v>26.182980951354001</v>
      </c>
      <c r="AB443" s="2">
        <v>0.74474666324530103</v>
      </c>
      <c r="AC443" s="2">
        <v>3.8731508254214799</v>
      </c>
      <c r="AD443" s="2">
        <v>3.4440496617549399</v>
      </c>
      <c r="AE443" s="2">
        <v>0.33272769813620601</v>
      </c>
      <c r="AF443" s="2">
        <v>0.24315956138261399</v>
      </c>
      <c r="AG443" s="2">
        <v>0.98766707989082902</v>
      </c>
      <c r="AH443" s="2">
        <v>0.92474841061912105</v>
      </c>
      <c r="AI443" s="2">
        <v>-0.158448994160722</v>
      </c>
      <c r="AJ443" s="2">
        <v>0.87639535381379496</v>
      </c>
      <c r="AK443" s="2">
        <v>2.78197405714453E-3</v>
      </c>
      <c r="AL443" s="2">
        <v>8.9246494803474103</v>
      </c>
      <c r="AM443" s="2">
        <v>7.2818020595176103</v>
      </c>
      <c r="AN443" s="2">
        <v>732.219225634179</v>
      </c>
      <c r="AO443" s="2">
        <v>0.19551915237227699</v>
      </c>
      <c r="AP443" s="2">
        <v>149.709212283044</v>
      </c>
      <c r="AQ443" s="2">
        <v>51.2222676251914</v>
      </c>
      <c r="AR443" s="2">
        <v>501.28518024032002</v>
      </c>
      <c r="AS443" s="2">
        <v>11.0213618157543</v>
      </c>
      <c r="AT443" s="2">
        <v>5609.4576769025398</v>
      </c>
      <c r="AU443" s="2">
        <v>3.5718696821409698E-2</v>
      </c>
      <c r="AV443" s="2">
        <v>3.8209659762778502E-3</v>
      </c>
      <c r="AW443" s="2">
        <v>0.336889380211156</v>
      </c>
      <c r="AX443" s="2">
        <v>3.36819835578353E-3</v>
      </c>
      <c r="AY443" s="2">
        <v>1756.7359201428701</v>
      </c>
      <c r="AZ443" s="2">
        <v>0.121128189628168</v>
      </c>
      <c r="BA443" s="2">
        <v>2.2602719009157899</v>
      </c>
      <c r="BB443" s="2">
        <v>386</v>
      </c>
    </row>
    <row r="444" spans="1:54" ht="13" x14ac:dyDescent="0.15">
      <c r="A444" s="1" t="s">
        <v>1341</v>
      </c>
      <c r="B444" s="1" t="s">
        <v>1342</v>
      </c>
      <c r="C444" s="5" t="s">
        <v>1343</v>
      </c>
      <c r="D444" s="1" t="s">
        <v>304</v>
      </c>
      <c r="E444" s="2">
        <v>4544</v>
      </c>
      <c r="F444" s="2">
        <v>46142</v>
      </c>
      <c r="G444" s="2">
        <v>22713</v>
      </c>
      <c r="H444" s="2">
        <f t="shared" si="2"/>
        <v>73399</v>
      </c>
      <c r="I444" s="2">
        <v>114512</v>
      </c>
      <c r="J444" s="2">
        <v>1323591</v>
      </c>
      <c r="K444" s="2">
        <f t="shared" si="3"/>
        <v>5.5454441742199816E-2</v>
      </c>
      <c r="M444" s="2">
        <v>0.40741752313388602</v>
      </c>
      <c r="N444" s="2">
        <v>0.30627847801691699</v>
      </c>
      <c r="O444" s="2">
        <v>21.853426729553199</v>
      </c>
      <c r="P444" s="2">
        <v>71.351493160894606</v>
      </c>
      <c r="Q444" s="2">
        <v>54.129474410897402</v>
      </c>
      <c r="R444" s="2">
        <v>29.069848615516101</v>
      </c>
      <c r="S444" s="2">
        <v>0.35875197749562299</v>
      </c>
      <c r="T444" s="2">
        <v>3625.7022173321802</v>
      </c>
      <c r="U444" s="2">
        <v>598</v>
      </c>
      <c r="V444" s="2">
        <v>1065.7</v>
      </c>
      <c r="W444" s="2">
        <v>617.104243884673</v>
      </c>
      <c r="X444" s="2">
        <v>122250.80620191099</v>
      </c>
      <c r="Y444" s="2">
        <v>115.067288305573</v>
      </c>
      <c r="Z444" s="2">
        <v>196.938179733059</v>
      </c>
      <c r="AA444" s="2">
        <v>13.6298341850637</v>
      </c>
      <c r="AB444" s="2">
        <v>0.87059350584609496</v>
      </c>
      <c r="AC444" s="2">
        <v>2.6366739209178101</v>
      </c>
      <c r="AD444" s="2">
        <v>2.94064001546155</v>
      </c>
      <c r="AE444" s="2">
        <v>0.41390104877688799</v>
      </c>
      <c r="AF444" s="2">
        <v>0.33504744538406001</v>
      </c>
      <c r="AG444" s="2">
        <v>0.99294437574927796</v>
      </c>
      <c r="AH444" s="2">
        <v>0.94495206370653295</v>
      </c>
      <c r="AI444" s="2">
        <v>-0.26176151431315198</v>
      </c>
      <c r="AJ444" s="2">
        <v>0.955037408074077</v>
      </c>
      <c r="AK444" s="2">
        <v>4.35159765081909E-3</v>
      </c>
      <c r="AL444" s="2">
        <v>8.4380573911750005</v>
      </c>
      <c r="AM444" s="2">
        <v>7.6722796701068701</v>
      </c>
      <c r="AN444" s="2">
        <v>669.99735915493</v>
      </c>
      <c r="AO444" s="2">
        <v>0.147446601926701</v>
      </c>
      <c r="AP444" s="2">
        <v>188.01408450704201</v>
      </c>
      <c r="AQ444" s="2">
        <v>52.702532785843601</v>
      </c>
      <c r="AR444" s="2">
        <v>597.67429577464804</v>
      </c>
      <c r="AS444" s="2">
        <v>18.753080985915499</v>
      </c>
      <c r="AT444" s="2">
        <v>12082.3160211268</v>
      </c>
      <c r="AU444" s="2">
        <v>5.0684758585398997E-2</v>
      </c>
      <c r="AV444" s="2">
        <v>3.8419635696577701E-3</v>
      </c>
      <c r="AW444" s="2">
        <v>0.24485027159223599</v>
      </c>
      <c r="AX444" s="2">
        <v>4.0724132546990904E-3</v>
      </c>
      <c r="AY444" s="2">
        <v>1048.13402329817</v>
      </c>
      <c r="AZ444" s="2">
        <v>8.5624838434498002E-2</v>
      </c>
      <c r="BA444" s="2">
        <v>2.6898753929790602</v>
      </c>
      <c r="BB444" s="2">
        <v>397</v>
      </c>
    </row>
    <row r="445" spans="1:54" ht="13" x14ac:dyDescent="0.15">
      <c r="A445" s="1" t="s">
        <v>1344</v>
      </c>
      <c r="B445" s="1" t="s">
        <v>1345</v>
      </c>
      <c r="C445" s="5" t="s">
        <v>1346</v>
      </c>
      <c r="D445" s="1" t="s">
        <v>304</v>
      </c>
      <c r="E445" s="2">
        <v>660</v>
      </c>
      <c r="F445" s="2">
        <v>9138</v>
      </c>
      <c r="G445" s="2">
        <v>12096</v>
      </c>
      <c r="H445" s="2">
        <f t="shared" si="2"/>
        <v>21894</v>
      </c>
      <c r="I445" s="2">
        <v>25976</v>
      </c>
      <c r="J445" s="2">
        <v>1581991</v>
      </c>
      <c r="K445" s="2">
        <f t="shared" si="3"/>
        <v>1.3839522475159467E-2</v>
      </c>
      <c r="M445" s="2">
        <v>0.55879861582224399</v>
      </c>
      <c r="N445" s="2">
        <v>0.39726282493400999</v>
      </c>
      <c r="O445" s="2">
        <v>15.312302645984801</v>
      </c>
      <c r="P445" s="2">
        <v>38.544514323806602</v>
      </c>
      <c r="Q445" s="2">
        <v>31.4006369362152</v>
      </c>
      <c r="R445" s="2">
        <v>21.5386212516838</v>
      </c>
      <c r="S445" s="2">
        <v>0.35561988598977101</v>
      </c>
      <c r="T445" s="2">
        <v>963.66320066446997</v>
      </c>
      <c r="U445" s="2">
        <v>456.9</v>
      </c>
      <c r="V445" s="2">
        <v>816</v>
      </c>
      <c r="W445" s="2">
        <v>195.633331166088</v>
      </c>
      <c r="X445" s="2">
        <v>19734.933342460601</v>
      </c>
      <c r="Y445" s="2">
        <v>26.396794122887201</v>
      </c>
      <c r="Z445" s="2">
        <v>105.676630790423</v>
      </c>
      <c r="AA445" s="2">
        <v>6.29403628317987</v>
      </c>
      <c r="AB445" s="2">
        <v>0.88766762807842503</v>
      </c>
      <c r="AC445" s="2">
        <v>1.9429644087110201</v>
      </c>
      <c r="AD445" s="2">
        <v>2.4553716997308701</v>
      </c>
      <c r="AE445" s="2">
        <v>0.46038324132261199</v>
      </c>
      <c r="AF445" s="2">
        <v>0.38929519227362003</v>
      </c>
      <c r="AG445" s="2">
        <v>0.98852363668901999</v>
      </c>
      <c r="AH445" s="2">
        <v>0.92565837524723305</v>
      </c>
      <c r="AI445" s="2">
        <v>-0.33960821809629699</v>
      </c>
      <c r="AJ445" s="2">
        <v>0.96906578066586102</v>
      </c>
      <c r="AK445" s="2">
        <v>9.8753301840602305E-3</v>
      </c>
      <c r="AL445" s="2">
        <v>7.0049441551295404</v>
      </c>
      <c r="AM445" s="2">
        <v>6.6762509502749801</v>
      </c>
      <c r="AN445" s="2">
        <v>110.993939393939</v>
      </c>
      <c r="AO445" s="2">
        <v>0.16817263544536301</v>
      </c>
      <c r="AP445" s="2">
        <v>37.721212121212098</v>
      </c>
      <c r="AQ445" s="2">
        <v>28.9163544536272</v>
      </c>
      <c r="AR445" s="2">
        <v>176.06060606060601</v>
      </c>
      <c r="AS445" s="2">
        <v>15.6</v>
      </c>
      <c r="AT445" s="2">
        <v>3219.9181818181801</v>
      </c>
      <c r="AU445" s="2">
        <v>0.21736469329250199</v>
      </c>
      <c r="AV445" s="2">
        <v>1.9812605506739699E-2</v>
      </c>
      <c r="AW445" s="2">
        <v>0.19965638980693001</v>
      </c>
      <c r="AX445" s="2">
        <v>2.47157290244071E-2</v>
      </c>
      <c r="AY445" s="2">
        <v>212.695107427267</v>
      </c>
      <c r="AZ445" s="2">
        <v>0.123377034525524</v>
      </c>
      <c r="BA445" s="2">
        <v>4.7089995632400896</v>
      </c>
      <c r="BB445" s="2">
        <v>483</v>
      </c>
    </row>
    <row r="446" spans="1:54" ht="13" x14ac:dyDescent="0.15">
      <c r="A446" s="1" t="s">
        <v>1347</v>
      </c>
      <c r="B446" s="1" t="s">
        <v>1348</v>
      </c>
      <c r="C446" s="5" t="s">
        <v>1349</v>
      </c>
      <c r="D446" s="1" t="s">
        <v>304</v>
      </c>
      <c r="E446" s="2">
        <v>1240</v>
      </c>
      <c r="F446" s="2">
        <v>20485</v>
      </c>
      <c r="G446" s="2">
        <v>2971</v>
      </c>
      <c r="H446" s="2">
        <f t="shared" si="2"/>
        <v>24696</v>
      </c>
      <c r="I446" s="2">
        <v>78520</v>
      </c>
      <c r="J446" s="2">
        <v>1361592</v>
      </c>
      <c r="K446" s="2">
        <f t="shared" si="3"/>
        <v>1.8137591877743112E-2</v>
      </c>
      <c r="M446" s="2">
        <v>0.74570601796768898</v>
      </c>
      <c r="N446" s="2">
        <v>0.69430278756751296</v>
      </c>
      <c r="O446" s="2">
        <v>10.466354463331401</v>
      </c>
      <c r="P446" s="2">
        <v>15.074625438276399</v>
      </c>
      <c r="Q446" s="2">
        <v>14.866068747318501</v>
      </c>
      <c r="R446" s="2">
        <v>11.2412389079315</v>
      </c>
      <c r="S446" s="2">
        <v>0.82726149611128497</v>
      </c>
      <c r="T446" s="2">
        <v>668.35503675847701</v>
      </c>
      <c r="U446" s="2">
        <v>1053.8</v>
      </c>
      <c r="V446" s="2">
        <v>1420.1</v>
      </c>
      <c r="W446" s="2">
        <v>323.47084352162801</v>
      </c>
      <c r="X446" s="2">
        <v>21124.062724113901</v>
      </c>
      <c r="Y446" s="2">
        <v>-440.26048543224999</v>
      </c>
      <c r="Z446" s="2">
        <v>94.653300934228596</v>
      </c>
      <c r="AA446" s="2">
        <v>14.9258640155871</v>
      </c>
      <c r="AB446" s="2">
        <v>0.72657078269522501</v>
      </c>
      <c r="AC446" s="2">
        <v>2.95462064767182</v>
      </c>
      <c r="AD446" s="2">
        <v>3.0598986304042102</v>
      </c>
      <c r="AE446" s="2">
        <v>0.38673033754827602</v>
      </c>
      <c r="AF446" s="2">
        <v>0.30211850913279797</v>
      </c>
      <c r="AG446" s="2">
        <v>0.97940608696831499</v>
      </c>
      <c r="AH446" s="2">
        <v>0.904134255649368</v>
      </c>
      <c r="AI446" s="2">
        <v>-0.179780347859364</v>
      </c>
      <c r="AJ446" s="2">
        <v>0.87421604447997503</v>
      </c>
      <c r="AK446" s="2">
        <v>6.3014590546943399E-3</v>
      </c>
      <c r="AL446" s="2">
        <v>7.7955538406693101</v>
      </c>
      <c r="AM446" s="2">
        <v>6.92036216950547</v>
      </c>
      <c r="AN446" s="2">
        <v>198.511290322581</v>
      </c>
      <c r="AO446" s="2">
        <v>0.16008975026014599</v>
      </c>
      <c r="AP446" s="2">
        <v>64.908064516129002</v>
      </c>
      <c r="AQ446" s="2">
        <v>30.546045785640001</v>
      </c>
      <c r="AR446" s="2">
        <v>304.39516129032302</v>
      </c>
      <c r="AS446" s="2">
        <v>23.572580645161299</v>
      </c>
      <c r="AT446" s="2">
        <v>10491.0677419355</v>
      </c>
      <c r="AU446" s="2">
        <v>8.3507421522123204E-2</v>
      </c>
      <c r="AV446" s="2">
        <v>7.6145766384522898E-3</v>
      </c>
      <c r="AW446" s="2">
        <v>0.25808607035526498</v>
      </c>
      <c r="AX446" s="2">
        <v>9.7637775406149499E-3</v>
      </c>
      <c r="AY446" s="2">
        <v>450.817889355114</v>
      </c>
      <c r="AZ446" s="2">
        <v>0.16458697990312299</v>
      </c>
      <c r="BA446" s="2">
        <v>2.30107185879596</v>
      </c>
      <c r="BB446" s="2">
        <v>733</v>
      </c>
    </row>
    <row r="447" spans="1:54" ht="13" x14ac:dyDescent="0.15">
      <c r="A447" s="1" t="s">
        <v>1350</v>
      </c>
      <c r="B447" s="1" t="s">
        <v>1351</v>
      </c>
      <c r="C447" s="5" t="s">
        <v>1352</v>
      </c>
      <c r="D447" s="1" t="s">
        <v>304</v>
      </c>
      <c r="E447" s="2">
        <v>31</v>
      </c>
      <c r="F447" s="2">
        <v>14657</v>
      </c>
      <c r="G447" s="2">
        <v>1111</v>
      </c>
      <c r="H447" s="2">
        <f t="shared" si="2"/>
        <v>15799</v>
      </c>
      <c r="I447" s="2">
        <v>21329</v>
      </c>
      <c r="J447" s="2">
        <v>1431108</v>
      </c>
      <c r="K447" s="2">
        <f t="shared" si="3"/>
        <v>1.1039697912386766E-2</v>
      </c>
      <c r="M447" s="2">
        <v>0.58242255587765701</v>
      </c>
      <c r="N447" s="2">
        <v>0.44306354551357702</v>
      </c>
      <c r="O447" s="2">
        <v>2.7153469544368498</v>
      </c>
      <c r="P447" s="2">
        <v>6.1285722599663499</v>
      </c>
      <c r="Q447" s="2">
        <v>3.60555127546399</v>
      </c>
      <c r="R447" s="2">
        <v>3.56941871953051</v>
      </c>
      <c r="S447" s="2">
        <v>0.71430289215562504</v>
      </c>
      <c r="T447" s="2">
        <v>58.717542545843997</v>
      </c>
      <c r="U447" s="2">
        <v>981</v>
      </c>
      <c r="V447" s="2">
        <v>1104</v>
      </c>
      <c r="W447" s="2">
        <v>24.910089075077799</v>
      </c>
      <c r="X447" s="2">
        <v>185.000931667153</v>
      </c>
      <c r="Y447" s="2">
        <v>0.26505675448465499</v>
      </c>
      <c r="Z447" s="2">
        <v>8.6843036222960492</v>
      </c>
      <c r="AA447" s="2">
        <v>6.0093488211135302</v>
      </c>
      <c r="AB447" s="2">
        <v>0.173833268807326</v>
      </c>
      <c r="AC447" s="2">
        <v>1.99121263352033</v>
      </c>
      <c r="AD447" s="2">
        <v>2.0273254513607499</v>
      </c>
      <c r="AE447" s="2">
        <v>0.440006000472629</v>
      </c>
      <c r="AF447" s="2">
        <v>0.36066295640956297</v>
      </c>
      <c r="AG447" s="2">
        <v>0.93650913590053397</v>
      </c>
      <c r="AH447" s="2">
        <v>0.83231456336670995</v>
      </c>
      <c r="AI447" s="2">
        <v>-0.54423293377118698</v>
      </c>
      <c r="AJ447" s="2">
        <v>0.97045134597106297</v>
      </c>
      <c r="AK447" s="2">
        <v>7.0581885285905005E-2</v>
      </c>
      <c r="AL447" s="2">
        <v>4.0660956257877103</v>
      </c>
      <c r="AM447" s="2">
        <v>3.8488846166291202</v>
      </c>
      <c r="AN447" s="2">
        <v>8.5483870967741904</v>
      </c>
      <c r="AO447" s="2">
        <v>0.27575442247658699</v>
      </c>
      <c r="AP447" s="2">
        <v>4.5483870967741904</v>
      </c>
      <c r="AQ447" s="2">
        <v>4.0894901144641</v>
      </c>
      <c r="AR447" s="2">
        <v>22.7741935483871</v>
      </c>
      <c r="AS447" s="2">
        <v>6.4838709677419404</v>
      </c>
      <c r="AT447" s="2">
        <v>154.45161290322599</v>
      </c>
      <c r="AU447" s="2">
        <v>0.57395564109753805</v>
      </c>
      <c r="AV447" s="2">
        <v>0.14817771702468299</v>
      </c>
      <c r="AW447" s="2">
        <v>0.188622548740913</v>
      </c>
      <c r="AX447" s="2">
        <v>0.20042608002666901</v>
      </c>
      <c r="AY447" s="2">
        <v>37.611709499375998</v>
      </c>
      <c r="AZ447" s="2">
        <v>0.14305821198052801</v>
      </c>
      <c r="BA447" s="2">
        <v>5.1708988254621104</v>
      </c>
      <c r="BB447" s="2">
        <v>479</v>
      </c>
    </row>
    <row r="448" spans="1:54" ht="13" x14ac:dyDescent="0.15">
      <c r="A448" s="1" t="s">
        <v>1353</v>
      </c>
      <c r="B448" s="1" t="s">
        <v>1354</v>
      </c>
      <c r="C448" s="1" t="s">
        <v>1355</v>
      </c>
      <c r="D448" s="1" t="s">
        <v>210</v>
      </c>
      <c r="E448" s="2">
        <v>1665</v>
      </c>
      <c r="F448" s="2">
        <v>30118</v>
      </c>
      <c r="G448" s="2">
        <v>35019</v>
      </c>
      <c r="H448" s="2">
        <f t="shared" si="2"/>
        <v>66802</v>
      </c>
      <c r="I448" s="2">
        <v>87107</v>
      </c>
      <c r="J448" s="2">
        <v>1375834</v>
      </c>
      <c r="K448" s="2">
        <f t="shared" si="3"/>
        <v>4.8553822626857604E-2</v>
      </c>
      <c r="M448" s="2">
        <v>0.54923030837722397</v>
      </c>
      <c r="N448" s="2">
        <v>0.47787732817384698</v>
      </c>
      <c r="O448" s="2">
        <v>12.557805703868601</v>
      </c>
      <c r="P448" s="2">
        <v>26.278303998762301</v>
      </c>
      <c r="Q448" s="2">
        <v>47.010637094172601</v>
      </c>
      <c r="R448" s="2">
        <v>14.4328410088707</v>
      </c>
      <c r="S448" s="2">
        <v>0.47521508505585802</v>
      </c>
      <c r="T448" s="2">
        <v>1385.40831900695</v>
      </c>
      <c r="U448" s="2">
        <v>568</v>
      </c>
      <c r="V448" s="2">
        <v>684</v>
      </c>
      <c r="W448" s="2">
        <v>486.300226150507</v>
      </c>
      <c r="X448" s="2">
        <v>4990.7807022202996</v>
      </c>
      <c r="Y448" s="2">
        <v>-179.769569898014</v>
      </c>
      <c r="Z448" s="2">
        <v>14.8423110307487</v>
      </c>
      <c r="AA448" s="2">
        <v>1.5656832094556199</v>
      </c>
      <c r="AB448" s="2">
        <v>0.77980498021811095</v>
      </c>
      <c r="AC448" s="2">
        <v>0.86828521365924605</v>
      </c>
      <c r="AD448" s="2">
        <v>1.6555598030647101</v>
      </c>
      <c r="AE448" s="2">
        <v>0.65394125000426095</v>
      </c>
      <c r="AF448" s="2">
        <v>0.63018126045224598</v>
      </c>
      <c r="AG448" s="2">
        <v>0.99771184769865995</v>
      </c>
      <c r="AH448" s="2">
        <v>0.96872354152943796</v>
      </c>
      <c r="AI448" s="2">
        <v>-0.24006750684606901</v>
      </c>
      <c r="AJ448" s="2">
        <v>0.83193023771096297</v>
      </c>
      <c r="AK448" s="2">
        <v>5.5349297088790703E-2</v>
      </c>
      <c r="AL448" s="2">
        <v>4.8049482022302596</v>
      </c>
      <c r="AM448" s="2">
        <v>6.74607147841746</v>
      </c>
      <c r="AN448" s="2">
        <v>107.908108108108</v>
      </c>
      <c r="AO448" s="2">
        <v>6.4809674539404297E-2</v>
      </c>
      <c r="AP448" s="2">
        <v>271.85765765765802</v>
      </c>
      <c r="AQ448" s="2">
        <v>11.671922733544401</v>
      </c>
      <c r="AR448" s="2">
        <v>469.40060060060102</v>
      </c>
      <c r="AS448" s="2">
        <v>87.331531531531496</v>
      </c>
      <c r="AT448" s="2">
        <v>43623.3189189189</v>
      </c>
      <c r="AU448" s="2">
        <v>0.180574646987645</v>
      </c>
      <c r="AV448" s="2">
        <v>3.6868853351811602E-3</v>
      </c>
      <c r="AW448" s="2">
        <v>0.16811200422841999</v>
      </c>
      <c r="AX448" s="2">
        <v>7.10964938535845E-3</v>
      </c>
      <c r="AY448" s="2">
        <v>250.68774895194099</v>
      </c>
      <c r="AZ448" s="2">
        <v>2.4130224013462199E-2</v>
      </c>
      <c r="BA448" s="2">
        <v>6.3995724237820202</v>
      </c>
      <c r="BB448" s="2">
        <v>1489</v>
      </c>
    </row>
    <row r="449" spans="1:54" ht="13" x14ac:dyDescent="0.15">
      <c r="A449" s="1" t="s">
        <v>1356</v>
      </c>
      <c r="B449" s="1" t="s">
        <v>1357</v>
      </c>
      <c r="C449" s="1" t="s">
        <v>1358</v>
      </c>
      <c r="D449" s="1" t="s">
        <v>210</v>
      </c>
      <c r="E449" s="2">
        <v>48610</v>
      </c>
      <c r="F449" s="2">
        <v>45798</v>
      </c>
      <c r="G449" s="2">
        <v>33404</v>
      </c>
      <c r="H449" s="2">
        <f t="shared" si="2"/>
        <v>127812</v>
      </c>
      <c r="I449" s="2">
        <v>219270</v>
      </c>
      <c r="J449" s="2">
        <v>1441706</v>
      </c>
      <c r="K449" s="2">
        <f t="shared" si="3"/>
        <v>8.8653303794254859E-2</v>
      </c>
      <c r="M449" s="2">
        <v>0.81654233138393995</v>
      </c>
      <c r="N449" s="2">
        <v>0.53871834672572105</v>
      </c>
      <c r="O449" s="2">
        <v>34.616035294751399</v>
      </c>
      <c r="P449" s="2">
        <v>64.256276967629603</v>
      </c>
      <c r="Q449" s="2">
        <v>70.228199464317797</v>
      </c>
      <c r="R449" s="2">
        <v>52.467970201200501</v>
      </c>
      <c r="S449" s="2">
        <v>0.34887023308939902</v>
      </c>
      <c r="T449" s="2">
        <v>18353.330278703401</v>
      </c>
      <c r="U449" s="2">
        <v>436</v>
      </c>
      <c r="V449" s="2">
        <v>609</v>
      </c>
      <c r="W449" s="2">
        <v>364.862229970209</v>
      </c>
      <c r="X449" s="2">
        <v>3813.7008183047401</v>
      </c>
      <c r="Y449" s="2">
        <v>-133.27768866303299</v>
      </c>
      <c r="Z449" s="2">
        <v>28.075863490407301</v>
      </c>
      <c r="AA449" s="2">
        <v>1.18805950867573</v>
      </c>
      <c r="AB449" s="2">
        <v>0.91804508080206604</v>
      </c>
      <c r="AC449" s="2">
        <v>0.72140356254680205</v>
      </c>
      <c r="AD449" s="2">
        <v>1.5272557607825501</v>
      </c>
      <c r="AE449" s="2">
        <v>0.69815990600075895</v>
      </c>
      <c r="AF449" s="2">
        <v>0.68168261887082104</v>
      </c>
      <c r="AG449" s="2">
        <v>0.99838976484169195</v>
      </c>
      <c r="AH449" s="2">
        <v>0.97478322653780602</v>
      </c>
      <c r="AI449" s="2">
        <v>-0.40729694688111401</v>
      </c>
      <c r="AJ449" s="2">
        <v>0.96558065652168801</v>
      </c>
      <c r="AK449" s="2">
        <v>3.6887661214059397E-2</v>
      </c>
      <c r="AL449" s="2">
        <v>5.4163642522554403</v>
      </c>
      <c r="AM449" s="2">
        <v>7.75732467638817</v>
      </c>
      <c r="AN449" s="2">
        <v>2475.49047521086</v>
      </c>
      <c r="AO449" s="2">
        <v>5.0925539502383502E-2</v>
      </c>
      <c r="AP449" s="2">
        <v>5241.2998148529095</v>
      </c>
      <c r="AQ449" s="2">
        <v>8.6376176513916807</v>
      </c>
      <c r="AR449" s="2">
        <v>356.31549063978599</v>
      </c>
      <c r="AS449" s="2">
        <v>153.97790578070399</v>
      </c>
      <c r="AT449" s="2">
        <v>58983.297798806801</v>
      </c>
      <c r="AU449" s="2">
        <v>0.429924832218957</v>
      </c>
      <c r="AV449" s="2">
        <v>3.3086072254665398E-3</v>
      </c>
      <c r="AW449" s="2">
        <v>2.9695269040687702</v>
      </c>
      <c r="AX449" s="2">
        <v>4.7390624955780098E-4</v>
      </c>
      <c r="AY449" s="2">
        <v>163.94856960019899</v>
      </c>
      <c r="AZ449" s="2">
        <v>1.1048499490974001E-2</v>
      </c>
      <c r="BA449" s="2">
        <v>0.22489060735042099</v>
      </c>
      <c r="BB449" s="2">
        <v>630</v>
      </c>
    </row>
    <row r="450" spans="1:54" ht="13" x14ac:dyDescent="0.15">
      <c r="A450" s="1" t="s">
        <v>1359</v>
      </c>
      <c r="B450" s="1" t="s">
        <v>1360</v>
      </c>
      <c r="C450" s="5" t="s">
        <v>1361</v>
      </c>
      <c r="D450" s="1" t="s">
        <v>304</v>
      </c>
      <c r="E450" s="2">
        <v>11719</v>
      </c>
      <c r="F450" s="2">
        <v>50550</v>
      </c>
      <c r="G450" s="2">
        <v>15502</v>
      </c>
      <c r="H450" s="2">
        <f t="shared" si="2"/>
        <v>77771</v>
      </c>
      <c r="I450" s="2">
        <v>112220</v>
      </c>
      <c r="J450" s="2">
        <v>1338329</v>
      </c>
      <c r="K450" s="2">
        <f t="shared" si="3"/>
        <v>5.8110524392731532E-2</v>
      </c>
      <c r="M450" s="2">
        <v>0.81685317483137299</v>
      </c>
      <c r="N450" s="2">
        <v>0.74449172040179001</v>
      </c>
      <c r="O450" s="2">
        <v>23.778581106392298</v>
      </c>
      <c r="P450" s="2">
        <v>31.939349296671001</v>
      </c>
      <c r="Q450" s="2">
        <v>39.115214431215897</v>
      </c>
      <c r="R450" s="2">
        <v>26.089758875033901</v>
      </c>
      <c r="S450" s="2">
        <v>0.57105474680359303</v>
      </c>
      <c r="T450" s="2">
        <v>4349.6793666209396</v>
      </c>
      <c r="U450" s="2">
        <v>558</v>
      </c>
      <c r="V450" s="2">
        <v>1034</v>
      </c>
      <c r="W450" s="2">
        <v>220.28379238872901</v>
      </c>
      <c r="X450" s="2">
        <v>94308.280951932698</v>
      </c>
      <c r="Y450" s="2">
        <v>1955.51601201224</v>
      </c>
      <c r="Z450" s="2">
        <v>188.36190808537901</v>
      </c>
      <c r="AA450" s="2">
        <v>18.430420379489899</v>
      </c>
      <c r="AB450" s="2">
        <v>0.82123738734500495</v>
      </c>
      <c r="AC450" s="2">
        <v>2.9100529316949899</v>
      </c>
      <c r="AD450" s="2">
        <v>3.1124360103893101</v>
      </c>
      <c r="AE450" s="2">
        <v>0.41956595868822499</v>
      </c>
      <c r="AF450" s="2">
        <v>0.34581304584699402</v>
      </c>
      <c r="AG450" s="2">
        <v>0.99020324771297796</v>
      </c>
      <c r="AH450" s="2">
        <v>0.93928314919414402</v>
      </c>
      <c r="AI450" s="2">
        <v>-0.20646857384046599</v>
      </c>
      <c r="AJ450" s="2">
        <v>0.91057037025162202</v>
      </c>
      <c r="AK450" s="2">
        <v>6.5134916367341001E-3</v>
      </c>
      <c r="AL450" s="2">
        <v>8.2669053420355194</v>
      </c>
      <c r="AM450" s="2">
        <v>7.6959237313653999</v>
      </c>
      <c r="AN450" s="2">
        <v>1388.3798105640401</v>
      </c>
      <c r="AO450" s="2">
        <v>0.118472549753737</v>
      </c>
      <c r="AP450" s="2">
        <v>538.77540745797398</v>
      </c>
      <c r="AQ450" s="2">
        <v>53.2653864444612</v>
      </c>
      <c r="AR450" s="2">
        <v>245.72625650652799</v>
      </c>
      <c r="AS450" s="2">
        <v>33.717979349773898</v>
      </c>
      <c r="AT450" s="2">
        <v>3763.12466934039</v>
      </c>
      <c r="AU450" s="2">
        <v>0.73752510900363799</v>
      </c>
      <c r="AV450" s="2">
        <v>1.2228568180781199E-2</v>
      </c>
      <c r="AW450" s="2">
        <v>1.62046831124949</v>
      </c>
      <c r="AX450" s="2">
        <v>1.3382727553009699E-3</v>
      </c>
      <c r="AY450" s="2">
        <v>1333.56908391144</v>
      </c>
      <c r="AZ450" s="2">
        <v>0.10550535135514399</v>
      </c>
      <c r="BA450" s="2">
        <v>1.0858486722752101</v>
      </c>
      <c r="BB450" s="2">
        <v>13</v>
      </c>
    </row>
    <row r="451" spans="1:54" ht="13" x14ac:dyDescent="0.15">
      <c r="A451" s="1" t="s">
        <v>1362</v>
      </c>
      <c r="B451" s="1" t="s">
        <v>1363</v>
      </c>
      <c r="C451" s="1" t="s">
        <v>1364</v>
      </c>
      <c r="D451" s="1" t="s">
        <v>210</v>
      </c>
      <c r="E451" s="2">
        <v>7137</v>
      </c>
      <c r="F451" s="2">
        <v>65653</v>
      </c>
      <c r="G451" s="2">
        <v>34538</v>
      </c>
      <c r="H451" s="2">
        <f t="shared" si="2"/>
        <v>107328</v>
      </c>
      <c r="I451" s="2">
        <v>198645</v>
      </c>
      <c r="J451" s="2">
        <v>1357043</v>
      </c>
      <c r="K451" s="2">
        <f t="shared" si="3"/>
        <v>7.9089608803847772E-2</v>
      </c>
      <c r="M451" s="2">
        <v>0.94159341043495803</v>
      </c>
      <c r="N451" s="2">
        <v>0.68074353597889603</v>
      </c>
      <c r="O451" s="2">
        <v>20.025432624239901</v>
      </c>
      <c r="P451" s="2">
        <v>29.417000038705702</v>
      </c>
      <c r="Q451" s="2">
        <v>38.910152916687402</v>
      </c>
      <c r="R451" s="2">
        <v>27.6988533912102</v>
      </c>
      <c r="S451" s="2">
        <v>0.49354396990643801</v>
      </c>
      <c r="T451" s="2">
        <v>3604.1039018255901</v>
      </c>
      <c r="U451" s="2">
        <v>317</v>
      </c>
      <c r="V451" s="2">
        <v>480</v>
      </c>
      <c r="W451" s="2">
        <v>63.004371828858801</v>
      </c>
      <c r="X451" s="2">
        <v>24244.513763994699</v>
      </c>
      <c r="Y451" s="2">
        <v>931.22249430100896</v>
      </c>
      <c r="Z451" s="2">
        <v>52.423632898950501</v>
      </c>
      <c r="AA451" s="2">
        <v>1.5882137081374299</v>
      </c>
      <c r="AB451" s="2">
        <v>0.940204143889524</v>
      </c>
      <c r="AC451" s="2">
        <v>0.89842748223399305</v>
      </c>
      <c r="AD451" s="2">
        <v>1.67589441102807</v>
      </c>
      <c r="AE451" s="2">
        <v>0.64308339447600305</v>
      </c>
      <c r="AF451" s="2">
        <v>0.61667030618351604</v>
      </c>
      <c r="AG451" s="2">
        <v>0.99676236686353503</v>
      </c>
      <c r="AH451" s="2">
        <v>0.96214080043398298</v>
      </c>
      <c r="AI451" s="2">
        <v>-0.30616734970034598</v>
      </c>
      <c r="AJ451" s="2">
        <v>0.91246624060691095</v>
      </c>
      <c r="AK451" s="2">
        <v>4.0872543251540203E-2</v>
      </c>
      <c r="AL451" s="2">
        <v>5.2851535790100304</v>
      </c>
      <c r="AM451" s="2">
        <v>7.0969644011792701</v>
      </c>
      <c r="AN451" s="2">
        <v>482.20274625192701</v>
      </c>
      <c r="AO451" s="2">
        <v>6.7563786780429694E-2</v>
      </c>
      <c r="AP451" s="2">
        <v>1004.29185932465</v>
      </c>
      <c r="AQ451" s="2">
        <v>15.5207724306188</v>
      </c>
      <c r="AR451" s="2">
        <v>69.212274064733094</v>
      </c>
      <c r="AS451" s="2">
        <v>96.510718789407306</v>
      </c>
      <c r="AT451" s="2">
        <v>6481.9153706038996</v>
      </c>
      <c r="AU451" s="2">
        <v>3.0056460925357902</v>
      </c>
      <c r="AV451" s="2">
        <v>3.2004817073790097E-2</v>
      </c>
      <c r="AW451" s="2">
        <v>2.6287438646629999</v>
      </c>
      <c r="AX451" s="2">
        <v>1.9542444687744298E-3</v>
      </c>
      <c r="AY451" s="2">
        <v>144.443472825084</v>
      </c>
      <c r="AZ451" s="2">
        <v>3.8854865224808598E-2</v>
      </c>
      <c r="BA451" s="2">
        <v>0.78017318081277298</v>
      </c>
      <c r="BB451" s="2">
        <v>86</v>
      </c>
    </row>
    <row r="452" spans="1:54" ht="13" x14ac:dyDescent="0.15">
      <c r="A452" s="1" t="s">
        <v>1365</v>
      </c>
      <c r="B452" s="1" t="s">
        <v>1366</v>
      </c>
      <c r="C452" s="1" t="s">
        <v>1367</v>
      </c>
      <c r="D452" s="1" t="s">
        <v>210</v>
      </c>
      <c r="E452" s="2">
        <v>9905</v>
      </c>
      <c r="F452" s="2">
        <v>19635</v>
      </c>
      <c r="G452" s="2">
        <v>26241</v>
      </c>
      <c r="H452" s="2">
        <f t="shared" si="2"/>
        <v>55781</v>
      </c>
      <c r="I452" s="2">
        <v>64743</v>
      </c>
      <c r="J452" s="2">
        <v>1553383</v>
      </c>
      <c r="K452" s="2">
        <f t="shared" si="3"/>
        <v>3.5909366846424866E-2</v>
      </c>
      <c r="M452" s="2">
        <v>0.545309035002566</v>
      </c>
      <c r="N452" s="2">
        <v>0.418314084758587</v>
      </c>
      <c r="O452" s="2">
        <v>17.3735686358682</v>
      </c>
      <c r="P452" s="2">
        <v>41.532353962918997</v>
      </c>
      <c r="Q452" s="2">
        <v>51.039200620699397</v>
      </c>
      <c r="R452" s="2">
        <v>22.647967860904402</v>
      </c>
      <c r="S452" s="2">
        <v>0.62691035170077802</v>
      </c>
      <c r="T452" s="2">
        <v>3535.8465193727998</v>
      </c>
      <c r="U452" s="2">
        <v>1704</v>
      </c>
      <c r="V452" s="2">
        <v>2655</v>
      </c>
      <c r="W452" s="2">
        <v>1898.7817041052899</v>
      </c>
      <c r="X452" s="2">
        <v>1181938.47850859</v>
      </c>
      <c r="Y452" s="2">
        <v>4414.46616583785</v>
      </c>
      <c r="Z452" s="2">
        <v>763.58071588106998</v>
      </c>
      <c r="AA452" s="2">
        <v>32.118546397206302</v>
      </c>
      <c r="AB452" s="2">
        <v>0.91906178540954597</v>
      </c>
      <c r="AC452" s="2">
        <v>4.18919292471403</v>
      </c>
      <c r="AD452" s="2">
        <v>3.5226949695173499</v>
      </c>
      <c r="AE452" s="2">
        <v>0.32105050287722903</v>
      </c>
      <c r="AF452" s="2">
        <v>0.230930958018918</v>
      </c>
      <c r="AG452" s="2">
        <v>0.99458230339517295</v>
      </c>
      <c r="AH452" s="2">
        <v>0.94975780883122496</v>
      </c>
      <c r="AI452" s="2">
        <v>-0.26744346375266098</v>
      </c>
      <c r="AJ452" s="2">
        <v>0.97203126279051599</v>
      </c>
      <c r="AK452" s="2">
        <v>1.3173071531769099E-3</v>
      </c>
      <c r="AL452" s="2">
        <v>9.9798027932737501</v>
      </c>
      <c r="AM452" s="2">
        <v>8.28268510912695</v>
      </c>
      <c r="AN452" s="2">
        <v>1879.2875315497199</v>
      </c>
      <c r="AO452" s="2">
        <v>0.189731199550704</v>
      </c>
      <c r="AP452" s="2">
        <v>195.988591620394</v>
      </c>
      <c r="AQ452" s="2">
        <v>205.37947702568599</v>
      </c>
      <c r="AR452" s="2">
        <v>1901.74649167087</v>
      </c>
      <c r="AS452" s="2">
        <v>12.331246845027801</v>
      </c>
      <c r="AT452" s="2">
        <v>26463.280868248399</v>
      </c>
      <c r="AU452" s="2">
        <v>1.0120095747335099E-2</v>
      </c>
      <c r="AV452" s="2">
        <v>1.0782200995005499E-3</v>
      </c>
      <c r="AW452" s="2">
        <v>0.17906176716460601</v>
      </c>
      <c r="AX452" s="2">
        <v>2.3361427178868002E-3</v>
      </c>
      <c r="AY452" s="2">
        <v>4752.4982968147897</v>
      </c>
      <c r="AZ452" s="2">
        <v>0.17061877519669699</v>
      </c>
      <c r="BA452" s="2">
        <v>4.4388861086263596</v>
      </c>
      <c r="BB452" s="2">
        <v>600</v>
      </c>
    </row>
    <row r="453" spans="1:54" ht="13" x14ac:dyDescent="0.15">
      <c r="A453" s="1" t="s">
        <v>1368</v>
      </c>
      <c r="B453" s="1" t="s">
        <v>1369</v>
      </c>
      <c r="C453" s="1" t="s">
        <v>1370</v>
      </c>
      <c r="D453" s="1" t="s">
        <v>210</v>
      </c>
      <c r="E453" s="2">
        <v>7587</v>
      </c>
      <c r="F453" s="2">
        <v>34086</v>
      </c>
      <c r="G453" s="2">
        <v>12114</v>
      </c>
      <c r="H453" s="2">
        <f t="shared" si="2"/>
        <v>53787</v>
      </c>
      <c r="I453" s="2">
        <v>70979</v>
      </c>
      <c r="J453" s="2">
        <v>1404675</v>
      </c>
      <c r="K453" s="2">
        <f t="shared" si="3"/>
        <v>3.8291419723423571E-2</v>
      </c>
      <c r="M453" s="2">
        <v>0.63280626690502395</v>
      </c>
      <c r="N453" s="2">
        <v>0.51297001734435399</v>
      </c>
      <c r="O453" s="2">
        <v>18.984729622646999</v>
      </c>
      <c r="P453" s="2">
        <v>37.009433262651498</v>
      </c>
      <c r="Q453" s="2">
        <v>47.010637094172601</v>
      </c>
      <c r="R453" s="2">
        <v>23.419801303209098</v>
      </c>
      <c r="S453" s="2">
        <v>0.39887965051555302</v>
      </c>
      <c r="T453" s="2">
        <v>4519.3039403931798</v>
      </c>
      <c r="U453" s="2">
        <v>1533</v>
      </c>
      <c r="V453" s="2">
        <v>2124</v>
      </c>
      <c r="W453" s="2">
        <v>2011.8515692184401</v>
      </c>
      <c r="X453" s="2">
        <v>318691.01187223202</v>
      </c>
      <c r="Y453" s="2">
        <v>-3474.2419241796101</v>
      </c>
      <c r="Z453" s="2">
        <v>264.91597732792502</v>
      </c>
      <c r="AA453" s="2">
        <v>21.918985855224399</v>
      </c>
      <c r="AB453" s="2">
        <v>0.84571999688493504</v>
      </c>
      <c r="AC453" s="2">
        <v>3.42098545159332</v>
      </c>
      <c r="AD453" s="2">
        <v>3.2899192234051999</v>
      </c>
      <c r="AE453" s="2">
        <v>0.36095047808406899</v>
      </c>
      <c r="AF453" s="2">
        <v>0.274862421606342</v>
      </c>
      <c r="AG453" s="2">
        <v>0.99607822966188897</v>
      </c>
      <c r="AH453" s="2">
        <v>0.95733755346503702</v>
      </c>
      <c r="AI453" s="2">
        <v>-0.21457637993893799</v>
      </c>
      <c r="AJ453" s="2">
        <v>0.93305652199213795</v>
      </c>
      <c r="AK453" s="2">
        <v>3.4511321148335298E-3</v>
      </c>
      <c r="AL453" s="2">
        <v>8.9567011285743199</v>
      </c>
      <c r="AM453" s="2">
        <v>7.7740551386206302</v>
      </c>
      <c r="AN453" s="2">
        <v>1271.0152893106599</v>
      </c>
      <c r="AO453" s="2">
        <v>0.167525410479855</v>
      </c>
      <c r="AP453" s="2">
        <v>260.98629234216401</v>
      </c>
      <c r="AQ453" s="2">
        <v>91.851847821454896</v>
      </c>
      <c r="AR453" s="2">
        <v>1906.9914327138499</v>
      </c>
      <c r="AS453" s="2">
        <v>15.4539343614077</v>
      </c>
      <c r="AT453" s="2">
        <v>32880.611045208898</v>
      </c>
      <c r="AU453" s="2">
        <v>8.6555755287150808E-3</v>
      </c>
      <c r="AV453" s="2">
        <v>1.0290073313607899E-3</v>
      </c>
      <c r="AW453" s="2">
        <v>0.11461908865493201</v>
      </c>
      <c r="AX453" s="2">
        <v>2.3109213708712201E-3</v>
      </c>
      <c r="AY453" s="2">
        <v>4042.9760895179102</v>
      </c>
      <c r="AZ453" s="2">
        <v>7.6976111545901699E-2</v>
      </c>
      <c r="BA453" s="2">
        <v>4.89135083942229</v>
      </c>
      <c r="BB453" s="2">
        <v>370</v>
      </c>
    </row>
    <row r="454" spans="1:54" ht="13" x14ac:dyDescent="0.15">
      <c r="A454" s="1" t="s">
        <v>1371</v>
      </c>
      <c r="B454" s="1" t="s">
        <v>1372</v>
      </c>
      <c r="C454" s="5" t="s">
        <v>1373</v>
      </c>
      <c r="D454" s="1" t="s">
        <v>304</v>
      </c>
      <c r="E454" s="2">
        <v>11191</v>
      </c>
      <c r="F454" s="2">
        <v>24921</v>
      </c>
      <c r="G454" s="2">
        <v>16075</v>
      </c>
      <c r="H454" s="2">
        <f t="shared" si="2"/>
        <v>52187</v>
      </c>
      <c r="I454" s="2">
        <v>80727</v>
      </c>
      <c r="J454" s="2">
        <v>1501831</v>
      </c>
      <c r="K454" s="2">
        <f t="shared" si="3"/>
        <v>3.4748916489272093E-2</v>
      </c>
      <c r="M454" s="2">
        <v>0.42693291133317401</v>
      </c>
      <c r="N454" s="2">
        <v>0.40699148235522098</v>
      </c>
      <c r="O454" s="2">
        <v>22.024796232555701</v>
      </c>
      <c r="P454" s="2">
        <v>54.116110993528103</v>
      </c>
      <c r="Q454" s="2">
        <v>44.271887242357302</v>
      </c>
      <c r="R454" s="2">
        <v>23.103948816496199</v>
      </c>
      <c r="S454" s="2">
        <v>0.40173259266438099</v>
      </c>
      <c r="T454" s="2">
        <v>5965.37655957683</v>
      </c>
      <c r="U454" s="2">
        <v>1033</v>
      </c>
      <c r="V454" s="2">
        <v>1603</v>
      </c>
      <c r="W454" s="2">
        <v>1492.50147743967</v>
      </c>
      <c r="X454" s="2">
        <v>238376.45613363301</v>
      </c>
      <c r="Y454" s="2">
        <v>-2784.9011842111399</v>
      </c>
      <c r="Z454" s="2">
        <v>276.05043935268702</v>
      </c>
      <c r="AA454" s="2">
        <v>18.954751137284202</v>
      </c>
      <c r="AB454" s="2">
        <v>0.87098576601232502</v>
      </c>
      <c r="AC454" s="2">
        <v>3.11402700473116</v>
      </c>
      <c r="AD454" s="2">
        <v>3.20538820976101</v>
      </c>
      <c r="AE454" s="2">
        <v>0.392140018591769</v>
      </c>
      <c r="AF454" s="2">
        <v>0.31265308622861598</v>
      </c>
      <c r="AG454" s="2">
        <v>0.99370704809752897</v>
      </c>
      <c r="AH454" s="2">
        <v>0.947953461593111</v>
      </c>
      <c r="AI454" s="2">
        <v>-0.22823148420790601</v>
      </c>
      <c r="AJ454" s="2">
        <v>0.94292478677690295</v>
      </c>
      <c r="AK454" s="2">
        <v>3.2569469796644998E-3</v>
      </c>
      <c r="AL454" s="2">
        <v>8.8462875893008803</v>
      </c>
      <c r="AM454" s="2">
        <v>7.9940122343589497</v>
      </c>
      <c r="AN454" s="2">
        <v>1549.2661066928799</v>
      </c>
      <c r="AO454" s="2">
        <v>0.138438576239199</v>
      </c>
      <c r="AP454" s="2">
        <v>363.65892234831603</v>
      </c>
      <c r="AQ454" s="2">
        <v>83.060433014993194</v>
      </c>
      <c r="AR454" s="2">
        <v>1414.8505942275001</v>
      </c>
      <c r="AS454" s="2">
        <v>23.8553301760343</v>
      </c>
      <c r="AT454" s="2">
        <v>42848.866142435902</v>
      </c>
      <c r="AU454" s="2">
        <v>1.9574043098217898E-2</v>
      </c>
      <c r="AV454" s="2">
        <v>1.44517630129939E-3</v>
      </c>
      <c r="AW454" s="2">
        <v>0.29035201612839201</v>
      </c>
      <c r="AX454" s="2">
        <v>1.58162190262182E-3</v>
      </c>
      <c r="AY454" s="2">
        <v>2432.21936506678</v>
      </c>
      <c r="AZ454" s="2">
        <v>0.10768210399676</v>
      </c>
      <c r="BA454" s="2">
        <v>2.1164834466963098</v>
      </c>
      <c r="BB454" s="2">
        <v>796</v>
      </c>
    </row>
    <row r="455" spans="1:54" ht="13" x14ac:dyDescent="0.15">
      <c r="A455" s="1" t="s">
        <v>1374</v>
      </c>
      <c r="B455" s="1" t="s">
        <v>1375</v>
      </c>
      <c r="C455" s="1" t="s">
        <v>1376</v>
      </c>
      <c r="D455" s="1" t="s">
        <v>304</v>
      </c>
      <c r="E455" s="2">
        <v>13184</v>
      </c>
      <c r="F455" s="2">
        <v>45807</v>
      </c>
      <c r="G455" s="2">
        <v>15781</v>
      </c>
      <c r="H455" s="2">
        <f t="shared" si="2"/>
        <v>74772</v>
      </c>
      <c r="I455" s="2">
        <v>104528</v>
      </c>
      <c r="J455" s="2">
        <v>1603356</v>
      </c>
      <c r="K455" s="2">
        <f t="shared" si="3"/>
        <v>4.6634683750832628E-2</v>
      </c>
      <c r="M455" s="2">
        <v>0.69996611468441905</v>
      </c>
      <c r="N455" s="2">
        <v>0.56426261388074705</v>
      </c>
      <c r="O455" s="2">
        <v>21.622880147798401</v>
      </c>
      <c r="P455" s="2">
        <v>38.320596856640599</v>
      </c>
      <c r="Q455" s="2">
        <v>35.902646142032502</v>
      </c>
      <c r="R455" s="2">
        <v>26.823119294130699</v>
      </c>
      <c r="S455" s="2">
        <v>0.65875259626504001</v>
      </c>
      <c r="T455" s="2">
        <v>4083.66481757257</v>
      </c>
      <c r="U455" s="2">
        <v>1258</v>
      </c>
      <c r="V455" s="2">
        <v>1661.7</v>
      </c>
      <c r="W455" s="2">
        <v>765.22229576610505</v>
      </c>
      <c r="X455" s="2">
        <v>57657.520367204903</v>
      </c>
      <c r="Y455" s="2">
        <v>-1452.97089870945</v>
      </c>
      <c r="Z455" s="2">
        <v>129.072142038377</v>
      </c>
      <c r="AA455" s="2">
        <v>10.865536509743899</v>
      </c>
      <c r="AB455" s="2">
        <v>0.84411449406382699</v>
      </c>
      <c r="AC455" s="2">
        <v>2.2790804175372301</v>
      </c>
      <c r="AD455" s="2">
        <v>2.8094957912734499</v>
      </c>
      <c r="AE455" s="2">
        <v>0.45895833344251602</v>
      </c>
      <c r="AF455" s="2">
        <v>0.39057879664253797</v>
      </c>
      <c r="AG455" s="2">
        <v>0.99379974610441402</v>
      </c>
      <c r="AH455" s="2">
        <v>0.94993262940169798</v>
      </c>
      <c r="AI455" s="2">
        <v>-0.221064338383724</v>
      </c>
      <c r="AJ455" s="2">
        <v>0.91847314352523501</v>
      </c>
      <c r="AK455" s="2">
        <v>8.59611905091388E-3</v>
      </c>
      <c r="AL455" s="2">
        <v>7.8192200028646797</v>
      </c>
      <c r="AM455" s="2">
        <v>7.7926910707043104</v>
      </c>
      <c r="AN455" s="2">
        <v>1299.8570995145601</v>
      </c>
      <c r="AO455" s="2">
        <v>9.8593529999587606E-2</v>
      </c>
      <c r="AP455" s="2">
        <v>734.87757888349495</v>
      </c>
      <c r="AQ455" s="2">
        <v>38.494941227442098</v>
      </c>
      <c r="AR455" s="2">
        <v>742.94561589805801</v>
      </c>
      <c r="AS455" s="2">
        <v>41.245297330097102</v>
      </c>
      <c r="AT455" s="2">
        <v>35686.394493325199</v>
      </c>
      <c r="AU455" s="2">
        <v>5.7366597599340402E-2</v>
      </c>
      <c r="AV455" s="2">
        <v>2.15598614396142E-3</v>
      </c>
      <c r="AW455" s="2">
        <v>0.56100271683712599</v>
      </c>
      <c r="AX455" s="2">
        <v>1.26737636612878E-3</v>
      </c>
      <c r="AY455" s="2">
        <v>993.471067868055</v>
      </c>
      <c r="AZ455" s="2">
        <v>6.3220888051978105E-2</v>
      </c>
      <c r="BA455" s="2">
        <v>0.96619299540975601</v>
      </c>
      <c r="BB455" s="2">
        <v>589</v>
      </c>
    </row>
    <row r="456" spans="1:54" ht="13" x14ac:dyDescent="0.15">
      <c r="A456" s="1" t="s">
        <v>1377</v>
      </c>
      <c r="B456" s="1" t="s">
        <v>1378</v>
      </c>
      <c r="C456" s="1" t="s">
        <v>1379</v>
      </c>
      <c r="D456" s="1" t="s">
        <v>210</v>
      </c>
      <c r="E456" s="2">
        <v>32228</v>
      </c>
      <c r="F456" s="2">
        <v>53697</v>
      </c>
      <c r="G456" s="2">
        <v>52126</v>
      </c>
      <c r="H456" s="2">
        <f t="shared" si="2"/>
        <v>138051</v>
      </c>
      <c r="I456" s="2">
        <v>225491</v>
      </c>
      <c r="J456" s="2">
        <v>1337070</v>
      </c>
      <c r="K456" s="2">
        <f t="shared" si="3"/>
        <v>0.10324889497184142</v>
      </c>
      <c r="M456" s="2">
        <v>0.76068948307138196</v>
      </c>
      <c r="N456" s="2">
        <v>0.65008153495480703</v>
      </c>
      <c r="O456" s="2">
        <v>36.260923732051303</v>
      </c>
      <c r="P456" s="2">
        <v>55.779039677802999</v>
      </c>
      <c r="Q456" s="2">
        <v>65.115282384398796</v>
      </c>
      <c r="R456" s="2">
        <v>42.430528858726099</v>
      </c>
      <c r="S456" s="2">
        <v>0.25011194759738697</v>
      </c>
      <c r="T456" s="2">
        <v>19308.6959037247</v>
      </c>
      <c r="U456" s="2">
        <v>1016</v>
      </c>
      <c r="V456" s="2">
        <v>1698</v>
      </c>
      <c r="W456" s="2">
        <v>3162.5331100271701</v>
      </c>
      <c r="X456" s="2">
        <v>503759.26887180598</v>
      </c>
      <c r="Y456" s="2">
        <v>-3157.0518850408798</v>
      </c>
      <c r="Z456" s="2">
        <v>350.15080749567602</v>
      </c>
      <c r="AA456" s="2">
        <v>22.320700416942</v>
      </c>
      <c r="AB456" s="2">
        <v>0.87838961915630798</v>
      </c>
      <c r="AC456" s="2">
        <v>3.5012582838531299</v>
      </c>
      <c r="AD456" s="2">
        <v>3.29589846374683</v>
      </c>
      <c r="AE456" s="2">
        <v>0.353803020212139</v>
      </c>
      <c r="AF456" s="2">
        <v>0.26630504332791799</v>
      </c>
      <c r="AG456" s="2">
        <v>0.99715912141224095</v>
      </c>
      <c r="AH456" s="2">
        <v>0.96282922689584005</v>
      </c>
      <c r="AI456" s="2">
        <v>-0.22589543897018</v>
      </c>
      <c r="AJ456" s="2">
        <v>0.94338939731489302</v>
      </c>
      <c r="AK456" s="2">
        <v>2.40338283424186E-3</v>
      </c>
      <c r="AL456" s="2">
        <v>9.34695206253671</v>
      </c>
      <c r="AM456" s="2">
        <v>8.1051535256396807</v>
      </c>
      <c r="AN456" s="2">
        <v>5559.0628645897996</v>
      </c>
      <c r="AO456" s="2">
        <v>0.172491711077008</v>
      </c>
      <c r="AP456" s="2">
        <v>938.50887427082102</v>
      </c>
      <c r="AQ456" s="2">
        <v>113.28330411241301</v>
      </c>
      <c r="AR456" s="2">
        <v>3015.5063919572999</v>
      </c>
      <c r="AS456" s="2">
        <v>14.117537544991899</v>
      </c>
      <c r="AT456" s="2">
        <v>43457.367444458199</v>
      </c>
      <c r="AU456" s="2">
        <v>5.8469542739032002E-3</v>
      </c>
      <c r="AV456" s="2">
        <v>5.0414649958575202E-4</v>
      </c>
      <c r="AW456" s="2">
        <v>0.29714459997593201</v>
      </c>
      <c r="AX456" s="2">
        <v>5.6935614316687996E-4</v>
      </c>
      <c r="AY456" s="2">
        <v>6763.1508293114903</v>
      </c>
      <c r="AZ456" s="2">
        <v>6.3508587548619003E-2</v>
      </c>
      <c r="BA456" s="2">
        <v>2.1285672743894701</v>
      </c>
      <c r="BB456" s="2">
        <v>77</v>
      </c>
    </row>
    <row r="457" spans="1:54" ht="13" x14ac:dyDescent="0.15">
      <c r="A457" s="1" t="s">
        <v>1380</v>
      </c>
      <c r="B457" s="1" t="s">
        <v>1381</v>
      </c>
      <c r="C457" s="1" t="s">
        <v>1382</v>
      </c>
      <c r="D457" s="1" t="s">
        <v>210</v>
      </c>
      <c r="E457" s="2">
        <v>29581</v>
      </c>
      <c r="F457" s="2">
        <v>21267</v>
      </c>
      <c r="G457" s="2">
        <v>36345</v>
      </c>
      <c r="H457" s="2">
        <f t="shared" si="2"/>
        <v>87193</v>
      </c>
      <c r="I457" s="2">
        <v>102379</v>
      </c>
      <c r="J457" s="2">
        <v>1359013</v>
      </c>
      <c r="K457" s="2">
        <f t="shared" si="3"/>
        <v>6.4159062496090907E-2</v>
      </c>
      <c r="M457" s="2">
        <v>0.88283776308704898</v>
      </c>
      <c r="N457" s="2">
        <v>0.57247864175853203</v>
      </c>
      <c r="O457" s="2">
        <v>26.789308978444598</v>
      </c>
      <c r="P457" s="2">
        <v>46.795298591670701</v>
      </c>
      <c r="Q457" s="2">
        <v>56.5154846037792</v>
      </c>
      <c r="R457" s="2">
        <v>41.3126567316611</v>
      </c>
      <c r="S457" s="2">
        <v>0.51965726934669998</v>
      </c>
      <c r="T457" s="2">
        <v>8873.4683986382897</v>
      </c>
      <c r="U457" s="2">
        <v>1264</v>
      </c>
      <c r="V457" s="2">
        <v>1845</v>
      </c>
      <c r="W457" s="2">
        <v>2477.9878797470901</v>
      </c>
      <c r="X457" s="2">
        <v>427554.96055393002</v>
      </c>
      <c r="Y457" s="2">
        <v>-5867.6728095263497</v>
      </c>
      <c r="Z457" s="2">
        <v>285.98473062866799</v>
      </c>
      <c r="AA457" s="2">
        <v>13.911580607745201</v>
      </c>
      <c r="AB457" s="2">
        <v>0.90565338847284405</v>
      </c>
      <c r="AC457" s="2">
        <v>2.4006920535566199</v>
      </c>
      <c r="AD457" s="2">
        <v>2.88768215567264</v>
      </c>
      <c r="AE457" s="2">
        <v>0.47551785302177502</v>
      </c>
      <c r="AF457" s="2">
        <v>0.41410245613605901</v>
      </c>
      <c r="AG457" s="2">
        <v>0.99688949276804295</v>
      </c>
      <c r="AH457" s="2">
        <v>0.96643804907403297</v>
      </c>
      <c r="AI457" s="2">
        <v>-0.30490983420532602</v>
      </c>
      <c r="AJ457" s="2">
        <v>0.97236383425864203</v>
      </c>
      <c r="AK457" s="2">
        <v>5.6419662359811201E-3</v>
      </c>
      <c r="AL457" s="2">
        <v>8.4497791140873595</v>
      </c>
      <c r="AM457" s="2">
        <v>8.5315600585070204</v>
      </c>
      <c r="AN457" s="2">
        <v>2534.2038132585099</v>
      </c>
      <c r="AO457" s="2">
        <v>8.5669984559633205E-2</v>
      </c>
      <c r="AP457" s="2">
        <v>1037.6015347689399</v>
      </c>
      <c r="AQ457" s="2">
        <v>93.415683562145006</v>
      </c>
      <c r="AR457" s="2">
        <v>2386.4530610865099</v>
      </c>
      <c r="AS457" s="2">
        <v>52.704742909299902</v>
      </c>
      <c r="AT457" s="2">
        <v>150263.05527196499</v>
      </c>
      <c r="AU457" s="2">
        <v>1.9941840281398799E-2</v>
      </c>
      <c r="AV457" s="2">
        <v>6.1930023821562597E-4</v>
      </c>
      <c r="AW457" s="2">
        <v>0.268357236033474</v>
      </c>
      <c r="AX457" s="2">
        <v>9.2869824455254102E-4</v>
      </c>
      <c r="AY457" s="2">
        <v>2562.6707869469901</v>
      </c>
      <c r="AZ457" s="2">
        <v>5.8730560019170201E-2</v>
      </c>
      <c r="BA457" s="2">
        <v>2.14965347704476</v>
      </c>
      <c r="BB457" s="2">
        <v>1121</v>
      </c>
    </row>
    <row r="458" spans="1:54" ht="13" x14ac:dyDescent="0.15">
      <c r="A458" s="1" t="s">
        <v>1383</v>
      </c>
      <c r="B458" s="1" t="s">
        <v>1384</v>
      </c>
      <c r="C458" s="1" t="s">
        <v>1385</v>
      </c>
      <c r="D458" s="1" t="s">
        <v>210</v>
      </c>
      <c r="E458" s="2">
        <v>9087</v>
      </c>
      <c r="F458" s="2">
        <v>88963</v>
      </c>
      <c r="G458" s="2">
        <v>58556</v>
      </c>
      <c r="H458" s="2">
        <f t="shared" si="2"/>
        <v>156606</v>
      </c>
      <c r="I458" s="2">
        <v>195468</v>
      </c>
      <c r="J458" s="2">
        <v>1477454</v>
      </c>
      <c r="K458" s="2">
        <f t="shared" si="3"/>
        <v>0.10599720871174331</v>
      </c>
      <c r="M458" s="2">
        <v>0.66167282821597295</v>
      </c>
      <c r="N458" s="2">
        <v>0.54705582039699996</v>
      </c>
      <c r="O458" s="2">
        <v>33.182189301620099</v>
      </c>
      <c r="P458" s="2">
        <v>60.6559478291258</v>
      </c>
      <c r="Q458" s="2">
        <v>62.585940913275401</v>
      </c>
      <c r="R458" s="2">
        <v>40.134392548218202</v>
      </c>
      <c r="S458" s="2">
        <v>0.21439707481157999</v>
      </c>
      <c r="T458" s="2">
        <v>9476.1718353557008</v>
      </c>
      <c r="U458" s="2">
        <v>1031</v>
      </c>
      <c r="V458" s="2">
        <v>1617</v>
      </c>
      <c r="W458" s="2">
        <v>2010.44742633395</v>
      </c>
      <c r="X458" s="2">
        <v>246366.857113887</v>
      </c>
      <c r="Y458" s="2">
        <v>-788.42919131047699</v>
      </c>
      <c r="Z458" s="2">
        <v>294.793400192928</v>
      </c>
      <c r="AA458" s="2">
        <v>16.538311797149799</v>
      </c>
      <c r="AB458" s="2">
        <v>0.89313257286917203</v>
      </c>
      <c r="AC458" s="2">
        <v>2.91926069787102</v>
      </c>
      <c r="AD458" s="2">
        <v>3.0991267079046598</v>
      </c>
      <c r="AE458" s="2">
        <v>0.39874290104068499</v>
      </c>
      <c r="AF458" s="2">
        <v>0.318498095194232</v>
      </c>
      <c r="AG458" s="2">
        <v>0.99669010967707705</v>
      </c>
      <c r="AH458" s="2">
        <v>0.96131814459732101</v>
      </c>
      <c r="AI458" s="2">
        <v>-0.26426584867372299</v>
      </c>
      <c r="AJ458" s="2">
        <v>0.96190758006316102</v>
      </c>
      <c r="AK458" s="2">
        <v>3.0517557947086901E-3</v>
      </c>
      <c r="AL458" s="2">
        <v>8.8744133597465602</v>
      </c>
      <c r="AM458" s="2">
        <v>7.9054976180621299</v>
      </c>
      <c r="AN458" s="2">
        <v>1510.1004732034801</v>
      </c>
      <c r="AO458" s="2">
        <v>0.16618251053191099</v>
      </c>
      <c r="AP458" s="2">
        <v>279.70430285022599</v>
      </c>
      <c r="AQ458" s="2">
        <v>86.648328280445298</v>
      </c>
      <c r="AR458" s="2">
        <v>1854.13502806207</v>
      </c>
      <c r="AS458" s="2">
        <v>17.245405524375499</v>
      </c>
      <c r="AT458" s="2">
        <v>38761.505557389697</v>
      </c>
      <c r="AU458" s="2">
        <v>9.4545026904847493E-3</v>
      </c>
      <c r="AV458" s="2">
        <v>8.3424469422574703E-4</v>
      </c>
      <c r="AW458" s="2">
        <v>0.144858890024334</v>
      </c>
      <c r="AX458" s="2">
        <v>2.11085270909929E-3</v>
      </c>
      <c r="AY458" s="2">
        <v>3641.0934647959998</v>
      </c>
      <c r="AZ458" s="2">
        <v>6.6827302203175204E-2</v>
      </c>
      <c r="BA458" s="2">
        <v>4.3206567316297999</v>
      </c>
      <c r="BB458" s="2">
        <v>147</v>
      </c>
    </row>
    <row r="459" spans="1:54" ht="13" x14ac:dyDescent="0.15">
      <c r="A459" s="1" t="s">
        <v>1386</v>
      </c>
      <c r="B459" s="1" t="s">
        <v>1387</v>
      </c>
      <c r="C459" s="1" t="s">
        <v>1388</v>
      </c>
      <c r="D459" s="1" t="s">
        <v>210</v>
      </c>
      <c r="E459" s="2">
        <v>26654</v>
      </c>
      <c r="F459" s="2">
        <v>57398</v>
      </c>
      <c r="G459" s="2">
        <v>79560</v>
      </c>
      <c r="H459" s="2">
        <f t="shared" si="2"/>
        <v>163612</v>
      </c>
      <c r="I459" s="2">
        <v>218262</v>
      </c>
      <c r="J459" s="2">
        <v>1439358</v>
      </c>
      <c r="K459" s="2">
        <f t="shared" si="3"/>
        <v>0.11367012237400285</v>
      </c>
      <c r="M459" s="2">
        <v>0.73948889353619096</v>
      </c>
      <c r="N459" s="2">
        <v>0.579796242559937</v>
      </c>
      <c r="O459" s="2">
        <v>32.615202460928401</v>
      </c>
      <c r="P459" s="2">
        <v>56.252869658010397</v>
      </c>
      <c r="Q459" s="2">
        <v>73.109506905737007</v>
      </c>
      <c r="R459" s="2">
        <v>41.598372341637699</v>
      </c>
      <c r="S459" s="2">
        <v>0.24697487523422401</v>
      </c>
      <c r="T459" s="2">
        <v>16923.9448427569</v>
      </c>
      <c r="U459" s="2">
        <v>638</v>
      </c>
      <c r="V459" s="2">
        <v>880</v>
      </c>
      <c r="W459" s="2">
        <v>395.14598092995698</v>
      </c>
      <c r="X459" s="2">
        <v>15771.176201570701</v>
      </c>
      <c r="Y459" s="2">
        <v>-365.34807655138798</v>
      </c>
      <c r="Z459" s="2">
        <v>52.568322607513998</v>
      </c>
      <c r="AA459" s="2">
        <v>3.5594621252361902</v>
      </c>
      <c r="AB459" s="2">
        <v>0.87150107444651104</v>
      </c>
      <c r="AC459" s="2">
        <v>1.37111701454447</v>
      </c>
      <c r="AD459" s="2">
        <v>2.14370053403497</v>
      </c>
      <c r="AE459" s="2">
        <v>0.55085228325972202</v>
      </c>
      <c r="AF459" s="2">
        <v>0.50176796003123003</v>
      </c>
      <c r="AG459" s="2">
        <v>0.99678026639658202</v>
      </c>
      <c r="AH459" s="2">
        <v>0.96140691620010199</v>
      </c>
      <c r="AI459" s="2">
        <v>-0.27461554074835598</v>
      </c>
      <c r="AJ459" s="2">
        <v>0.92883699991828295</v>
      </c>
      <c r="AK459" s="2">
        <v>1.6260999172129299E-2</v>
      </c>
      <c r="AL459" s="2">
        <v>6.6504028026664503</v>
      </c>
      <c r="AM459" s="2">
        <v>7.6335656777566498</v>
      </c>
      <c r="AN459" s="2">
        <v>2254.4080438208198</v>
      </c>
      <c r="AO459" s="2">
        <v>8.4580477370031298E-2</v>
      </c>
      <c r="AP459" s="2">
        <v>2099.3876341262098</v>
      </c>
      <c r="AQ459" s="2">
        <v>17.399735214044298</v>
      </c>
      <c r="AR459" s="2">
        <v>384.505852780071</v>
      </c>
      <c r="AS459" s="2">
        <v>53.036917535829502</v>
      </c>
      <c r="AT459" s="2">
        <v>22136.467509566999</v>
      </c>
      <c r="AU459" s="2">
        <v>0.16905976502936601</v>
      </c>
      <c r="AV459" s="2">
        <v>4.59066337934343E-3</v>
      </c>
      <c r="AW459" s="2">
        <v>2.0028447646058201</v>
      </c>
      <c r="AX459" s="2">
        <v>5.89025959298011E-4</v>
      </c>
      <c r="AY459" s="2">
        <v>427.95133035976301</v>
      </c>
      <c r="AZ459" s="2">
        <v>2.9251756706309098E-2</v>
      </c>
      <c r="BA459" s="2">
        <v>0.31447472810499799</v>
      </c>
      <c r="BB459" s="2">
        <v>153</v>
      </c>
    </row>
    <row r="460" spans="1:54" ht="13" x14ac:dyDescent="0.15">
      <c r="A460" s="1" t="s">
        <v>1389</v>
      </c>
      <c r="B460" s="1" t="s">
        <v>1390</v>
      </c>
      <c r="C460" s="1" t="s">
        <v>1391</v>
      </c>
      <c r="D460" s="1" t="s">
        <v>210</v>
      </c>
      <c r="E460" s="2">
        <v>48940</v>
      </c>
      <c r="F460" s="2">
        <v>45957</v>
      </c>
      <c r="G460" s="2">
        <v>77776</v>
      </c>
      <c r="H460" s="2">
        <f t="shared" si="2"/>
        <v>172673</v>
      </c>
      <c r="I460" s="2">
        <v>233013</v>
      </c>
      <c r="J460" s="2">
        <v>1535981</v>
      </c>
      <c r="K460" s="2">
        <f t="shared" si="3"/>
        <v>0.11241870830433449</v>
      </c>
      <c r="M460" s="2">
        <v>0.70348460426335901</v>
      </c>
      <c r="N460" s="2">
        <v>0.465008629065434</v>
      </c>
      <c r="O460" s="2">
        <v>33.252610614407203</v>
      </c>
      <c r="P460" s="2">
        <v>71.509663554497394</v>
      </c>
      <c r="Q460" s="2">
        <v>74.525163535546795</v>
      </c>
      <c r="R460" s="2">
        <v>50.305947366641597</v>
      </c>
      <c r="S460" s="2">
        <v>0.30956108501013901</v>
      </c>
      <c r="T460" s="2">
        <v>20699.865858633999</v>
      </c>
      <c r="U460" s="2">
        <v>690</v>
      </c>
      <c r="V460" s="2">
        <v>1732</v>
      </c>
      <c r="W460" s="2">
        <v>2002.0880812232399</v>
      </c>
      <c r="X460" s="2">
        <v>1783018.9617961601</v>
      </c>
      <c r="Y460" s="2">
        <v>143.180589992298</v>
      </c>
      <c r="Z460" s="2">
        <v>913.73191175117699</v>
      </c>
      <c r="AA460" s="2">
        <v>17.315037713454402</v>
      </c>
      <c r="AB460" s="2">
        <v>0.96273954358783698</v>
      </c>
      <c r="AC460" s="2">
        <v>3.0493577001708201</v>
      </c>
      <c r="AD460" s="2">
        <v>3.1363377619069301</v>
      </c>
      <c r="AE460" s="2">
        <v>0.38282215942981901</v>
      </c>
      <c r="AF460" s="2">
        <v>0.29913276384061399</v>
      </c>
      <c r="AG460" s="2">
        <v>0.99733103062948003</v>
      </c>
      <c r="AH460" s="2">
        <v>0.96434260973498998</v>
      </c>
      <c r="AI460" s="2">
        <v>-0.33482852868595497</v>
      </c>
      <c r="AJ460" s="2">
        <v>0.98905631232963298</v>
      </c>
      <c r="AK460" s="2">
        <v>1.43950083630189E-3</v>
      </c>
      <c r="AL460" s="2">
        <v>9.8398875533257204</v>
      </c>
      <c r="AM460" s="2">
        <v>8.8230451461668693</v>
      </c>
      <c r="AN460" s="2">
        <v>7358.4908050674303</v>
      </c>
      <c r="AO460" s="2">
        <v>0.15035739282933</v>
      </c>
      <c r="AP460" s="2">
        <v>857.96824683285695</v>
      </c>
      <c r="AQ460" s="2">
        <v>241.06742181447299</v>
      </c>
      <c r="AR460" s="2">
        <v>1918.93733142624</v>
      </c>
      <c r="AS460" s="2">
        <v>19.383612586841</v>
      </c>
      <c r="AT460" s="2">
        <v>44040.688741315898</v>
      </c>
      <c r="AU460" s="2">
        <v>1.92268852495339E-2</v>
      </c>
      <c r="AV460" s="2">
        <v>1.1571980169363201E-3</v>
      </c>
      <c r="AW460" s="2">
        <v>0.50362242372739696</v>
      </c>
      <c r="AX460" s="2">
        <v>7.8220592532316001E-4</v>
      </c>
      <c r="AY460" s="2">
        <v>3478.1901249315401</v>
      </c>
      <c r="AZ460" s="2">
        <v>0.11876770243034</v>
      </c>
      <c r="BA460" s="2">
        <v>1.61629637600049</v>
      </c>
      <c r="BB460" s="2">
        <v>727</v>
      </c>
    </row>
    <row r="461" spans="1:54" ht="13" x14ac:dyDescent="0.15">
      <c r="A461" s="1" t="s">
        <v>1392</v>
      </c>
      <c r="B461" s="1" t="s">
        <v>1393</v>
      </c>
      <c r="C461" s="1" t="s">
        <v>1394</v>
      </c>
      <c r="D461" s="1" t="s">
        <v>210</v>
      </c>
      <c r="E461" s="2">
        <v>1523</v>
      </c>
      <c r="F461" s="2">
        <v>69570</v>
      </c>
      <c r="G461" s="2">
        <v>10930</v>
      </c>
      <c r="H461" s="2">
        <f t="shared" si="2"/>
        <v>82023</v>
      </c>
      <c r="I461" s="2">
        <v>103193</v>
      </c>
      <c r="J461" s="2">
        <v>1598778</v>
      </c>
      <c r="K461" s="2">
        <f t="shared" si="3"/>
        <v>5.1303558092493144E-2</v>
      </c>
      <c r="M461" s="2">
        <v>0.88899318122515003</v>
      </c>
      <c r="N461" s="2">
        <v>0.60312386808413199</v>
      </c>
      <c r="O461" s="2">
        <v>21.0266640001729</v>
      </c>
      <c r="P461" s="2">
        <v>34.862928020019702</v>
      </c>
      <c r="Q461" s="2">
        <v>31.780497164141401</v>
      </c>
      <c r="R461" s="2">
        <v>30.992905287340701</v>
      </c>
      <c r="S461" s="2">
        <v>0.165871189701639</v>
      </c>
      <c r="T461" s="2">
        <v>3239.7422934361098</v>
      </c>
      <c r="U461" s="2">
        <v>1789</v>
      </c>
      <c r="V461" s="2">
        <v>2339.8000000000002</v>
      </c>
      <c r="W461" s="2">
        <v>1006.33682541031</v>
      </c>
      <c r="X461" s="2">
        <v>212134.65117066199</v>
      </c>
      <c r="Y461" s="2">
        <v>-173.282662906479</v>
      </c>
      <c r="Z461" s="2">
        <v>321.67597442690101</v>
      </c>
      <c r="AA461" s="2">
        <v>20.9335782590937</v>
      </c>
      <c r="AB461" s="2">
        <v>0.87788722623359605</v>
      </c>
      <c r="AC461" s="2">
        <v>3.3316071662510098</v>
      </c>
      <c r="AD461" s="2">
        <v>3.2066444904550102</v>
      </c>
      <c r="AE461" s="2">
        <v>0.368737607499386</v>
      </c>
      <c r="AF461" s="2">
        <v>0.28388820718403801</v>
      </c>
      <c r="AG461" s="2">
        <v>0.99253752682748597</v>
      </c>
      <c r="AH461" s="2">
        <v>0.94256357647898603</v>
      </c>
      <c r="AI461" s="2">
        <v>-0.35608282742224101</v>
      </c>
      <c r="AJ461" s="2">
        <v>0.98574664539082402</v>
      </c>
      <c r="AK461" s="2">
        <v>3.9432657227114502E-3</v>
      </c>
      <c r="AL461" s="2">
        <v>8.3771754165410002</v>
      </c>
      <c r="AM461" s="2">
        <v>6.9222376854735197</v>
      </c>
      <c r="AN461" s="2">
        <v>442.87918581746601</v>
      </c>
      <c r="AO461" s="2">
        <v>0.290793949978638</v>
      </c>
      <c r="AP461" s="2">
        <v>50.247537754432003</v>
      </c>
      <c r="AQ461" s="2">
        <v>73.7566074836745</v>
      </c>
      <c r="AR461" s="2">
        <v>1048.44254760341</v>
      </c>
      <c r="AS461" s="2">
        <v>5.9612606697307999</v>
      </c>
      <c r="AT461" s="2">
        <v>6033.8516086670998</v>
      </c>
      <c r="AU461" s="2">
        <v>9.6154553863053108E-3</v>
      </c>
      <c r="AV461" s="2">
        <v>2.2512794729863598E-3</v>
      </c>
      <c r="AW461" s="2">
        <v>6.9627481950835998E-2</v>
      </c>
      <c r="AX461" s="2">
        <v>9.9595431351660203E-3</v>
      </c>
      <c r="AY461" s="2">
        <v>2015.1091657191801</v>
      </c>
      <c r="AZ461" s="2">
        <v>0.137813540039569</v>
      </c>
      <c r="BA461" s="2">
        <v>8.6276308915079891</v>
      </c>
      <c r="BB461" s="2">
        <v>1048</v>
      </c>
    </row>
    <row r="462" spans="1:54" ht="13" x14ac:dyDescent="0.15">
      <c r="A462" s="1" t="s">
        <v>1395</v>
      </c>
      <c r="B462" s="1" t="s">
        <v>1396</v>
      </c>
      <c r="C462" s="1" t="s">
        <v>1397</v>
      </c>
      <c r="D462" s="1" t="s">
        <v>210</v>
      </c>
      <c r="E462" s="2">
        <v>37590</v>
      </c>
      <c r="F462" s="2">
        <v>58885</v>
      </c>
      <c r="G462" s="2">
        <v>26259</v>
      </c>
      <c r="H462" s="2">
        <f t="shared" si="2"/>
        <v>122734</v>
      </c>
      <c r="I462" s="2">
        <v>157722</v>
      </c>
      <c r="J462" s="2">
        <v>1345024</v>
      </c>
      <c r="K462" s="2">
        <f t="shared" si="3"/>
        <v>9.1250416349448041E-2</v>
      </c>
      <c r="M462" s="2">
        <v>0.94302788707162499</v>
      </c>
      <c r="N462" s="2">
        <v>0.87814705053860898</v>
      </c>
      <c r="O462" s="2">
        <v>38.621901358564003</v>
      </c>
      <c r="P462" s="2">
        <v>43.981132015276202</v>
      </c>
      <c r="Q462" s="2">
        <v>57.801384066473702</v>
      </c>
      <c r="R462" s="2">
        <v>41.475433995384101</v>
      </c>
      <c r="S462" s="2">
        <v>0.31072449306784999</v>
      </c>
      <c r="T462" s="2">
        <v>17286.283342596998</v>
      </c>
      <c r="U462" s="2">
        <v>765</v>
      </c>
      <c r="V462" s="2">
        <v>1165</v>
      </c>
      <c r="W462" s="2">
        <v>929.12585290345999</v>
      </c>
      <c r="X462" s="2">
        <v>78504.692833654903</v>
      </c>
      <c r="Y462" s="2">
        <v>-1768.62040951839</v>
      </c>
      <c r="Z462" s="2">
        <v>137.137872440477</v>
      </c>
      <c r="AA462" s="2">
        <v>4.25380416356324</v>
      </c>
      <c r="AB462" s="2">
        <v>0.93930142132206396</v>
      </c>
      <c r="AC462" s="2">
        <v>1.46241819885139</v>
      </c>
      <c r="AD462" s="2">
        <v>2.26024400107281</v>
      </c>
      <c r="AE462" s="2">
        <v>0.54585256307674801</v>
      </c>
      <c r="AF462" s="2">
        <v>0.49515127069246301</v>
      </c>
      <c r="AG462" s="2">
        <v>0.99761833683211398</v>
      </c>
      <c r="AH462" s="2">
        <v>0.96738123923504504</v>
      </c>
      <c r="AI462" s="2">
        <v>-0.350284641953021</v>
      </c>
      <c r="AJ462" s="2">
        <v>0.97467333042135496</v>
      </c>
      <c r="AK462" s="2">
        <v>1.07342862884844E-2</v>
      </c>
      <c r="AL462" s="2">
        <v>7.30642797967141</v>
      </c>
      <c r="AM462" s="2">
        <v>8.1745426291879806</v>
      </c>
      <c r="AN462" s="2">
        <v>2947.4428837456799</v>
      </c>
      <c r="AO462" s="2">
        <v>7.8410292198608095E-2</v>
      </c>
      <c r="AP462" s="2">
        <v>1965.10502793296</v>
      </c>
      <c r="AQ462" s="2">
        <v>40.001633397572199</v>
      </c>
      <c r="AR462" s="2">
        <v>893.91295557329101</v>
      </c>
      <c r="AS462" s="2">
        <v>63.214737962224</v>
      </c>
      <c r="AT462" s="2">
        <v>67360.096940675707</v>
      </c>
      <c r="AU462" s="2">
        <v>6.80070054409362E-2</v>
      </c>
      <c r="AV462" s="2">
        <v>1.6277146723330999E-3</v>
      </c>
      <c r="AW462" s="2">
        <v>0.946143267023417</v>
      </c>
      <c r="AX462" s="2">
        <v>6.73505869364487E-4</v>
      </c>
      <c r="AY462" s="2">
        <v>704.51121196186102</v>
      </c>
      <c r="AZ462" s="2">
        <v>3.8796239450393198E-2</v>
      </c>
      <c r="BA462" s="2">
        <v>0.65976026404222499</v>
      </c>
      <c r="BB462" s="2">
        <v>567</v>
      </c>
    </row>
    <row r="463" spans="1:54" ht="13" x14ac:dyDescent="0.15">
      <c r="A463" s="1"/>
      <c r="B463" s="1"/>
      <c r="C463" s="1"/>
      <c r="D463" s="1"/>
    </row>
    <row r="464" spans="1:54" ht="13" x14ac:dyDescent="0.15">
      <c r="A464" s="1"/>
      <c r="B464" s="1"/>
      <c r="C464" s="1"/>
      <c r="D464" s="1"/>
    </row>
    <row r="465" spans="1:4" ht="13" x14ac:dyDescent="0.15">
      <c r="A465" s="1"/>
      <c r="B465" s="1"/>
      <c r="C465" s="5"/>
      <c r="D465" s="1"/>
    </row>
    <row r="466" spans="1:4" ht="13" x14ac:dyDescent="0.15">
      <c r="A466" s="1"/>
      <c r="B466" s="1"/>
      <c r="C466" s="1"/>
      <c r="D466" s="1"/>
    </row>
    <row r="467" spans="1:4" ht="13" x14ac:dyDescent="0.15">
      <c r="A467" s="1"/>
      <c r="B467" s="1"/>
      <c r="C467" s="1"/>
      <c r="D467" s="1"/>
    </row>
    <row r="468" spans="1:4" ht="13" x14ac:dyDescent="0.15">
      <c r="A468" s="1"/>
      <c r="B468" s="1"/>
      <c r="C468" s="1"/>
      <c r="D468" s="1"/>
    </row>
    <row r="469" spans="1:4" ht="13" x14ac:dyDescent="0.15">
      <c r="A469" s="1"/>
      <c r="B469" s="1"/>
      <c r="C469" s="1"/>
      <c r="D469" s="1"/>
    </row>
    <row r="470" spans="1:4" ht="13" x14ac:dyDescent="0.15">
      <c r="A470" s="1"/>
      <c r="B470" s="1"/>
      <c r="C470" s="1"/>
      <c r="D470" s="1"/>
    </row>
    <row r="471" spans="1:4" ht="13" x14ac:dyDescent="0.15">
      <c r="A471" s="1"/>
      <c r="B471" s="1"/>
      <c r="C471" s="1"/>
      <c r="D471" s="1"/>
    </row>
    <row r="472" spans="1:4" ht="13" x14ac:dyDescent="0.15">
      <c r="A472" s="1"/>
      <c r="B472" s="1"/>
      <c r="C472" s="1"/>
      <c r="D472" s="1"/>
    </row>
    <row r="473" spans="1:4" ht="13" x14ac:dyDescent="0.15">
      <c r="A473" s="1"/>
      <c r="B473" s="1"/>
      <c r="C473" s="1"/>
      <c r="D473" s="1"/>
    </row>
    <row r="474" spans="1:4" ht="13" x14ac:dyDescent="0.15">
      <c r="A474" s="1"/>
      <c r="B474" s="1"/>
      <c r="C474" s="1"/>
      <c r="D474"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T462"/>
  <sheetViews>
    <sheetView zoomScale="254" workbookViewId="0">
      <pane xSplit="6" topLeftCell="G1" activePane="topRight" state="frozen"/>
      <selection pane="topRight" activeCell="H2" sqref="H2"/>
    </sheetView>
  </sheetViews>
  <sheetFormatPr baseColWidth="10" defaultColWidth="12.6640625" defaultRowHeight="15.75" customHeight="1" x14ac:dyDescent="0.15"/>
  <cols>
    <col min="1" max="1" width="21.33203125" customWidth="1"/>
    <col min="2" max="2" width="14.83203125" customWidth="1"/>
    <col min="3" max="3" width="19.6640625" customWidth="1"/>
    <col min="4" max="4" width="18.6640625" customWidth="1"/>
    <col min="5" max="5" width="10.83203125" customWidth="1"/>
    <col min="6" max="6" width="3.6640625" customWidth="1"/>
    <col min="7" max="7" width="10.5" customWidth="1"/>
    <col min="8" max="8" width="8.6640625" customWidth="1"/>
    <col min="9" max="9" width="11.1640625" customWidth="1"/>
    <col min="10" max="10" width="14.1640625" customWidth="1"/>
    <col min="11" max="11" width="12" customWidth="1"/>
    <col min="12" max="13" width="14.1640625" customWidth="1"/>
    <col min="14" max="14" width="11.1640625" customWidth="1"/>
    <col min="15" max="15" width="8.33203125" customWidth="1"/>
    <col min="16" max="16" width="9.33203125" customWidth="1"/>
    <col min="17" max="17" width="10.33203125" customWidth="1"/>
    <col min="18" max="18" width="14.6640625" customWidth="1"/>
    <col min="19" max="19" width="15.6640625" customWidth="1"/>
    <col min="20" max="20" width="14.1640625" customWidth="1"/>
  </cols>
  <sheetData>
    <row r="1" spans="1:20" ht="15.75" customHeight="1" x14ac:dyDescent="0.15">
      <c r="A1" s="1" t="s">
        <v>0</v>
      </c>
      <c r="B1" s="1" t="s">
        <v>1</v>
      </c>
      <c r="C1" s="1" t="s">
        <v>2</v>
      </c>
      <c r="D1" s="1" t="s">
        <v>3</v>
      </c>
      <c r="E1" s="42" t="s">
        <v>1431</v>
      </c>
      <c r="F1" s="1" t="s">
        <v>1440</v>
      </c>
      <c r="G1" s="1" t="s">
        <v>1433</v>
      </c>
      <c r="H1" s="1" t="s">
        <v>1441</v>
      </c>
      <c r="I1" s="1" t="s">
        <v>1469</v>
      </c>
      <c r="J1" s="1" t="s">
        <v>1437</v>
      </c>
      <c r="K1" s="1" t="s">
        <v>1446</v>
      </c>
      <c r="L1" s="1" t="s">
        <v>1470</v>
      </c>
      <c r="M1" s="1" t="s">
        <v>1471</v>
      </c>
      <c r="N1" s="1" t="s">
        <v>1472</v>
      </c>
      <c r="O1" s="1" t="s">
        <v>1473</v>
      </c>
      <c r="P1" s="1" t="s">
        <v>1474</v>
      </c>
      <c r="Q1" s="1" t="s">
        <v>1475</v>
      </c>
      <c r="R1" s="1" t="s">
        <v>1476</v>
      </c>
      <c r="S1" s="1" t="s">
        <v>1477</v>
      </c>
      <c r="T1" s="1" t="s">
        <v>1478</v>
      </c>
    </row>
    <row r="2" spans="1:20" ht="15" x14ac:dyDescent="0.2">
      <c r="A2" s="3" t="s">
        <v>11</v>
      </c>
      <c r="B2" s="1" t="s">
        <v>12</v>
      </c>
      <c r="C2" s="4" t="s">
        <v>13</v>
      </c>
      <c r="D2" s="1" t="s">
        <v>14</v>
      </c>
      <c r="E2" s="1">
        <v>38</v>
      </c>
      <c r="F2" s="1">
        <v>1</v>
      </c>
      <c r="G2" s="5">
        <v>1</v>
      </c>
      <c r="H2" s="1">
        <v>0</v>
      </c>
      <c r="I2" s="1">
        <v>224</v>
      </c>
      <c r="J2" s="1">
        <v>1</v>
      </c>
      <c r="K2" s="1">
        <v>0</v>
      </c>
      <c r="L2" s="1"/>
      <c r="M2" s="1"/>
      <c r="N2" s="1"/>
      <c r="O2" s="1"/>
      <c r="P2" s="1"/>
      <c r="Q2" s="1"/>
      <c r="R2" s="1"/>
      <c r="S2" s="1"/>
      <c r="T2" s="1"/>
    </row>
    <row r="3" spans="1:20" ht="15" x14ac:dyDescent="0.2">
      <c r="A3" s="3" t="s">
        <v>15</v>
      </c>
      <c r="B3" s="1" t="s">
        <v>16</v>
      </c>
      <c r="C3" s="4" t="s">
        <v>17</v>
      </c>
      <c r="D3" s="1" t="s">
        <v>14</v>
      </c>
      <c r="E3" s="1">
        <v>64</v>
      </c>
      <c r="F3" s="1">
        <v>2</v>
      </c>
      <c r="G3" s="5">
        <v>1</v>
      </c>
      <c r="H3" s="1">
        <v>0</v>
      </c>
      <c r="I3" s="1">
        <v>313</v>
      </c>
      <c r="J3" s="1">
        <v>1</v>
      </c>
      <c r="K3" s="1">
        <v>1</v>
      </c>
      <c r="L3" s="1"/>
      <c r="M3" s="1"/>
      <c r="N3" s="1"/>
      <c r="O3" s="1"/>
      <c r="P3" s="1"/>
      <c r="Q3" s="1"/>
      <c r="R3" s="1"/>
      <c r="S3" s="1"/>
      <c r="T3" s="1"/>
    </row>
    <row r="4" spans="1:20" ht="15" x14ac:dyDescent="0.2">
      <c r="A4" s="3" t="s">
        <v>18</v>
      </c>
      <c r="B4" s="1" t="s">
        <v>19</v>
      </c>
      <c r="C4" s="4" t="s">
        <v>20</v>
      </c>
      <c r="D4" s="1" t="s">
        <v>14</v>
      </c>
      <c r="E4" s="1">
        <v>54</v>
      </c>
      <c r="F4" s="1">
        <v>1</v>
      </c>
      <c r="G4" s="5">
        <v>0</v>
      </c>
      <c r="H4" s="1">
        <v>0</v>
      </c>
      <c r="I4" s="1">
        <v>241</v>
      </c>
      <c r="J4" s="1">
        <v>1</v>
      </c>
      <c r="K4" s="1">
        <v>1</v>
      </c>
      <c r="L4" s="1"/>
      <c r="M4" s="1"/>
      <c r="N4" s="1"/>
      <c r="O4" s="1"/>
      <c r="P4" s="1"/>
      <c r="Q4" s="1"/>
      <c r="R4" s="1"/>
      <c r="S4" s="1"/>
      <c r="T4" s="1"/>
    </row>
    <row r="5" spans="1:20" ht="15" x14ac:dyDescent="0.2">
      <c r="A5" s="3" t="s">
        <v>21</v>
      </c>
      <c r="B5" s="1" t="s">
        <v>22</v>
      </c>
      <c r="C5" s="4" t="s">
        <v>23</v>
      </c>
      <c r="D5" s="1" t="s">
        <v>14</v>
      </c>
      <c r="E5" s="1">
        <v>49</v>
      </c>
      <c r="F5" s="1">
        <v>1</v>
      </c>
      <c r="G5" s="5">
        <v>1</v>
      </c>
      <c r="H5" s="1">
        <v>1</v>
      </c>
      <c r="I5" s="1">
        <v>1650</v>
      </c>
      <c r="J5" s="1">
        <v>1</v>
      </c>
      <c r="K5" s="1">
        <v>0</v>
      </c>
      <c r="L5" s="1"/>
      <c r="M5" s="1"/>
      <c r="N5" s="1"/>
      <c r="O5" s="1"/>
      <c r="P5" s="1"/>
      <c r="Q5" s="1"/>
      <c r="R5" s="1"/>
      <c r="S5" s="1"/>
      <c r="T5" s="1"/>
    </row>
    <row r="6" spans="1:20" ht="15" x14ac:dyDescent="0.2">
      <c r="A6" s="3" t="s">
        <v>24</v>
      </c>
      <c r="B6" s="1" t="s">
        <v>25</v>
      </c>
      <c r="C6" s="4" t="s">
        <v>26</v>
      </c>
      <c r="D6" s="1" t="s">
        <v>14</v>
      </c>
      <c r="E6" s="1">
        <v>37</v>
      </c>
      <c r="F6" s="1">
        <v>2</v>
      </c>
      <c r="G6" s="5">
        <v>1</v>
      </c>
      <c r="H6" s="1">
        <v>0</v>
      </c>
      <c r="I6" s="1">
        <v>1611</v>
      </c>
      <c r="J6" s="1">
        <v>0</v>
      </c>
      <c r="K6" s="1">
        <v>0</v>
      </c>
      <c r="L6" s="1"/>
      <c r="M6" s="1"/>
      <c r="N6" s="1"/>
      <c r="O6" s="1"/>
      <c r="P6" s="1"/>
      <c r="Q6" s="1"/>
      <c r="R6" s="1"/>
      <c r="S6" s="1"/>
      <c r="T6" s="1"/>
    </row>
    <row r="7" spans="1:20" ht="15" x14ac:dyDescent="0.2">
      <c r="A7" s="3" t="s">
        <v>27</v>
      </c>
      <c r="B7" s="1" t="s">
        <v>28</v>
      </c>
      <c r="C7" s="4" t="s">
        <v>29</v>
      </c>
      <c r="D7" s="1" t="s">
        <v>14</v>
      </c>
      <c r="E7" s="1">
        <v>60</v>
      </c>
      <c r="F7" s="1">
        <v>2</v>
      </c>
      <c r="G7" s="5">
        <v>1</v>
      </c>
      <c r="H7" s="1">
        <v>0</v>
      </c>
      <c r="I7" s="1">
        <v>1797</v>
      </c>
      <c r="J7" s="1">
        <v>0</v>
      </c>
      <c r="K7" s="1">
        <v>0</v>
      </c>
      <c r="L7" s="1"/>
      <c r="M7" s="1"/>
      <c r="N7" s="1"/>
      <c r="O7" s="1"/>
      <c r="P7" s="1"/>
      <c r="Q7" s="1"/>
      <c r="R7" s="1"/>
      <c r="S7" s="1"/>
      <c r="T7" s="1"/>
    </row>
    <row r="8" spans="1:20" ht="15" x14ac:dyDescent="0.2">
      <c r="A8" s="3" t="s">
        <v>30</v>
      </c>
      <c r="B8" s="1" t="s">
        <v>31</v>
      </c>
      <c r="C8" s="4" t="s">
        <v>32</v>
      </c>
      <c r="D8" s="1" t="s">
        <v>14</v>
      </c>
      <c r="E8" s="1">
        <v>52</v>
      </c>
      <c r="F8" s="1">
        <v>2</v>
      </c>
      <c r="G8" s="5">
        <v>0</v>
      </c>
      <c r="H8" s="1">
        <v>0</v>
      </c>
      <c r="I8" s="1">
        <v>567</v>
      </c>
      <c r="J8" s="1">
        <v>0</v>
      </c>
      <c r="K8" s="1">
        <v>1</v>
      </c>
      <c r="L8" s="1"/>
      <c r="M8" s="1"/>
      <c r="N8" s="1"/>
      <c r="O8" s="1"/>
      <c r="P8" s="1"/>
      <c r="Q8" s="1"/>
      <c r="R8" s="1"/>
      <c r="S8" s="1"/>
      <c r="T8" s="1"/>
    </row>
    <row r="9" spans="1:20" ht="15" x14ac:dyDescent="0.2">
      <c r="A9" s="3" t="s">
        <v>33</v>
      </c>
      <c r="B9" s="1" t="s">
        <v>34</v>
      </c>
      <c r="C9" s="4" t="s">
        <v>35</v>
      </c>
      <c r="D9" s="1" t="s">
        <v>14</v>
      </c>
      <c r="E9" s="1">
        <v>69</v>
      </c>
      <c r="F9" s="1">
        <v>2</v>
      </c>
      <c r="G9" s="5">
        <v>1</v>
      </c>
      <c r="H9" s="1">
        <v>0</v>
      </c>
      <c r="I9" s="1">
        <v>1328</v>
      </c>
      <c r="J9" s="1">
        <v>0</v>
      </c>
      <c r="K9" s="1">
        <v>0</v>
      </c>
      <c r="L9" s="1"/>
      <c r="M9" s="1"/>
      <c r="N9" s="1"/>
      <c r="O9" s="1"/>
      <c r="P9" s="1"/>
      <c r="Q9" s="1"/>
      <c r="R9" s="1"/>
      <c r="S9" s="1"/>
      <c r="T9" s="1"/>
    </row>
    <row r="10" spans="1:20" ht="15" x14ac:dyDescent="0.2">
      <c r="A10" s="3" t="s">
        <v>36</v>
      </c>
      <c r="B10" s="1" t="s">
        <v>37</v>
      </c>
      <c r="C10" s="4" t="s">
        <v>38</v>
      </c>
      <c r="D10" s="1" t="s">
        <v>14</v>
      </c>
      <c r="E10" s="1">
        <v>46</v>
      </c>
      <c r="F10" s="1">
        <v>2</v>
      </c>
      <c r="G10" s="5">
        <v>1</v>
      </c>
      <c r="H10" s="1">
        <v>1</v>
      </c>
      <c r="I10" s="1">
        <v>1907</v>
      </c>
      <c r="J10" s="1">
        <v>1</v>
      </c>
      <c r="K10" s="1">
        <v>0</v>
      </c>
      <c r="L10" s="1"/>
      <c r="M10" s="1"/>
      <c r="N10" s="1"/>
      <c r="O10" s="1"/>
      <c r="P10" s="1"/>
      <c r="Q10" s="1"/>
      <c r="R10" s="1"/>
      <c r="S10" s="1"/>
      <c r="T10" s="1"/>
    </row>
    <row r="11" spans="1:20" ht="15" x14ac:dyDescent="0.2">
      <c r="A11" s="3" t="s">
        <v>39</v>
      </c>
      <c r="B11" s="1" t="s">
        <v>40</v>
      </c>
      <c r="C11" s="4" t="s">
        <v>41</v>
      </c>
      <c r="D11" s="1" t="s">
        <v>14</v>
      </c>
      <c r="E11" s="1">
        <v>51</v>
      </c>
      <c r="F11" s="1">
        <v>2</v>
      </c>
      <c r="G11" s="5">
        <v>1</v>
      </c>
      <c r="H11" s="1">
        <v>0</v>
      </c>
      <c r="I11" s="1">
        <v>351</v>
      </c>
      <c r="J11" s="1">
        <v>0</v>
      </c>
      <c r="K11" s="1">
        <v>1</v>
      </c>
      <c r="L11" s="1"/>
      <c r="M11" s="1"/>
      <c r="N11" s="1"/>
      <c r="O11" s="1"/>
      <c r="P11" s="1"/>
      <c r="Q11" s="1"/>
      <c r="R11" s="1"/>
      <c r="S11" s="1"/>
      <c r="T11" s="1"/>
    </row>
    <row r="12" spans="1:20" ht="15" x14ac:dyDescent="0.2">
      <c r="A12" s="3" t="s">
        <v>42</v>
      </c>
      <c r="B12" s="1" t="s">
        <v>43</v>
      </c>
      <c r="C12" s="4" t="s">
        <v>44</v>
      </c>
      <c r="D12" s="1" t="s">
        <v>14</v>
      </c>
      <c r="E12" s="1">
        <v>54</v>
      </c>
      <c r="F12" s="1">
        <v>2</v>
      </c>
      <c r="G12" s="5">
        <v>0</v>
      </c>
      <c r="H12" s="1">
        <v>0</v>
      </c>
      <c r="I12" s="1">
        <v>298</v>
      </c>
      <c r="J12" s="1">
        <v>1</v>
      </c>
      <c r="K12" s="1">
        <v>1</v>
      </c>
      <c r="L12" s="1"/>
      <c r="M12" s="1"/>
      <c r="N12" s="1"/>
      <c r="O12" s="1"/>
      <c r="P12" s="1"/>
      <c r="Q12" s="1"/>
      <c r="R12" s="1"/>
      <c r="S12" s="1"/>
      <c r="T12" s="1"/>
    </row>
    <row r="13" spans="1:20" ht="15" x14ac:dyDescent="0.2">
      <c r="A13" s="3" t="s">
        <v>45</v>
      </c>
      <c r="B13" s="1" t="s">
        <v>46</v>
      </c>
      <c r="C13" s="4" t="s">
        <v>47</v>
      </c>
      <c r="D13" s="1" t="s">
        <v>14</v>
      </c>
      <c r="E13" s="1">
        <v>77</v>
      </c>
      <c r="F13" s="1">
        <v>1</v>
      </c>
      <c r="G13" s="5">
        <v>0</v>
      </c>
      <c r="H13" s="1">
        <v>0</v>
      </c>
      <c r="I13" s="1">
        <v>232</v>
      </c>
      <c r="J13" s="1">
        <v>0</v>
      </c>
      <c r="K13" s="1">
        <v>0</v>
      </c>
      <c r="L13" s="1"/>
      <c r="M13" s="1"/>
      <c r="N13" s="1"/>
      <c r="O13" s="1"/>
      <c r="P13" s="1"/>
      <c r="Q13" s="1"/>
      <c r="R13" s="1"/>
      <c r="S13" s="1"/>
      <c r="T13" s="1"/>
    </row>
    <row r="14" spans="1:20" ht="15" x14ac:dyDescent="0.2">
      <c r="A14" s="3" t="s">
        <v>48</v>
      </c>
      <c r="B14" s="1" t="s">
        <v>49</v>
      </c>
      <c r="C14" s="4" t="s">
        <v>50</v>
      </c>
      <c r="D14" s="1" t="s">
        <v>14</v>
      </c>
      <c r="E14" s="1">
        <v>64</v>
      </c>
      <c r="F14" s="1">
        <v>2</v>
      </c>
      <c r="G14" s="5">
        <v>0</v>
      </c>
      <c r="H14" s="1">
        <v>0</v>
      </c>
      <c r="I14" s="1">
        <v>575</v>
      </c>
      <c r="J14" s="1">
        <v>0</v>
      </c>
      <c r="K14" s="1">
        <v>0</v>
      </c>
      <c r="L14" s="1"/>
      <c r="M14" s="1"/>
      <c r="N14" s="1"/>
      <c r="O14" s="1"/>
      <c r="P14" s="1"/>
      <c r="Q14" s="1"/>
      <c r="R14" s="1"/>
      <c r="S14" s="1"/>
      <c r="T14" s="1"/>
    </row>
    <row r="15" spans="1:20" ht="15" x14ac:dyDescent="0.2">
      <c r="A15" s="3" t="s">
        <v>51</v>
      </c>
      <c r="B15" s="1" t="s">
        <v>52</v>
      </c>
      <c r="C15" s="4" t="s">
        <v>53</v>
      </c>
      <c r="D15" s="1" t="s">
        <v>14</v>
      </c>
      <c r="E15" s="1">
        <v>61</v>
      </c>
      <c r="F15" s="1">
        <v>1</v>
      </c>
      <c r="G15" s="5">
        <v>0</v>
      </c>
      <c r="H15" s="1">
        <v>0</v>
      </c>
      <c r="I15" s="1">
        <v>39</v>
      </c>
      <c r="J15" s="1">
        <v>1</v>
      </c>
      <c r="K15" s="1">
        <v>1</v>
      </c>
      <c r="L15" s="1"/>
      <c r="M15" s="1"/>
      <c r="N15" s="1"/>
      <c r="O15" s="1"/>
      <c r="P15" s="1"/>
      <c r="Q15" s="1"/>
      <c r="R15" s="1"/>
      <c r="S15" s="1"/>
      <c r="T15" s="1"/>
    </row>
    <row r="16" spans="1:20" ht="15" x14ac:dyDescent="0.2">
      <c r="A16" s="3" t="s">
        <v>54</v>
      </c>
      <c r="B16" s="1" t="s">
        <v>55</v>
      </c>
      <c r="C16" s="4" t="s">
        <v>56</v>
      </c>
      <c r="D16" s="1" t="s">
        <v>14</v>
      </c>
      <c r="E16" s="1">
        <v>79</v>
      </c>
      <c r="F16" s="1">
        <v>1</v>
      </c>
      <c r="G16" s="5">
        <v>1</v>
      </c>
      <c r="H16" s="1">
        <v>0</v>
      </c>
      <c r="I16" s="1">
        <v>994</v>
      </c>
      <c r="J16" s="1">
        <v>0</v>
      </c>
      <c r="K16" s="1">
        <v>1</v>
      </c>
      <c r="L16" s="1"/>
      <c r="M16" s="1"/>
      <c r="N16" s="1"/>
      <c r="O16" s="1"/>
      <c r="P16" s="1"/>
      <c r="Q16" s="1"/>
      <c r="R16" s="1"/>
      <c r="S16" s="1"/>
      <c r="T16" s="1"/>
    </row>
    <row r="17" spans="1:20" ht="15" x14ac:dyDescent="0.2">
      <c r="A17" s="3" t="s">
        <v>57</v>
      </c>
      <c r="B17" s="1" t="s">
        <v>58</v>
      </c>
      <c r="C17" s="4" t="s">
        <v>59</v>
      </c>
      <c r="D17" s="1" t="s">
        <v>14</v>
      </c>
      <c r="E17" s="1">
        <v>50</v>
      </c>
      <c r="F17" s="1">
        <v>1</v>
      </c>
      <c r="G17" s="5">
        <v>0</v>
      </c>
      <c r="H17" s="1">
        <v>0</v>
      </c>
      <c r="I17" s="1">
        <v>54</v>
      </c>
      <c r="J17" s="1">
        <v>1</v>
      </c>
      <c r="K17" s="1">
        <v>1</v>
      </c>
      <c r="L17" s="1"/>
      <c r="M17" s="1"/>
      <c r="N17" s="1"/>
      <c r="O17" s="1"/>
      <c r="P17" s="1"/>
      <c r="Q17" s="1"/>
      <c r="R17" s="1"/>
      <c r="S17" s="1"/>
      <c r="T17" s="1"/>
    </row>
    <row r="18" spans="1:20" ht="15" x14ac:dyDescent="0.2">
      <c r="A18" s="3" t="s">
        <v>60</v>
      </c>
      <c r="B18" s="1" t="s">
        <v>61</v>
      </c>
      <c r="C18" s="4" t="s">
        <v>62</v>
      </c>
      <c r="D18" s="1" t="s">
        <v>14</v>
      </c>
      <c r="E18" s="1">
        <v>69</v>
      </c>
      <c r="F18" s="1">
        <v>2</v>
      </c>
      <c r="G18" s="5">
        <v>0</v>
      </c>
      <c r="H18" s="1">
        <v>0</v>
      </c>
      <c r="I18" s="1">
        <v>110</v>
      </c>
      <c r="J18" s="1">
        <v>1</v>
      </c>
      <c r="K18" s="1">
        <v>1</v>
      </c>
      <c r="L18" s="1"/>
      <c r="M18" s="1"/>
      <c r="N18" s="1"/>
      <c r="O18" s="1"/>
      <c r="P18" s="1"/>
      <c r="Q18" s="1"/>
      <c r="R18" s="1"/>
      <c r="S18" s="1"/>
      <c r="T18" s="1"/>
    </row>
    <row r="19" spans="1:20" ht="15" x14ac:dyDescent="0.2">
      <c r="A19" s="3" t="s">
        <v>63</v>
      </c>
      <c r="B19" s="1" t="s">
        <v>64</v>
      </c>
      <c r="C19" s="4" t="s">
        <v>65</v>
      </c>
      <c r="D19" s="1" t="s">
        <v>14</v>
      </c>
      <c r="E19" s="1">
        <v>53</v>
      </c>
      <c r="F19" s="1">
        <v>1</v>
      </c>
      <c r="G19" s="5">
        <v>0</v>
      </c>
      <c r="H19" s="1">
        <v>0</v>
      </c>
      <c r="I19" s="1">
        <v>134</v>
      </c>
      <c r="J19" s="1">
        <v>0</v>
      </c>
      <c r="K19" s="1">
        <v>0</v>
      </c>
      <c r="L19" s="1"/>
      <c r="M19" s="1"/>
      <c r="N19" s="1"/>
      <c r="O19" s="1"/>
      <c r="P19" s="1"/>
      <c r="Q19" s="1"/>
      <c r="R19" s="1"/>
      <c r="S19" s="1"/>
      <c r="T19" s="1"/>
    </row>
    <row r="20" spans="1:20" ht="15" x14ac:dyDescent="0.2">
      <c r="A20" s="3" t="s">
        <v>66</v>
      </c>
      <c r="B20" s="1" t="s">
        <v>67</v>
      </c>
      <c r="C20" s="4" t="s">
        <v>68</v>
      </c>
      <c r="D20" s="1" t="s">
        <v>14</v>
      </c>
      <c r="E20" s="1">
        <v>52</v>
      </c>
      <c r="F20" s="1">
        <v>1</v>
      </c>
      <c r="G20" s="5">
        <v>1</v>
      </c>
      <c r="H20" s="1">
        <v>0</v>
      </c>
      <c r="I20" s="1">
        <v>1673</v>
      </c>
      <c r="J20" s="1">
        <v>0</v>
      </c>
      <c r="K20" s="1">
        <v>0</v>
      </c>
      <c r="L20" s="1"/>
      <c r="M20" s="1"/>
      <c r="N20" s="1"/>
      <c r="O20" s="1"/>
      <c r="P20" s="1"/>
      <c r="Q20" s="1"/>
      <c r="R20" s="1"/>
      <c r="S20" s="1"/>
      <c r="T20" s="1"/>
    </row>
    <row r="21" spans="1:20" ht="15" x14ac:dyDescent="0.2">
      <c r="A21" s="3" t="s">
        <v>69</v>
      </c>
      <c r="B21" s="1" t="s">
        <v>70</v>
      </c>
      <c r="C21" s="4" t="s">
        <v>71</v>
      </c>
      <c r="D21" s="1" t="s">
        <v>14</v>
      </c>
      <c r="E21" s="1">
        <v>74</v>
      </c>
      <c r="F21" s="1">
        <v>1</v>
      </c>
      <c r="G21" s="5">
        <v>1</v>
      </c>
      <c r="H21" s="1">
        <v>0</v>
      </c>
      <c r="I21" s="1">
        <v>54</v>
      </c>
      <c r="J21" s="1">
        <v>1</v>
      </c>
      <c r="K21" s="1">
        <v>1</v>
      </c>
      <c r="L21" s="1"/>
      <c r="M21" s="1" t="s">
        <v>1479</v>
      </c>
      <c r="N21" s="1"/>
      <c r="O21" s="1"/>
      <c r="P21" s="1"/>
      <c r="Q21" s="1"/>
      <c r="R21" s="1"/>
      <c r="S21" s="1"/>
      <c r="T21" s="1"/>
    </row>
    <row r="22" spans="1:20" ht="15" x14ac:dyDescent="0.2">
      <c r="A22" s="3" t="s">
        <v>72</v>
      </c>
      <c r="B22" s="1" t="s">
        <v>73</v>
      </c>
      <c r="C22" s="4" t="s">
        <v>74</v>
      </c>
      <c r="D22" s="1" t="s">
        <v>14</v>
      </c>
      <c r="E22" s="1">
        <v>48</v>
      </c>
      <c r="F22" s="1">
        <v>1</v>
      </c>
      <c r="G22" s="5">
        <v>1</v>
      </c>
      <c r="H22" s="1">
        <v>0</v>
      </c>
      <c r="I22" s="1">
        <v>472</v>
      </c>
      <c r="J22" s="1">
        <v>0</v>
      </c>
      <c r="K22" s="1">
        <v>1</v>
      </c>
      <c r="L22" s="1"/>
      <c r="M22" s="1"/>
      <c r="N22" s="1"/>
      <c r="O22" s="1"/>
      <c r="P22" s="1"/>
      <c r="Q22" s="1"/>
      <c r="R22" s="1"/>
      <c r="S22" s="1"/>
      <c r="T22" s="1"/>
    </row>
    <row r="23" spans="1:20" ht="15" x14ac:dyDescent="0.2">
      <c r="A23" s="3" t="s">
        <v>75</v>
      </c>
      <c r="B23" s="1" t="s">
        <v>76</v>
      </c>
      <c r="C23" s="4" t="s">
        <v>77</v>
      </c>
      <c r="D23" s="1" t="s">
        <v>14</v>
      </c>
      <c r="E23" s="1">
        <v>48</v>
      </c>
      <c r="F23" s="1">
        <v>1</v>
      </c>
      <c r="G23" s="5">
        <v>0</v>
      </c>
      <c r="H23" s="1">
        <v>0</v>
      </c>
      <c r="I23" s="1">
        <v>178</v>
      </c>
      <c r="J23" s="1">
        <v>1</v>
      </c>
      <c r="K23" s="1">
        <v>1</v>
      </c>
      <c r="L23" s="1"/>
      <c r="M23" s="1"/>
      <c r="N23" s="1"/>
      <c r="O23" s="1"/>
      <c r="P23" s="1"/>
      <c r="Q23" s="1"/>
      <c r="R23" s="1"/>
      <c r="S23" s="1"/>
      <c r="T23" s="1"/>
    </row>
    <row r="24" spans="1:20" ht="15" x14ac:dyDescent="0.2">
      <c r="A24" s="3" t="s">
        <v>78</v>
      </c>
      <c r="B24" s="1" t="s">
        <v>79</v>
      </c>
      <c r="C24" s="4" t="s">
        <v>80</v>
      </c>
      <c r="D24" s="1" t="s">
        <v>14</v>
      </c>
      <c r="E24" s="1">
        <v>56</v>
      </c>
      <c r="F24" s="1">
        <v>1</v>
      </c>
      <c r="G24" s="5">
        <v>1</v>
      </c>
      <c r="H24" s="1">
        <v>0</v>
      </c>
      <c r="I24" s="1">
        <v>287</v>
      </c>
      <c r="J24" s="1">
        <v>1</v>
      </c>
      <c r="K24" s="1">
        <v>1</v>
      </c>
      <c r="L24" s="1"/>
      <c r="M24" s="1"/>
      <c r="N24" s="1"/>
      <c r="O24" s="1"/>
      <c r="P24" s="1"/>
      <c r="Q24" s="1"/>
      <c r="R24" s="1"/>
      <c r="S24" s="1"/>
      <c r="T24" s="1"/>
    </row>
    <row r="25" spans="1:20" ht="15" x14ac:dyDescent="0.2">
      <c r="A25" s="3" t="s">
        <v>81</v>
      </c>
      <c r="B25" s="1" t="s">
        <v>82</v>
      </c>
      <c r="C25" s="4" t="s">
        <v>83</v>
      </c>
      <c r="D25" s="1" t="s">
        <v>14</v>
      </c>
      <c r="E25" s="1">
        <v>49</v>
      </c>
      <c r="F25" s="1">
        <v>1</v>
      </c>
      <c r="G25" s="5">
        <v>0</v>
      </c>
      <c r="H25" s="1">
        <v>0</v>
      </c>
      <c r="I25" s="1">
        <v>551</v>
      </c>
      <c r="J25" s="1">
        <v>0</v>
      </c>
      <c r="K25" s="1">
        <v>0</v>
      </c>
      <c r="L25" s="1"/>
      <c r="M25" s="1"/>
      <c r="N25" s="1"/>
      <c r="O25" s="1"/>
      <c r="P25" s="1"/>
      <c r="Q25" s="1"/>
      <c r="R25" s="1"/>
      <c r="S25" s="1"/>
      <c r="T25" s="1"/>
    </row>
    <row r="26" spans="1:20" ht="15" x14ac:dyDescent="0.2">
      <c r="A26" s="3" t="s">
        <v>84</v>
      </c>
      <c r="B26" s="1" t="s">
        <v>85</v>
      </c>
      <c r="C26" s="4" t="s">
        <v>86</v>
      </c>
      <c r="D26" s="1" t="s">
        <v>14</v>
      </c>
      <c r="E26" s="1">
        <v>29</v>
      </c>
      <c r="F26" s="1">
        <v>1</v>
      </c>
      <c r="G26" s="5">
        <v>1</v>
      </c>
      <c r="H26" s="1">
        <v>1</v>
      </c>
      <c r="I26" s="1">
        <v>1715</v>
      </c>
      <c r="J26" s="1">
        <v>0</v>
      </c>
      <c r="K26" s="1">
        <v>0</v>
      </c>
      <c r="L26" s="1"/>
      <c r="M26" s="1"/>
      <c r="N26" s="1"/>
      <c r="O26" s="1"/>
      <c r="P26" s="1"/>
      <c r="Q26" s="1"/>
      <c r="R26" s="1"/>
      <c r="S26" s="1"/>
      <c r="T26" s="1"/>
    </row>
    <row r="27" spans="1:20" ht="15" x14ac:dyDescent="0.2">
      <c r="A27" s="3" t="s">
        <v>87</v>
      </c>
      <c r="B27" s="1" t="s">
        <v>88</v>
      </c>
      <c r="C27" s="4" t="s">
        <v>89</v>
      </c>
      <c r="D27" s="1" t="s">
        <v>14</v>
      </c>
      <c r="E27" s="1">
        <v>67</v>
      </c>
      <c r="F27" s="1">
        <v>2</v>
      </c>
      <c r="G27" s="5">
        <v>1</v>
      </c>
      <c r="H27" s="1">
        <v>0</v>
      </c>
      <c r="I27" s="1">
        <v>1161</v>
      </c>
      <c r="J27" s="1">
        <v>0</v>
      </c>
      <c r="K27" s="1">
        <v>1</v>
      </c>
      <c r="L27" s="1"/>
      <c r="M27" s="1"/>
      <c r="N27" s="1"/>
      <c r="O27" s="1"/>
      <c r="P27" s="1"/>
      <c r="Q27" s="1"/>
      <c r="R27" s="1"/>
      <c r="S27" s="1"/>
      <c r="T27" s="1"/>
    </row>
    <row r="28" spans="1:20" ht="15" x14ac:dyDescent="0.2">
      <c r="A28" s="3" t="s">
        <v>90</v>
      </c>
      <c r="B28" s="1" t="s">
        <v>91</v>
      </c>
      <c r="C28" s="4" t="s">
        <v>92</v>
      </c>
      <c r="D28" s="1" t="s">
        <v>14</v>
      </c>
      <c r="E28" s="1">
        <v>71</v>
      </c>
      <c r="F28" s="1">
        <v>1</v>
      </c>
      <c r="G28" s="5">
        <v>0</v>
      </c>
      <c r="H28" s="1">
        <v>0</v>
      </c>
      <c r="I28" s="1">
        <v>223</v>
      </c>
      <c r="J28" s="1">
        <v>1</v>
      </c>
      <c r="K28" s="1">
        <v>0</v>
      </c>
      <c r="L28" s="1"/>
      <c r="M28" s="1"/>
      <c r="N28" s="1"/>
      <c r="O28" s="1"/>
      <c r="P28" s="1"/>
      <c r="Q28" s="1"/>
      <c r="R28" s="1"/>
      <c r="S28" s="1"/>
      <c r="T28" s="1"/>
    </row>
    <row r="29" spans="1:20" ht="15" x14ac:dyDescent="0.2">
      <c r="A29" s="3" t="s">
        <v>93</v>
      </c>
      <c r="B29" s="1" t="s">
        <v>94</v>
      </c>
      <c r="C29" s="4" t="s">
        <v>95</v>
      </c>
      <c r="D29" s="1" t="s">
        <v>14</v>
      </c>
      <c r="E29" s="1">
        <v>32</v>
      </c>
      <c r="F29" s="1">
        <v>1</v>
      </c>
      <c r="G29" s="5">
        <v>1</v>
      </c>
      <c r="H29" s="1">
        <v>1</v>
      </c>
      <c r="I29" s="1">
        <v>1718</v>
      </c>
      <c r="J29" s="1">
        <v>0</v>
      </c>
      <c r="K29" s="1">
        <v>0</v>
      </c>
      <c r="L29" s="1"/>
      <c r="M29" s="1"/>
      <c r="N29" s="1"/>
      <c r="O29" s="1"/>
      <c r="P29" s="1"/>
      <c r="Q29" s="1"/>
      <c r="R29" s="1"/>
      <c r="S29" s="1"/>
      <c r="T29" s="1"/>
    </row>
    <row r="30" spans="1:20" ht="15" x14ac:dyDescent="0.2">
      <c r="A30" s="3" t="s">
        <v>96</v>
      </c>
      <c r="B30" s="1" t="s">
        <v>97</v>
      </c>
      <c r="C30" s="4" t="s">
        <v>98</v>
      </c>
      <c r="D30" s="1" t="s">
        <v>14</v>
      </c>
      <c r="E30" s="1">
        <v>58</v>
      </c>
      <c r="F30" s="1">
        <v>1</v>
      </c>
      <c r="G30" s="5">
        <v>0</v>
      </c>
      <c r="H30" s="1">
        <v>0</v>
      </c>
      <c r="I30" s="1">
        <v>635</v>
      </c>
      <c r="J30" s="1">
        <v>0</v>
      </c>
      <c r="K30" s="1">
        <v>1</v>
      </c>
      <c r="L30" s="1"/>
      <c r="M30" s="1"/>
      <c r="N30" s="1"/>
      <c r="O30" s="1"/>
      <c r="P30" s="1"/>
      <c r="Q30" s="1"/>
      <c r="R30" s="1"/>
      <c r="S30" s="1"/>
      <c r="T30" s="1"/>
    </row>
    <row r="31" spans="1:20" ht="15" x14ac:dyDescent="0.2">
      <c r="A31" s="3" t="s">
        <v>99</v>
      </c>
      <c r="B31" s="1" t="s">
        <v>100</v>
      </c>
      <c r="C31" s="4" t="s">
        <v>101</v>
      </c>
      <c r="D31" s="1" t="s">
        <v>14</v>
      </c>
      <c r="E31" s="1">
        <v>60</v>
      </c>
      <c r="F31" s="1">
        <v>1</v>
      </c>
      <c r="G31" s="5">
        <v>0</v>
      </c>
      <c r="H31" s="1">
        <v>0</v>
      </c>
      <c r="I31" s="1">
        <v>902</v>
      </c>
      <c r="J31" s="1">
        <v>0</v>
      </c>
      <c r="K31" s="1">
        <v>0</v>
      </c>
      <c r="L31" s="1"/>
      <c r="M31" s="1"/>
      <c r="N31" s="1"/>
      <c r="O31" s="1"/>
      <c r="P31" s="1"/>
      <c r="Q31" s="1"/>
      <c r="R31" s="1"/>
      <c r="S31" s="1"/>
      <c r="T31" s="1"/>
    </row>
    <row r="32" spans="1:20" ht="15" x14ac:dyDescent="0.2">
      <c r="A32" s="3" t="s">
        <v>102</v>
      </c>
      <c r="B32" s="1" t="s">
        <v>103</v>
      </c>
      <c r="C32" s="4" t="s">
        <v>104</v>
      </c>
      <c r="D32" s="1" t="s">
        <v>14</v>
      </c>
      <c r="E32" s="1">
        <v>62</v>
      </c>
      <c r="F32" s="1">
        <v>2</v>
      </c>
      <c r="G32" s="5">
        <v>1</v>
      </c>
      <c r="H32" s="1">
        <v>0</v>
      </c>
      <c r="I32" s="1">
        <v>777</v>
      </c>
      <c r="J32" s="1">
        <v>1</v>
      </c>
      <c r="K32" s="1">
        <v>1</v>
      </c>
      <c r="L32" s="1"/>
      <c r="M32" s="1"/>
      <c r="N32" s="1"/>
      <c r="O32" s="1"/>
      <c r="P32" s="1"/>
      <c r="Q32" s="1"/>
      <c r="R32" s="1"/>
      <c r="S32" s="1"/>
      <c r="T32" s="1"/>
    </row>
    <row r="33" spans="1:20" ht="15.75" customHeight="1" x14ac:dyDescent="0.15">
      <c r="A33" s="1" t="s">
        <v>105</v>
      </c>
      <c r="B33" s="1" t="s">
        <v>106</v>
      </c>
      <c r="C33" s="4" t="s">
        <v>107</v>
      </c>
      <c r="D33" s="1" t="s">
        <v>14</v>
      </c>
      <c r="E33" s="1">
        <v>37</v>
      </c>
      <c r="F33" s="1">
        <v>1</v>
      </c>
      <c r="G33" s="5">
        <v>1</v>
      </c>
      <c r="H33" s="1">
        <v>0</v>
      </c>
      <c r="I33" s="1">
        <v>554</v>
      </c>
      <c r="J33" s="1">
        <v>0</v>
      </c>
      <c r="K33" s="1">
        <v>1</v>
      </c>
      <c r="L33" s="1"/>
      <c r="M33" s="1"/>
      <c r="N33" s="1"/>
      <c r="O33" s="1"/>
      <c r="P33" s="1"/>
      <c r="Q33" s="1"/>
      <c r="R33" s="1"/>
      <c r="S33" s="1"/>
      <c r="T33" s="1"/>
    </row>
    <row r="34" spans="1:20" ht="15.75" customHeight="1" x14ac:dyDescent="0.15">
      <c r="A34" s="1" t="s">
        <v>108</v>
      </c>
      <c r="B34" s="1" t="s">
        <v>109</v>
      </c>
      <c r="C34" s="4" t="s">
        <v>110</v>
      </c>
      <c r="D34" s="1" t="s">
        <v>14</v>
      </c>
      <c r="E34" s="1">
        <v>68</v>
      </c>
      <c r="F34" s="1">
        <v>2</v>
      </c>
      <c r="G34" s="5">
        <v>0</v>
      </c>
      <c r="H34" s="1">
        <v>0</v>
      </c>
      <c r="I34" s="1">
        <v>389</v>
      </c>
      <c r="J34" s="1">
        <v>1</v>
      </c>
      <c r="K34" s="1">
        <v>1</v>
      </c>
      <c r="L34" s="1"/>
      <c r="M34" s="1"/>
      <c r="N34" s="1"/>
      <c r="O34" s="1"/>
      <c r="P34" s="1"/>
      <c r="Q34" s="1"/>
      <c r="R34" s="1"/>
      <c r="S34" s="1"/>
      <c r="T34" s="1"/>
    </row>
    <row r="35" spans="1:20" ht="15.75" customHeight="1" x14ac:dyDescent="0.15">
      <c r="A35" s="1" t="s">
        <v>111</v>
      </c>
      <c r="B35" s="1" t="s">
        <v>112</v>
      </c>
      <c r="C35" s="4" t="s">
        <v>113</v>
      </c>
      <c r="D35" s="1" t="s">
        <v>14</v>
      </c>
      <c r="E35" s="1">
        <v>66</v>
      </c>
      <c r="F35" s="1">
        <v>1</v>
      </c>
      <c r="G35" s="5">
        <v>1</v>
      </c>
      <c r="H35" s="1">
        <v>0</v>
      </c>
      <c r="I35" s="1">
        <v>678</v>
      </c>
      <c r="J35" s="1">
        <v>1</v>
      </c>
      <c r="K35" s="1">
        <v>1</v>
      </c>
      <c r="L35" s="1"/>
      <c r="M35" s="1"/>
      <c r="N35" s="1"/>
      <c r="O35" s="1"/>
      <c r="P35" s="1"/>
      <c r="Q35" s="1"/>
      <c r="R35" s="1"/>
      <c r="S35" s="1"/>
      <c r="T35" s="1"/>
    </row>
    <row r="36" spans="1:20" ht="15.75" customHeight="1" x14ac:dyDescent="0.15">
      <c r="A36" s="1" t="s">
        <v>114</v>
      </c>
      <c r="B36" s="1" t="s">
        <v>115</v>
      </c>
      <c r="C36" s="4" t="s">
        <v>116</v>
      </c>
      <c r="D36" s="1" t="s">
        <v>14</v>
      </c>
      <c r="E36" s="1">
        <v>52</v>
      </c>
      <c r="F36" s="1">
        <v>1</v>
      </c>
      <c r="G36" s="5">
        <v>0</v>
      </c>
      <c r="H36" s="1">
        <v>0</v>
      </c>
      <c r="I36" s="1">
        <v>70</v>
      </c>
      <c r="J36" s="1">
        <v>1</v>
      </c>
      <c r="K36" s="1">
        <v>1</v>
      </c>
      <c r="L36" s="1"/>
      <c r="M36" s="1"/>
      <c r="N36" s="1"/>
      <c r="O36" s="1"/>
      <c r="P36" s="1"/>
      <c r="Q36" s="1"/>
      <c r="R36" s="1"/>
      <c r="S36" s="1"/>
      <c r="T36" s="1"/>
    </row>
    <row r="37" spans="1:20" ht="15.75" customHeight="1" x14ac:dyDescent="0.15">
      <c r="A37" s="1" t="s">
        <v>117</v>
      </c>
      <c r="B37" s="1" t="s">
        <v>118</v>
      </c>
      <c r="C37" s="4" t="s">
        <v>119</v>
      </c>
      <c r="D37" s="1" t="s">
        <v>14</v>
      </c>
      <c r="E37" s="1">
        <v>57</v>
      </c>
      <c r="F37" s="1">
        <v>2</v>
      </c>
      <c r="G37" s="5">
        <v>1</v>
      </c>
      <c r="H37" s="1">
        <v>0</v>
      </c>
      <c r="I37" s="1">
        <v>14</v>
      </c>
      <c r="J37" s="1">
        <v>1</v>
      </c>
      <c r="K37" s="1">
        <v>0</v>
      </c>
      <c r="L37" s="1"/>
      <c r="M37" s="1"/>
      <c r="N37" s="1"/>
      <c r="O37" s="1"/>
      <c r="P37" s="1"/>
      <c r="Q37" s="1"/>
      <c r="R37" s="1"/>
      <c r="S37" s="1"/>
      <c r="T37" s="1"/>
    </row>
    <row r="38" spans="1:20" ht="15.75" customHeight="1" x14ac:dyDescent="0.15">
      <c r="A38" s="1" t="s">
        <v>120</v>
      </c>
      <c r="B38" s="1" t="s">
        <v>121</v>
      </c>
      <c r="C38" s="4" t="s">
        <v>122</v>
      </c>
      <c r="D38" s="1" t="s">
        <v>14</v>
      </c>
      <c r="E38" s="1">
        <v>65</v>
      </c>
      <c r="F38" s="1">
        <v>2</v>
      </c>
      <c r="G38" s="5">
        <v>1</v>
      </c>
      <c r="H38" s="1">
        <v>0</v>
      </c>
      <c r="I38" s="1">
        <v>322</v>
      </c>
      <c r="J38" s="1">
        <v>1</v>
      </c>
      <c r="K38" s="1">
        <v>1</v>
      </c>
      <c r="L38" s="1"/>
      <c r="M38" s="1"/>
      <c r="N38" s="1"/>
      <c r="O38" s="1"/>
      <c r="P38" s="1"/>
      <c r="Q38" s="1"/>
      <c r="R38" s="1"/>
      <c r="S38" s="1"/>
      <c r="T38" s="1"/>
    </row>
    <row r="39" spans="1:20" ht="15.75" customHeight="1" x14ac:dyDescent="0.15">
      <c r="A39" s="1" t="s">
        <v>123</v>
      </c>
      <c r="B39" s="1" t="s">
        <v>124</v>
      </c>
      <c r="C39" s="4" t="s">
        <v>125</v>
      </c>
      <c r="D39" s="1" t="s">
        <v>14</v>
      </c>
      <c r="E39" s="1">
        <v>58</v>
      </c>
      <c r="F39" s="1">
        <v>2</v>
      </c>
      <c r="G39" s="5">
        <v>1</v>
      </c>
      <c r="H39" s="1">
        <v>0</v>
      </c>
      <c r="I39" s="1">
        <v>1116</v>
      </c>
      <c r="J39" s="1">
        <v>0</v>
      </c>
      <c r="K39" s="1">
        <v>1</v>
      </c>
      <c r="L39" s="1"/>
      <c r="M39" s="1"/>
      <c r="N39" s="1"/>
      <c r="O39" s="1"/>
      <c r="P39" s="1"/>
      <c r="Q39" s="1"/>
      <c r="R39" s="1"/>
      <c r="S39" s="1"/>
      <c r="T39" s="1"/>
    </row>
    <row r="40" spans="1:20" ht="15.75" customHeight="1" x14ac:dyDescent="0.15">
      <c r="A40" s="1" t="s">
        <v>126</v>
      </c>
      <c r="B40" s="1" t="s">
        <v>127</v>
      </c>
      <c r="C40" s="4" t="s">
        <v>128</v>
      </c>
      <c r="D40" s="1" t="s">
        <v>14</v>
      </c>
      <c r="E40" s="1">
        <v>38</v>
      </c>
      <c r="F40" s="1">
        <v>1</v>
      </c>
      <c r="G40" s="5">
        <v>1</v>
      </c>
      <c r="H40" s="1">
        <v>1</v>
      </c>
      <c r="I40" s="1">
        <v>930</v>
      </c>
      <c r="J40" s="1">
        <v>1</v>
      </c>
      <c r="K40" s="1">
        <v>0</v>
      </c>
      <c r="L40" s="1"/>
      <c r="M40" s="1"/>
      <c r="N40" s="1"/>
      <c r="O40" s="1"/>
      <c r="P40" s="1"/>
      <c r="Q40" s="1"/>
      <c r="R40" s="1"/>
      <c r="S40" s="1"/>
      <c r="T40" s="1"/>
    </row>
    <row r="41" spans="1:20" ht="15.75" customHeight="1" x14ac:dyDescent="0.15">
      <c r="A41" s="1" t="s">
        <v>129</v>
      </c>
      <c r="B41" s="1" t="s">
        <v>130</v>
      </c>
      <c r="C41" s="4" t="s">
        <v>131</v>
      </c>
      <c r="D41" s="1" t="s">
        <v>14</v>
      </c>
      <c r="E41" s="1">
        <v>65</v>
      </c>
      <c r="F41" s="1">
        <v>1</v>
      </c>
      <c r="G41" s="5">
        <v>1</v>
      </c>
      <c r="H41" s="1">
        <v>0</v>
      </c>
      <c r="I41" s="1">
        <v>749</v>
      </c>
      <c r="J41" s="1">
        <v>1</v>
      </c>
      <c r="K41" s="1">
        <v>1</v>
      </c>
      <c r="L41" s="1"/>
      <c r="M41" s="1"/>
      <c r="N41" s="1"/>
      <c r="O41" s="1"/>
      <c r="P41" s="1"/>
      <c r="Q41" s="1"/>
      <c r="R41" s="1"/>
      <c r="S41" s="1"/>
      <c r="T41" s="1"/>
    </row>
    <row r="42" spans="1:20" ht="15.75" customHeight="1" x14ac:dyDescent="0.15">
      <c r="A42" s="1" t="s">
        <v>132</v>
      </c>
      <c r="B42" s="1" t="s">
        <v>133</v>
      </c>
      <c r="C42" s="4" t="s">
        <v>134</v>
      </c>
      <c r="D42" s="1" t="s">
        <v>14</v>
      </c>
      <c r="E42" s="1">
        <v>61</v>
      </c>
      <c r="F42" s="1">
        <v>1</v>
      </c>
      <c r="G42" s="5">
        <v>0</v>
      </c>
      <c r="H42" s="1">
        <v>0</v>
      </c>
      <c r="I42" s="1">
        <v>421</v>
      </c>
      <c r="J42" s="1">
        <v>0</v>
      </c>
      <c r="K42" s="1">
        <v>1</v>
      </c>
      <c r="L42" s="1"/>
      <c r="M42" s="1"/>
      <c r="N42" s="1"/>
      <c r="O42" s="1"/>
      <c r="P42" s="1"/>
      <c r="Q42" s="1"/>
      <c r="R42" s="1"/>
      <c r="S42" s="1"/>
      <c r="T42" s="1"/>
    </row>
    <row r="43" spans="1:20" ht="15.75" customHeight="1" x14ac:dyDescent="0.15">
      <c r="A43" s="1" t="s">
        <v>135</v>
      </c>
      <c r="B43" s="1" t="s">
        <v>136</v>
      </c>
      <c r="C43" s="4" t="s">
        <v>137</v>
      </c>
      <c r="D43" s="1" t="s">
        <v>14</v>
      </c>
      <c r="E43" s="1">
        <v>63</v>
      </c>
      <c r="F43" s="1">
        <v>2</v>
      </c>
      <c r="G43" s="5">
        <v>1</v>
      </c>
      <c r="H43" s="1">
        <v>0</v>
      </c>
      <c r="I43" s="1">
        <v>92</v>
      </c>
      <c r="J43" s="1">
        <v>0</v>
      </c>
      <c r="K43" s="1">
        <v>1</v>
      </c>
      <c r="L43" s="1"/>
      <c r="M43" s="1"/>
      <c r="N43" s="1"/>
      <c r="O43" s="1"/>
      <c r="P43" s="1"/>
      <c r="Q43" s="1"/>
      <c r="R43" s="1"/>
      <c r="S43" s="1"/>
      <c r="T43" s="1"/>
    </row>
    <row r="44" spans="1:20" ht="15.75" customHeight="1" x14ac:dyDescent="0.15">
      <c r="A44" s="1" t="s">
        <v>138</v>
      </c>
      <c r="B44" s="1" t="s">
        <v>139</v>
      </c>
      <c r="C44" s="4" t="s">
        <v>140</v>
      </c>
      <c r="D44" s="1" t="s">
        <v>14</v>
      </c>
      <c r="E44" s="1">
        <v>51</v>
      </c>
      <c r="F44" s="1">
        <v>1</v>
      </c>
      <c r="G44" s="5">
        <v>1</v>
      </c>
      <c r="H44" s="1">
        <v>0</v>
      </c>
      <c r="I44" s="1">
        <v>611</v>
      </c>
      <c r="J44" s="1">
        <v>1</v>
      </c>
      <c r="K44" s="1">
        <v>1</v>
      </c>
      <c r="L44" s="1"/>
      <c r="M44" s="1"/>
      <c r="N44" s="1"/>
      <c r="O44" s="1"/>
      <c r="P44" s="1"/>
      <c r="Q44" s="1"/>
      <c r="R44" s="1"/>
      <c r="S44" s="1"/>
      <c r="T44" s="1"/>
    </row>
    <row r="45" spans="1:20" ht="15.75" customHeight="1" x14ac:dyDescent="0.15">
      <c r="A45" s="1" t="s">
        <v>141</v>
      </c>
      <c r="B45" s="1" t="s">
        <v>142</v>
      </c>
      <c r="C45" s="4" t="s">
        <v>143</v>
      </c>
      <c r="D45" s="1" t="s">
        <v>14</v>
      </c>
      <c r="E45" s="1">
        <v>55</v>
      </c>
      <c r="F45" s="1">
        <v>1</v>
      </c>
      <c r="G45" s="5">
        <v>0</v>
      </c>
      <c r="H45" s="1">
        <v>0</v>
      </c>
      <c r="I45" s="1">
        <v>301</v>
      </c>
      <c r="J45" s="1">
        <v>1</v>
      </c>
      <c r="K45" s="1">
        <v>1</v>
      </c>
      <c r="L45" s="1"/>
      <c r="M45" s="1"/>
      <c r="N45" s="1"/>
      <c r="O45" s="1"/>
      <c r="P45" s="1"/>
      <c r="Q45" s="1"/>
      <c r="R45" s="1"/>
      <c r="S45" s="1"/>
      <c r="T45" s="1"/>
    </row>
    <row r="46" spans="1:20" ht="15.75" customHeight="1" x14ac:dyDescent="0.15">
      <c r="A46" s="1" t="s">
        <v>144</v>
      </c>
      <c r="B46" s="1" t="s">
        <v>145</v>
      </c>
      <c r="C46" s="4" t="s">
        <v>146</v>
      </c>
      <c r="D46" s="1" t="s">
        <v>14</v>
      </c>
      <c r="E46" s="1">
        <v>77</v>
      </c>
      <c r="F46" s="1">
        <v>2</v>
      </c>
      <c r="G46" s="5">
        <v>1</v>
      </c>
      <c r="H46" s="1">
        <v>0</v>
      </c>
      <c r="I46" s="1">
        <v>253</v>
      </c>
      <c r="J46" s="1">
        <v>0</v>
      </c>
      <c r="K46" s="1">
        <v>1</v>
      </c>
      <c r="L46" s="1"/>
      <c r="M46" s="1"/>
      <c r="N46" s="1"/>
      <c r="O46" s="1"/>
      <c r="P46" s="1"/>
      <c r="Q46" s="1"/>
      <c r="R46" s="1"/>
      <c r="S46" s="1"/>
      <c r="T46" s="1"/>
    </row>
    <row r="47" spans="1:20" ht="15.75" customHeight="1" x14ac:dyDescent="0.15">
      <c r="A47" s="1" t="s">
        <v>147</v>
      </c>
      <c r="B47" s="1" t="s">
        <v>148</v>
      </c>
      <c r="C47" s="4" t="s">
        <v>149</v>
      </c>
      <c r="D47" s="1" t="s">
        <v>14</v>
      </c>
      <c r="E47" s="1">
        <v>68</v>
      </c>
      <c r="F47" s="1">
        <v>2</v>
      </c>
      <c r="G47" s="5">
        <v>1</v>
      </c>
      <c r="H47" s="1">
        <v>0</v>
      </c>
      <c r="I47" s="1">
        <v>133</v>
      </c>
      <c r="J47" s="1">
        <v>1</v>
      </c>
      <c r="K47" s="1">
        <v>0</v>
      </c>
      <c r="L47" s="1"/>
      <c r="M47" s="1"/>
      <c r="N47" s="1"/>
      <c r="O47" s="1"/>
      <c r="P47" s="1"/>
      <c r="Q47" s="1"/>
      <c r="R47" s="1"/>
      <c r="S47" s="1"/>
      <c r="T47" s="1"/>
    </row>
    <row r="48" spans="1:20" ht="15.75" customHeight="1" x14ac:dyDescent="0.15">
      <c r="A48" s="1" t="s">
        <v>150</v>
      </c>
      <c r="B48" s="1" t="s">
        <v>151</v>
      </c>
      <c r="C48" s="4" t="s">
        <v>152</v>
      </c>
      <c r="D48" s="1" t="s">
        <v>14</v>
      </c>
      <c r="E48" s="1">
        <v>37</v>
      </c>
      <c r="F48" s="1">
        <v>1</v>
      </c>
      <c r="G48" s="5">
        <v>1</v>
      </c>
      <c r="H48" s="1">
        <v>0</v>
      </c>
      <c r="I48" s="1">
        <v>1489</v>
      </c>
      <c r="J48" s="1">
        <v>1</v>
      </c>
      <c r="K48" s="1">
        <v>1</v>
      </c>
      <c r="L48" s="1"/>
      <c r="M48" s="1"/>
      <c r="N48" s="1"/>
      <c r="O48" s="1"/>
      <c r="P48" s="1"/>
      <c r="Q48" s="1"/>
      <c r="R48" s="1"/>
      <c r="S48" s="1"/>
      <c r="T48" s="1"/>
    </row>
    <row r="49" spans="1:20" ht="15.75" customHeight="1" x14ac:dyDescent="0.15">
      <c r="A49" s="1" t="s">
        <v>153</v>
      </c>
      <c r="B49" s="1" t="s">
        <v>154</v>
      </c>
      <c r="C49" s="4" t="s">
        <v>155</v>
      </c>
      <c r="D49" s="1" t="s">
        <v>14</v>
      </c>
      <c r="E49" s="1">
        <v>63</v>
      </c>
      <c r="F49" s="1">
        <v>1</v>
      </c>
      <c r="G49" s="5">
        <v>1</v>
      </c>
      <c r="H49" s="1">
        <v>0</v>
      </c>
      <c r="I49" s="1">
        <v>406</v>
      </c>
      <c r="J49" s="1">
        <v>0</v>
      </c>
      <c r="K49" s="1">
        <v>1</v>
      </c>
      <c r="L49" s="1"/>
      <c r="M49" s="1"/>
      <c r="N49" s="1"/>
      <c r="O49" s="1"/>
      <c r="P49" s="1"/>
      <c r="Q49" s="1"/>
      <c r="R49" s="1"/>
      <c r="S49" s="1"/>
      <c r="T49" s="1"/>
    </row>
    <row r="50" spans="1:20" ht="15.75" customHeight="1" x14ac:dyDescent="0.15">
      <c r="A50" s="1" t="s">
        <v>156</v>
      </c>
      <c r="B50" s="1" t="s">
        <v>157</v>
      </c>
      <c r="C50" s="4" t="s">
        <v>158</v>
      </c>
      <c r="D50" s="1" t="s">
        <v>14</v>
      </c>
      <c r="E50" s="1">
        <v>51</v>
      </c>
      <c r="F50" s="1">
        <v>1</v>
      </c>
      <c r="G50" s="5">
        <v>0</v>
      </c>
      <c r="H50" s="1">
        <v>0</v>
      </c>
      <c r="I50" s="1">
        <v>653</v>
      </c>
      <c r="J50" s="1">
        <v>1</v>
      </c>
      <c r="K50" s="1">
        <v>1</v>
      </c>
      <c r="L50" s="1"/>
      <c r="M50" s="1"/>
      <c r="N50" s="1"/>
      <c r="O50" s="1"/>
      <c r="P50" s="1"/>
      <c r="Q50" s="1"/>
      <c r="R50" s="1"/>
      <c r="S50" s="1"/>
      <c r="T50" s="1"/>
    </row>
    <row r="51" spans="1:20" ht="15.75" customHeight="1" x14ac:dyDescent="0.15">
      <c r="A51" s="1" t="s">
        <v>159</v>
      </c>
      <c r="B51" s="1" t="s">
        <v>160</v>
      </c>
      <c r="C51" s="4" t="s">
        <v>161</v>
      </c>
      <c r="D51" s="1" t="s">
        <v>14</v>
      </c>
      <c r="E51" s="1">
        <v>71</v>
      </c>
      <c r="F51" s="1">
        <v>1</v>
      </c>
      <c r="G51" s="5">
        <v>1</v>
      </c>
      <c r="H51" s="1">
        <v>0</v>
      </c>
      <c r="I51" s="1">
        <v>299</v>
      </c>
      <c r="J51" s="1">
        <v>1</v>
      </c>
      <c r="K51" s="1">
        <v>1</v>
      </c>
      <c r="L51" s="1"/>
      <c r="M51" s="1"/>
      <c r="N51" s="1"/>
      <c r="O51" s="1"/>
      <c r="P51" s="1"/>
      <c r="Q51" s="1"/>
      <c r="R51" s="1"/>
      <c r="S51" s="1"/>
      <c r="T51" s="1"/>
    </row>
    <row r="52" spans="1:20" ht="15.75" customHeight="1" x14ac:dyDescent="0.15">
      <c r="A52" s="1" t="s">
        <v>162</v>
      </c>
      <c r="B52" s="1" t="s">
        <v>163</v>
      </c>
      <c r="C52" s="4" t="s">
        <v>164</v>
      </c>
      <c r="D52" s="1" t="s">
        <v>14</v>
      </c>
      <c r="E52" s="1">
        <v>84</v>
      </c>
      <c r="F52" s="1">
        <v>1</v>
      </c>
      <c r="G52" s="5">
        <v>1</v>
      </c>
      <c r="H52" s="1">
        <v>0</v>
      </c>
      <c r="I52" s="1">
        <v>142</v>
      </c>
      <c r="J52" s="1">
        <v>1</v>
      </c>
      <c r="K52" s="1">
        <v>1</v>
      </c>
      <c r="L52" s="1"/>
      <c r="M52" s="1"/>
      <c r="N52" s="1"/>
      <c r="O52" s="1"/>
      <c r="P52" s="1"/>
      <c r="Q52" s="1"/>
      <c r="R52" s="1"/>
      <c r="S52" s="1"/>
      <c r="T52" s="1"/>
    </row>
    <row r="53" spans="1:20" ht="15.75" customHeight="1" x14ac:dyDescent="0.15">
      <c r="A53" s="1" t="s">
        <v>165</v>
      </c>
      <c r="B53" s="1" t="s">
        <v>166</v>
      </c>
      <c r="C53" s="4" t="s">
        <v>167</v>
      </c>
      <c r="D53" s="1" t="s">
        <v>14</v>
      </c>
      <c r="E53" s="1">
        <v>74</v>
      </c>
      <c r="F53" s="1">
        <v>1</v>
      </c>
      <c r="G53" s="5">
        <v>1</v>
      </c>
      <c r="H53" s="1">
        <v>0</v>
      </c>
      <c r="I53" s="1">
        <v>460</v>
      </c>
      <c r="J53" s="1">
        <v>0</v>
      </c>
      <c r="K53" s="1">
        <v>0</v>
      </c>
      <c r="L53" s="1"/>
      <c r="M53" s="1"/>
      <c r="N53" s="1"/>
      <c r="O53" s="1"/>
      <c r="P53" s="1"/>
      <c r="Q53" s="1"/>
      <c r="R53" s="1"/>
      <c r="S53" s="1"/>
      <c r="T53" s="1"/>
    </row>
    <row r="54" spans="1:20" ht="15.75" customHeight="1" x14ac:dyDescent="0.15">
      <c r="A54" s="1" t="s">
        <v>168</v>
      </c>
      <c r="B54" s="1" t="s">
        <v>169</v>
      </c>
      <c r="C54" s="4" t="s">
        <v>170</v>
      </c>
      <c r="D54" s="1" t="s">
        <v>14</v>
      </c>
      <c r="E54" s="1">
        <v>79</v>
      </c>
      <c r="F54" s="1">
        <v>2</v>
      </c>
      <c r="G54" s="5">
        <v>0</v>
      </c>
      <c r="H54" s="1">
        <v>0</v>
      </c>
      <c r="I54" s="1">
        <v>560</v>
      </c>
      <c r="J54" s="1">
        <v>1</v>
      </c>
      <c r="K54" s="1">
        <v>1</v>
      </c>
      <c r="L54" s="1"/>
      <c r="M54" s="1"/>
      <c r="N54" s="1"/>
      <c r="O54" s="1"/>
      <c r="P54" s="1"/>
      <c r="Q54" s="1"/>
      <c r="R54" s="1"/>
      <c r="S54" s="1"/>
      <c r="T54" s="1"/>
    </row>
    <row r="55" spans="1:20" ht="15.75" customHeight="1" x14ac:dyDescent="0.15">
      <c r="A55" s="1" t="s">
        <v>171</v>
      </c>
      <c r="B55" s="1" t="s">
        <v>172</v>
      </c>
      <c r="C55" s="4" t="s">
        <v>173</v>
      </c>
      <c r="D55" s="1" t="s">
        <v>14</v>
      </c>
      <c r="E55" s="1">
        <v>61</v>
      </c>
      <c r="F55" s="1">
        <v>1</v>
      </c>
      <c r="G55" s="5">
        <v>0</v>
      </c>
      <c r="H55" s="1">
        <v>0</v>
      </c>
      <c r="I55" s="1">
        <v>583</v>
      </c>
      <c r="J55" s="1">
        <v>0</v>
      </c>
      <c r="K55" s="1">
        <v>0</v>
      </c>
      <c r="L55" s="1"/>
      <c r="M55" s="1"/>
      <c r="N55" s="1"/>
      <c r="O55" s="1"/>
      <c r="P55" s="1"/>
      <c r="Q55" s="1"/>
      <c r="R55" s="1"/>
      <c r="S55" s="1"/>
      <c r="T55" s="1"/>
    </row>
    <row r="56" spans="1:20" ht="15.75" customHeight="1" x14ac:dyDescent="0.15">
      <c r="A56" s="1" t="s">
        <v>174</v>
      </c>
      <c r="B56" s="1" t="s">
        <v>175</v>
      </c>
      <c r="C56" s="4" t="s">
        <v>176</v>
      </c>
      <c r="D56" s="1" t="s">
        <v>14</v>
      </c>
      <c r="E56" s="1">
        <v>41</v>
      </c>
      <c r="F56" s="1">
        <v>1</v>
      </c>
      <c r="G56" s="5">
        <v>1</v>
      </c>
      <c r="H56" s="1">
        <v>1</v>
      </c>
      <c r="I56" s="1">
        <v>1759</v>
      </c>
      <c r="J56" s="1">
        <v>0</v>
      </c>
      <c r="K56" s="1">
        <v>0</v>
      </c>
      <c r="L56" s="1"/>
      <c r="M56" s="1"/>
      <c r="N56" s="1"/>
      <c r="O56" s="1"/>
      <c r="P56" s="1"/>
      <c r="Q56" s="1"/>
      <c r="R56" s="1"/>
      <c r="S56" s="1"/>
      <c r="T56" s="1"/>
    </row>
    <row r="57" spans="1:20" ht="15.75" customHeight="1" x14ac:dyDescent="0.15">
      <c r="A57" s="1" t="s">
        <v>177</v>
      </c>
      <c r="B57" s="1" t="s">
        <v>178</v>
      </c>
      <c r="C57" s="4" t="s">
        <v>179</v>
      </c>
      <c r="D57" s="1" t="s">
        <v>14</v>
      </c>
      <c r="E57" s="1">
        <v>39</v>
      </c>
      <c r="F57" s="1">
        <v>1</v>
      </c>
      <c r="G57" s="5">
        <v>1</v>
      </c>
      <c r="H57" s="1">
        <v>0</v>
      </c>
      <c r="I57" s="1">
        <v>17</v>
      </c>
      <c r="J57" s="1">
        <v>0</v>
      </c>
      <c r="K57" s="1">
        <v>0</v>
      </c>
      <c r="L57" s="1"/>
      <c r="M57" s="1"/>
      <c r="N57" s="1"/>
      <c r="O57" s="1"/>
      <c r="P57" s="1"/>
      <c r="Q57" s="1"/>
      <c r="R57" s="1"/>
      <c r="S57" s="1"/>
      <c r="T57" s="1"/>
    </row>
    <row r="58" spans="1:20" ht="15.75" customHeight="1" x14ac:dyDescent="0.15">
      <c r="A58" s="1" t="s">
        <v>180</v>
      </c>
      <c r="B58" s="1" t="s">
        <v>181</v>
      </c>
      <c r="C58" s="4" t="s">
        <v>182</v>
      </c>
      <c r="D58" s="1" t="s">
        <v>14</v>
      </c>
      <c r="E58" s="1">
        <v>63</v>
      </c>
      <c r="F58" s="1">
        <v>1</v>
      </c>
      <c r="G58" s="5">
        <v>0</v>
      </c>
      <c r="H58" s="1">
        <v>0</v>
      </c>
      <c r="I58" s="1">
        <v>52</v>
      </c>
      <c r="J58" s="1">
        <v>1</v>
      </c>
      <c r="K58" s="1">
        <v>0</v>
      </c>
      <c r="L58" s="1"/>
      <c r="M58" s="1"/>
      <c r="N58" s="1"/>
      <c r="O58" s="1"/>
      <c r="P58" s="1"/>
      <c r="Q58" s="1"/>
      <c r="R58" s="1"/>
      <c r="S58" s="1"/>
      <c r="T58" s="1"/>
    </row>
    <row r="59" spans="1:20" ht="15.75" customHeight="1" x14ac:dyDescent="0.15">
      <c r="A59" s="1" t="s">
        <v>183</v>
      </c>
      <c r="B59" s="1" t="s">
        <v>184</v>
      </c>
      <c r="C59" s="4" t="s">
        <v>185</v>
      </c>
      <c r="D59" s="1" t="s">
        <v>14</v>
      </c>
      <c r="E59" s="1">
        <v>72</v>
      </c>
      <c r="F59" s="1">
        <v>2</v>
      </c>
      <c r="G59" s="5">
        <v>1</v>
      </c>
      <c r="H59" s="1">
        <v>0</v>
      </c>
      <c r="I59" s="1">
        <v>266</v>
      </c>
      <c r="J59" s="1">
        <v>1</v>
      </c>
      <c r="K59" s="1">
        <v>0</v>
      </c>
      <c r="L59" s="1"/>
      <c r="M59" s="1"/>
      <c r="N59" s="1"/>
      <c r="O59" s="1"/>
      <c r="P59" s="1"/>
      <c r="Q59" s="1"/>
      <c r="R59" s="1"/>
      <c r="S59" s="1"/>
      <c r="T59" s="1"/>
    </row>
    <row r="60" spans="1:20" ht="15.75" customHeight="1" x14ac:dyDescent="0.15">
      <c r="A60" s="1" t="s">
        <v>186</v>
      </c>
      <c r="B60" s="1" t="s">
        <v>187</v>
      </c>
      <c r="C60" s="4" t="s">
        <v>188</v>
      </c>
      <c r="D60" s="1" t="s">
        <v>14</v>
      </c>
      <c r="E60" s="1">
        <v>50</v>
      </c>
      <c r="F60" s="1">
        <v>1</v>
      </c>
      <c r="G60" s="5">
        <v>0</v>
      </c>
      <c r="H60" s="1">
        <v>0</v>
      </c>
      <c r="I60" s="1">
        <v>705</v>
      </c>
      <c r="J60" s="1">
        <v>1</v>
      </c>
      <c r="K60" s="1">
        <v>1</v>
      </c>
      <c r="L60" s="1"/>
      <c r="M60" s="1"/>
      <c r="N60" s="1"/>
      <c r="O60" s="1"/>
      <c r="P60" s="1"/>
      <c r="Q60" s="1"/>
      <c r="R60" s="1"/>
      <c r="S60" s="1"/>
      <c r="T60" s="1"/>
    </row>
    <row r="61" spans="1:20" ht="15.75" customHeight="1" x14ac:dyDescent="0.15">
      <c r="A61" s="1" t="s">
        <v>189</v>
      </c>
      <c r="B61" s="1" t="s">
        <v>190</v>
      </c>
      <c r="C61" s="4" t="s">
        <v>191</v>
      </c>
      <c r="D61" s="1" t="s">
        <v>14</v>
      </c>
      <c r="E61" s="1">
        <v>34</v>
      </c>
      <c r="F61" s="1">
        <v>1</v>
      </c>
      <c r="G61" s="5">
        <v>1</v>
      </c>
      <c r="H61" s="1">
        <v>0</v>
      </c>
      <c r="I61" s="1">
        <v>465</v>
      </c>
      <c r="J61" s="1">
        <v>1</v>
      </c>
      <c r="K61" s="1">
        <v>1</v>
      </c>
      <c r="L61" s="1"/>
      <c r="M61" s="1"/>
      <c r="N61" s="1"/>
      <c r="O61" s="1"/>
      <c r="P61" s="1"/>
      <c r="Q61" s="1"/>
      <c r="R61" s="1"/>
      <c r="S61" s="1"/>
      <c r="T61" s="1"/>
    </row>
    <row r="62" spans="1:20" ht="15.75" customHeight="1" x14ac:dyDescent="0.15">
      <c r="A62" s="1" t="s">
        <v>192</v>
      </c>
      <c r="B62" s="1" t="s">
        <v>193</v>
      </c>
      <c r="C62" s="4" t="s">
        <v>194</v>
      </c>
      <c r="D62" s="1" t="s">
        <v>14</v>
      </c>
      <c r="E62" s="1">
        <v>64</v>
      </c>
      <c r="F62" s="1">
        <v>1</v>
      </c>
      <c r="G62" s="5">
        <v>0</v>
      </c>
      <c r="H62" s="1">
        <v>0</v>
      </c>
      <c r="I62" s="1">
        <v>167</v>
      </c>
      <c r="J62" s="1">
        <v>1</v>
      </c>
      <c r="K62" s="1">
        <v>1</v>
      </c>
      <c r="L62" s="1"/>
      <c r="M62" s="1"/>
      <c r="N62" s="1"/>
      <c r="O62" s="1"/>
      <c r="P62" s="1"/>
      <c r="Q62" s="1"/>
      <c r="R62" s="1"/>
      <c r="S62" s="1"/>
      <c r="T62" s="1"/>
    </row>
    <row r="63" spans="1:20" ht="15.75" customHeight="1" x14ac:dyDescent="0.15">
      <c r="A63" s="1" t="s">
        <v>195</v>
      </c>
      <c r="B63" s="1" t="s">
        <v>196</v>
      </c>
      <c r="C63" s="4" t="s">
        <v>197</v>
      </c>
      <c r="D63" s="1" t="s">
        <v>14</v>
      </c>
      <c r="E63" s="1">
        <v>55</v>
      </c>
      <c r="F63" s="1">
        <v>1</v>
      </c>
      <c r="G63" s="5">
        <v>1</v>
      </c>
      <c r="H63" s="1">
        <v>0</v>
      </c>
      <c r="I63" s="1">
        <v>1694</v>
      </c>
      <c r="J63" s="1">
        <v>0</v>
      </c>
      <c r="K63" s="1">
        <v>0</v>
      </c>
      <c r="L63" s="1"/>
      <c r="M63" s="1"/>
      <c r="N63" s="1"/>
      <c r="O63" s="1"/>
      <c r="P63" s="1"/>
      <c r="Q63" s="1"/>
      <c r="R63" s="1"/>
      <c r="S63" s="1"/>
      <c r="T63" s="1"/>
    </row>
    <row r="64" spans="1:20" ht="15.75" customHeight="1" x14ac:dyDescent="0.15">
      <c r="A64" s="1" t="s">
        <v>198</v>
      </c>
      <c r="B64" s="1" t="s">
        <v>199</v>
      </c>
      <c r="C64" s="4" t="s">
        <v>200</v>
      </c>
      <c r="D64" s="1" t="s">
        <v>14</v>
      </c>
      <c r="E64" s="1">
        <v>66</v>
      </c>
      <c r="F64" s="1">
        <v>1</v>
      </c>
      <c r="G64" s="5">
        <v>0</v>
      </c>
      <c r="H64" s="1">
        <v>0</v>
      </c>
      <c r="I64" s="1">
        <v>1303</v>
      </c>
      <c r="J64" s="1">
        <v>1</v>
      </c>
      <c r="K64" s="1">
        <v>1</v>
      </c>
      <c r="L64" s="1"/>
      <c r="M64" s="1"/>
      <c r="N64" s="1"/>
      <c r="O64" s="1"/>
      <c r="P64" s="1"/>
      <c r="Q64" s="1"/>
      <c r="R64" s="1"/>
      <c r="S64" s="1"/>
      <c r="T64" s="1"/>
    </row>
    <row r="65" spans="1:20" ht="15.75" customHeight="1" x14ac:dyDescent="0.15">
      <c r="A65" s="1" t="s">
        <v>201</v>
      </c>
      <c r="B65" s="1" t="s">
        <v>202</v>
      </c>
      <c r="C65" s="4" t="s">
        <v>203</v>
      </c>
      <c r="D65" s="1" t="s">
        <v>14</v>
      </c>
      <c r="E65" s="1">
        <v>78</v>
      </c>
      <c r="F65" s="1">
        <v>1</v>
      </c>
      <c r="G65" s="5">
        <v>1</v>
      </c>
      <c r="H65" s="1">
        <v>0</v>
      </c>
      <c r="I65" s="1">
        <v>17</v>
      </c>
      <c r="J65" s="1">
        <v>1</v>
      </c>
      <c r="K65" s="1">
        <v>0</v>
      </c>
      <c r="L65" s="1"/>
      <c r="M65" s="1"/>
      <c r="N65" s="1"/>
      <c r="O65" s="1"/>
      <c r="P65" s="1"/>
      <c r="Q65" s="1"/>
      <c r="R65" s="1"/>
      <c r="S65" s="1"/>
      <c r="T65" s="1"/>
    </row>
    <row r="66" spans="1:20" ht="15.75" customHeight="1" x14ac:dyDescent="0.15">
      <c r="A66" s="1" t="s">
        <v>204</v>
      </c>
      <c r="B66" s="1" t="s">
        <v>205</v>
      </c>
      <c r="C66" s="4" t="s">
        <v>206</v>
      </c>
      <c r="D66" s="1" t="s">
        <v>14</v>
      </c>
      <c r="E66" s="1">
        <v>65</v>
      </c>
      <c r="F66" s="1">
        <v>2</v>
      </c>
      <c r="G66" s="5">
        <v>0</v>
      </c>
      <c r="H66" s="1">
        <v>0</v>
      </c>
      <c r="I66" s="1">
        <v>162</v>
      </c>
      <c r="J66" s="1">
        <v>0</v>
      </c>
      <c r="K66" s="1">
        <v>1</v>
      </c>
      <c r="L66" s="1"/>
      <c r="M66" s="1"/>
      <c r="N66" s="1"/>
      <c r="O66" s="1"/>
      <c r="P66" s="1"/>
      <c r="Q66" s="1"/>
      <c r="R66" s="1"/>
      <c r="S66" s="1"/>
      <c r="T66" s="1"/>
    </row>
    <row r="67" spans="1:20" ht="15.75" customHeight="1" x14ac:dyDescent="0.15">
      <c r="A67" s="1" t="s">
        <v>207</v>
      </c>
      <c r="B67" s="1" t="s">
        <v>208</v>
      </c>
      <c r="C67" s="1" t="s">
        <v>209</v>
      </c>
      <c r="D67" s="1" t="s">
        <v>210</v>
      </c>
      <c r="E67" s="1">
        <v>63</v>
      </c>
      <c r="F67" s="1">
        <v>2</v>
      </c>
      <c r="G67" s="1">
        <v>1</v>
      </c>
      <c r="H67" s="1">
        <v>0</v>
      </c>
      <c r="I67" s="1">
        <v>1561</v>
      </c>
      <c r="J67" s="43"/>
      <c r="K67" s="1">
        <v>1</v>
      </c>
      <c r="L67" s="1"/>
      <c r="M67" s="1"/>
      <c r="N67" s="1"/>
      <c r="O67" s="1"/>
      <c r="P67" s="1"/>
      <c r="Q67" s="1"/>
      <c r="R67" s="1"/>
      <c r="S67" s="1"/>
      <c r="T67" s="1"/>
    </row>
    <row r="68" spans="1:20" ht="15" x14ac:dyDescent="0.2">
      <c r="A68" s="3" t="s">
        <v>211</v>
      </c>
      <c r="B68" s="1" t="s">
        <v>212</v>
      </c>
      <c r="C68" s="1" t="s">
        <v>213</v>
      </c>
      <c r="D68" s="1" t="s">
        <v>210</v>
      </c>
      <c r="E68" s="1">
        <v>42</v>
      </c>
      <c r="F68" s="1">
        <v>1</v>
      </c>
      <c r="G68" s="1">
        <v>0</v>
      </c>
      <c r="H68" s="1">
        <v>0</v>
      </c>
      <c r="I68" s="1">
        <v>822</v>
      </c>
      <c r="J68" s="43"/>
      <c r="K68" s="1">
        <v>1</v>
      </c>
      <c r="L68" s="1"/>
      <c r="M68" s="1"/>
      <c r="N68" s="1"/>
      <c r="O68" s="1"/>
      <c r="P68" s="1"/>
      <c r="Q68" s="1"/>
      <c r="R68" s="1"/>
      <c r="S68" s="1"/>
      <c r="T68" s="1"/>
    </row>
    <row r="69" spans="1:20" ht="15.75" customHeight="1" x14ac:dyDescent="0.15">
      <c r="A69" s="1" t="s">
        <v>214</v>
      </c>
      <c r="B69" s="1" t="s">
        <v>215</v>
      </c>
      <c r="C69" s="1" t="s">
        <v>216</v>
      </c>
      <c r="D69" s="1" t="s">
        <v>210</v>
      </c>
      <c r="E69" s="1">
        <v>56</v>
      </c>
      <c r="F69" s="1">
        <v>1</v>
      </c>
      <c r="G69" s="1">
        <v>0</v>
      </c>
      <c r="H69" s="1">
        <v>0</v>
      </c>
      <c r="I69" s="1">
        <v>372</v>
      </c>
      <c r="J69" s="43"/>
      <c r="K69" s="1">
        <v>1</v>
      </c>
      <c r="L69" s="1"/>
      <c r="M69" s="1"/>
      <c r="N69" s="1"/>
      <c r="O69" s="1"/>
      <c r="P69" s="1"/>
      <c r="Q69" s="1"/>
      <c r="R69" s="1"/>
      <c r="S69" s="1"/>
      <c r="T69" s="1"/>
    </row>
    <row r="70" spans="1:20" ht="15.75" customHeight="1" x14ac:dyDescent="0.15">
      <c r="A70" s="1" t="s">
        <v>217</v>
      </c>
      <c r="B70" s="1" t="s">
        <v>218</v>
      </c>
      <c r="C70" s="1" t="s">
        <v>219</v>
      </c>
      <c r="D70" s="1" t="s">
        <v>210</v>
      </c>
      <c r="E70" s="1">
        <v>61</v>
      </c>
      <c r="F70" s="1">
        <v>1</v>
      </c>
      <c r="G70" s="1">
        <v>1</v>
      </c>
      <c r="H70" s="1">
        <v>0</v>
      </c>
      <c r="I70" s="1">
        <v>466</v>
      </c>
      <c r="J70" s="43"/>
      <c r="K70" s="1">
        <v>1</v>
      </c>
      <c r="L70" s="1"/>
      <c r="M70" s="1"/>
      <c r="N70" s="1"/>
      <c r="O70" s="1"/>
      <c r="P70" s="1"/>
      <c r="Q70" s="1"/>
      <c r="R70" s="1"/>
      <c r="S70" s="1"/>
      <c r="T70" s="1"/>
    </row>
    <row r="71" spans="1:20" ht="15.75" customHeight="1" x14ac:dyDescent="0.15">
      <c r="A71" s="1" t="s">
        <v>220</v>
      </c>
      <c r="B71" s="1" t="s">
        <v>221</v>
      </c>
      <c r="C71" s="1" t="s">
        <v>222</v>
      </c>
      <c r="D71" s="1" t="s">
        <v>210</v>
      </c>
      <c r="E71" s="1">
        <v>74</v>
      </c>
      <c r="F71" s="1">
        <v>2</v>
      </c>
      <c r="G71" s="1">
        <v>1</v>
      </c>
      <c r="H71" s="1">
        <v>0</v>
      </c>
      <c r="I71" s="1">
        <v>213</v>
      </c>
      <c r="J71" s="43"/>
      <c r="K71" s="1">
        <v>1</v>
      </c>
      <c r="L71" s="1"/>
      <c r="M71" s="1"/>
      <c r="N71" s="1"/>
      <c r="O71" s="1"/>
      <c r="P71" s="1"/>
      <c r="Q71" s="1"/>
      <c r="R71" s="1"/>
      <c r="S71" s="1"/>
      <c r="T71" s="1"/>
    </row>
    <row r="72" spans="1:20" ht="15.75" customHeight="1" x14ac:dyDescent="0.15">
      <c r="A72" s="1" t="s">
        <v>223</v>
      </c>
      <c r="B72" s="1" t="s">
        <v>224</v>
      </c>
      <c r="C72" s="1" t="s">
        <v>225</v>
      </c>
      <c r="D72" s="1" t="s">
        <v>210</v>
      </c>
      <c r="E72" s="1">
        <v>57</v>
      </c>
      <c r="F72" s="1">
        <v>1</v>
      </c>
      <c r="G72" s="1">
        <v>1</v>
      </c>
      <c r="H72" s="1">
        <v>0</v>
      </c>
      <c r="I72" s="1">
        <v>346</v>
      </c>
      <c r="J72" s="43"/>
      <c r="K72" s="1">
        <v>1</v>
      </c>
      <c r="L72" s="1"/>
      <c r="M72" s="1"/>
      <c r="N72" s="1"/>
      <c r="O72" s="1"/>
      <c r="P72" s="1"/>
      <c r="Q72" s="1"/>
      <c r="R72" s="1"/>
      <c r="S72" s="1"/>
      <c r="T72" s="1"/>
    </row>
    <row r="73" spans="1:20" ht="15.75" customHeight="1" x14ac:dyDescent="0.15">
      <c r="A73" s="1" t="s">
        <v>226</v>
      </c>
      <c r="B73" s="1" t="s">
        <v>227</v>
      </c>
      <c r="C73" s="1" t="s">
        <v>228</v>
      </c>
      <c r="D73" s="1" t="s">
        <v>210</v>
      </c>
      <c r="E73" s="1">
        <v>78</v>
      </c>
      <c r="F73" s="1">
        <v>1</v>
      </c>
      <c r="G73" s="1">
        <v>0</v>
      </c>
      <c r="H73" s="1">
        <v>0</v>
      </c>
      <c r="I73" s="1">
        <v>82</v>
      </c>
      <c r="J73" s="43"/>
      <c r="K73" s="1">
        <v>1</v>
      </c>
      <c r="L73" s="1"/>
      <c r="M73" s="1"/>
      <c r="N73" s="1"/>
      <c r="O73" s="1"/>
      <c r="P73" s="1"/>
      <c r="Q73" s="1"/>
      <c r="R73" s="1"/>
      <c r="S73" s="1"/>
      <c r="T73" s="1"/>
    </row>
    <row r="74" spans="1:20" ht="15.75" customHeight="1" x14ac:dyDescent="0.15">
      <c r="A74" s="1" t="s">
        <v>229</v>
      </c>
      <c r="B74" s="1" t="s">
        <v>230</v>
      </c>
      <c r="C74" s="1" t="s">
        <v>231</v>
      </c>
      <c r="D74" s="1" t="s">
        <v>210</v>
      </c>
      <c r="E74" s="1">
        <v>63</v>
      </c>
      <c r="F74" s="1">
        <v>1</v>
      </c>
      <c r="G74" s="1">
        <v>1</v>
      </c>
      <c r="H74" s="1">
        <v>0</v>
      </c>
      <c r="I74" s="1">
        <v>634</v>
      </c>
      <c r="J74" s="43"/>
      <c r="K74" s="1">
        <v>1</v>
      </c>
      <c r="L74" s="1"/>
      <c r="M74" s="1"/>
      <c r="N74" s="1"/>
      <c r="O74" s="1"/>
      <c r="P74" s="1"/>
      <c r="Q74" s="1"/>
      <c r="R74" s="1"/>
      <c r="S74" s="1"/>
      <c r="T74" s="1"/>
    </row>
    <row r="75" spans="1:20" ht="15.75" customHeight="1" x14ac:dyDescent="0.15">
      <c r="A75" s="1" t="s">
        <v>232</v>
      </c>
      <c r="B75" s="1" t="s">
        <v>233</v>
      </c>
      <c r="C75" s="1" t="s">
        <v>234</v>
      </c>
      <c r="D75" s="1" t="s">
        <v>210</v>
      </c>
      <c r="E75" s="1">
        <v>75</v>
      </c>
      <c r="F75" s="1">
        <v>2</v>
      </c>
      <c r="G75" s="1">
        <v>0</v>
      </c>
      <c r="H75" s="1">
        <v>0</v>
      </c>
      <c r="I75" s="1">
        <v>121</v>
      </c>
      <c r="J75" s="43"/>
      <c r="K75" s="1">
        <v>1</v>
      </c>
      <c r="L75" s="1"/>
      <c r="M75" s="1"/>
      <c r="N75" s="1"/>
      <c r="O75" s="1"/>
      <c r="P75" s="1"/>
      <c r="Q75" s="1"/>
      <c r="R75" s="1"/>
      <c r="S75" s="1"/>
      <c r="T75" s="1"/>
    </row>
    <row r="76" spans="1:20" ht="15.75" customHeight="1" x14ac:dyDescent="0.15">
      <c r="A76" s="1" t="s">
        <v>235</v>
      </c>
      <c r="B76" s="1" t="s">
        <v>236</v>
      </c>
      <c r="C76" s="1" t="s">
        <v>237</v>
      </c>
      <c r="D76" s="1" t="s">
        <v>210</v>
      </c>
      <c r="E76" s="1">
        <v>51</v>
      </c>
      <c r="F76" s="1">
        <v>1</v>
      </c>
      <c r="G76" s="1">
        <v>0</v>
      </c>
      <c r="H76" s="1">
        <v>0</v>
      </c>
      <c r="I76" s="1">
        <v>5</v>
      </c>
      <c r="J76" s="43"/>
      <c r="K76" s="1">
        <v>1</v>
      </c>
      <c r="L76" s="1"/>
      <c r="M76" s="1"/>
      <c r="N76" s="1"/>
      <c r="O76" s="1"/>
      <c r="P76" s="1"/>
      <c r="Q76" s="1"/>
      <c r="R76" s="1"/>
      <c r="S76" s="1"/>
      <c r="T76" s="1"/>
    </row>
    <row r="77" spans="1:20" ht="15" x14ac:dyDescent="0.2">
      <c r="A77" s="3" t="s">
        <v>238</v>
      </c>
      <c r="B77" s="1" t="s">
        <v>239</v>
      </c>
      <c r="C77" s="1" t="s">
        <v>240</v>
      </c>
      <c r="D77" s="1" t="s">
        <v>210</v>
      </c>
      <c r="E77" s="1">
        <v>56</v>
      </c>
      <c r="F77" s="1">
        <v>2</v>
      </c>
      <c r="G77" s="1">
        <v>0</v>
      </c>
      <c r="H77" s="1">
        <v>0</v>
      </c>
      <c r="I77" s="1">
        <v>558</v>
      </c>
      <c r="J77" s="43"/>
      <c r="K77" s="1">
        <v>1</v>
      </c>
      <c r="L77" s="1"/>
      <c r="M77" s="1"/>
      <c r="N77" s="1"/>
      <c r="O77" s="1"/>
      <c r="P77" s="1"/>
      <c r="Q77" s="1"/>
      <c r="R77" s="1"/>
      <c r="S77" s="1"/>
      <c r="T77" s="1"/>
    </row>
    <row r="78" spans="1:20" ht="15.75" customHeight="1" x14ac:dyDescent="0.15">
      <c r="A78" s="1" t="s">
        <v>241</v>
      </c>
      <c r="B78" s="1" t="s">
        <v>242</v>
      </c>
      <c r="C78" s="1" t="s">
        <v>243</v>
      </c>
      <c r="D78" s="1" t="s">
        <v>210</v>
      </c>
      <c r="E78" s="1">
        <v>70</v>
      </c>
      <c r="F78" s="1">
        <v>1</v>
      </c>
      <c r="G78" s="1">
        <v>0</v>
      </c>
      <c r="H78" s="1">
        <v>0</v>
      </c>
      <c r="I78" s="1">
        <v>232</v>
      </c>
      <c r="J78" s="43"/>
      <c r="K78" s="1">
        <v>1</v>
      </c>
      <c r="L78" s="1"/>
      <c r="M78" s="1"/>
      <c r="N78" s="1"/>
      <c r="O78" s="1"/>
      <c r="P78" s="1"/>
      <c r="Q78" s="1"/>
      <c r="R78" s="1"/>
      <c r="S78" s="1"/>
      <c r="T78" s="1"/>
    </row>
    <row r="79" spans="1:20" ht="15.75" customHeight="1" x14ac:dyDescent="0.15">
      <c r="A79" s="1" t="s">
        <v>244</v>
      </c>
      <c r="B79" s="1" t="s">
        <v>245</v>
      </c>
      <c r="C79" s="1" t="s">
        <v>246</v>
      </c>
      <c r="D79" s="1" t="s">
        <v>210</v>
      </c>
      <c r="E79" s="1">
        <v>69</v>
      </c>
      <c r="F79" s="1">
        <v>2</v>
      </c>
      <c r="G79" s="1">
        <v>1</v>
      </c>
      <c r="H79" s="1">
        <v>0</v>
      </c>
      <c r="I79" s="1">
        <v>99</v>
      </c>
      <c r="J79" s="43"/>
      <c r="K79" s="1">
        <v>1</v>
      </c>
      <c r="L79" s="1"/>
      <c r="M79" s="1"/>
      <c r="N79" s="1"/>
      <c r="O79" s="1"/>
      <c r="P79" s="1"/>
      <c r="Q79" s="1"/>
      <c r="R79" s="1"/>
      <c r="S79" s="1"/>
      <c r="T79" s="1"/>
    </row>
    <row r="80" spans="1:20" ht="15.75" customHeight="1" x14ac:dyDescent="0.15">
      <c r="A80" s="1" t="s">
        <v>247</v>
      </c>
      <c r="B80" s="1" t="s">
        <v>248</v>
      </c>
      <c r="C80" s="1" t="s">
        <v>249</v>
      </c>
      <c r="D80" s="1" t="s">
        <v>210</v>
      </c>
      <c r="E80" s="1">
        <v>53</v>
      </c>
      <c r="F80" s="1">
        <v>2</v>
      </c>
      <c r="G80" s="1">
        <v>1</v>
      </c>
      <c r="H80" s="1">
        <v>0</v>
      </c>
      <c r="I80" s="1">
        <v>71</v>
      </c>
      <c r="J80" s="43"/>
      <c r="K80" s="1">
        <v>1</v>
      </c>
      <c r="L80" s="1"/>
      <c r="M80" s="1"/>
      <c r="N80" s="1"/>
      <c r="O80" s="1"/>
      <c r="P80" s="1"/>
      <c r="Q80" s="1"/>
      <c r="R80" s="1"/>
      <c r="S80" s="1"/>
      <c r="T80" s="1"/>
    </row>
    <row r="81" spans="1:20" ht="15.75" customHeight="1" x14ac:dyDescent="0.15">
      <c r="A81" s="1" t="s">
        <v>250</v>
      </c>
      <c r="B81" s="1" t="s">
        <v>251</v>
      </c>
      <c r="C81" s="1" t="s">
        <v>252</v>
      </c>
      <c r="D81" s="1" t="s">
        <v>210</v>
      </c>
      <c r="E81" s="1">
        <v>84</v>
      </c>
      <c r="F81" s="1">
        <v>2</v>
      </c>
      <c r="G81" s="1">
        <v>0</v>
      </c>
      <c r="H81" s="1">
        <v>0</v>
      </c>
      <c r="I81" s="1">
        <v>187</v>
      </c>
      <c r="J81" s="43"/>
      <c r="K81" s="1">
        <v>1</v>
      </c>
      <c r="L81" s="1"/>
      <c r="M81" s="1"/>
      <c r="N81" s="1"/>
      <c r="O81" s="1"/>
      <c r="P81" s="1"/>
      <c r="Q81" s="1"/>
      <c r="R81" s="1"/>
      <c r="S81" s="1"/>
      <c r="T81" s="1"/>
    </row>
    <row r="82" spans="1:20" ht="15.75" customHeight="1" x14ac:dyDescent="0.15">
      <c r="A82" s="1" t="s">
        <v>253</v>
      </c>
      <c r="B82" s="1" t="s">
        <v>254</v>
      </c>
      <c r="C82" s="1" t="s">
        <v>255</v>
      </c>
      <c r="D82" s="1" t="s">
        <v>210</v>
      </c>
      <c r="E82" s="1">
        <v>64</v>
      </c>
      <c r="F82" s="1">
        <v>2</v>
      </c>
      <c r="G82" s="1">
        <v>0</v>
      </c>
      <c r="H82" s="1">
        <v>0</v>
      </c>
      <c r="I82" s="1">
        <v>254</v>
      </c>
      <c r="J82" s="43"/>
      <c r="K82" s="1">
        <v>1</v>
      </c>
      <c r="L82" s="1"/>
      <c r="M82" s="1"/>
      <c r="N82" s="1"/>
      <c r="O82" s="1"/>
      <c r="P82" s="1"/>
      <c r="Q82" s="1"/>
      <c r="R82" s="1"/>
      <c r="S82" s="1"/>
      <c r="T82" s="1"/>
    </row>
    <row r="83" spans="1:20" ht="15.75" customHeight="1" x14ac:dyDescent="0.15">
      <c r="A83" s="1" t="s">
        <v>256</v>
      </c>
      <c r="B83" s="1" t="s">
        <v>257</v>
      </c>
      <c r="C83" s="1" t="s">
        <v>258</v>
      </c>
      <c r="D83" s="1" t="s">
        <v>210</v>
      </c>
      <c r="E83" s="1">
        <v>78</v>
      </c>
      <c r="F83" s="1">
        <v>1</v>
      </c>
      <c r="G83" s="1">
        <v>0</v>
      </c>
      <c r="H83" s="1">
        <v>0</v>
      </c>
      <c r="I83" s="1">
        <v>448</v>
      </c>
      <c r="J83" s="43"/>
      <c r="K83" s="1">
        <v>1</v>
      </c>
      <c r="L83" s="1"/>
      <c r="M83" s="1"/>
      <c r="N83" s="1"/>
      <c r="O83" s="1"/>
      <c r="P83" s="1"/>
      <c r="Q83" s="1"/>
      <c r="R83" s="1"/>
      <c r="S83" s="1"/>
      <c r="T83" s="1"/>
    </row>
    <row r="84" spans="1:20" ht="15.75" customHeight="1" x14ac:dyDescent="0.15">
      <c r="A84" s="1" t="s">
        <v>259</v>
      </c>
      <c r="B84" s="1" t="s">
        <v>260</v>
      </c>
      <c r="C84" s="1" t="s">
        <v>261</v>
      </c>
      <c r="D84" s="1" t="s">
        <v>210</v>
      </c>
      <c r="E84" s="1">
        <v>61</v>
      </c>
      <c r="F84" s="1">
        <v>1</v>
      </c>
      <c r="G84" s="1">
        <v>0</v>
      </c>
      <c r="H84" s="1">
        <v>0</v>
      </c>
      <c r="I84" s="1">
        <v>434</v>
      </c>
      <c r="J84" s="43"/>
      <c r="K84" s="1">
        <v>1</v>
      </c>
      <c r="L84" s="1"/>
      <c r="M84" s="1"/>
      <c r="N84" s="1"/>
      <c r="O84" s="1"/>
      <c r="P84" s="1"/>
      <c r="Q84" s="1"/>
      <c r="R84" s="1"/>
      <c r="S84" s="1"/>
      <c r="T84" s="1"/>
    </row>
    <row r="85" spans="1:20" ht="15.75" customHeight="1" x14ac:dyDescent="0.15">
      <c r="A85" s="1" t="s">
        <v>262</v>
      </c>
      <c r="B85" s="1" t="s">
        <v>263</v>
      </c>
      <c r="C85" s="1" t="s">
        <v>264</v>
      </c>
      <c r="D85" s="1" t="s">
        <v>210</v>
      </c>
      <c r="E85" s="1">
        <v>75</v>
      </c>
      <c r="F85" s="1">
        <v>2</v>
      </c>
      <c r="G85" s="1">
        <v>1</v>
      </c>
      <c r="H85" s="1">
        <v>0</v>
      </c>
      <c r="I85" s="1">
        <v>476</v>
      </c>
      <c r="J85" s="43"/>
      <c r="K85" s="1">
        <v>1</v>
      </c>
      <c r="L85" s="1"/>
      <c r="M85" s="1"/>
      <c r="N85" s="1"/>
      <c r="O85" s="1"/>
      <c r="P85" s="1"/>
      <c r="Q85" s="1"/>
      <c r="R85" s="1"/>
      <c r="S85" s="1"/>
      <c r="T85" s="1"/>
    </row>
    <row r="86" spans="1:20" ht="15.75" customHeight="1" x14ac:dyDescent="0.15">
      <c r="A86" s="1" t="s">
        <v>265</v>
      </c>
      <c r="B86" s="1" t="s">
        <v>266</v>
      </c>
      <c r="C86" s="1" t="s">
        <v>267</v>
      </c>
      <c r="D86" s="1" t="s">
        <v>210</v>
      </c>
      <c r="E86" s="1">
        <v>56</v>
      </c>
      <c r="F86" s="1">
        <v>1</v>
      </c>
      <c r="G86" s="1">
        <v>0</v>
      </c>
      <c r="H86" s="1">
        <v>0</v>
      </c>
      <c r="I86" s="1">
        <v>428</v>
      </c>
      <c r="J86" s="43"/>
      <c r="K86" s="1">
        <v>1</v>
      </c>
      <c r="L86" s="1"/>
      <c r="M86" s="1"/>
      <c r="N86" s="1"/>
      <c r="O86" s="1"/>
      <c r="P86" s="1"/>
      <c r="Q86" s="1"/>
      <c r="R86" s="1"/>
      <c r="S86" s="1"/>
      <c r="T86" s="1"/>
    </row>
    <row r="87" spans="1:20" ht="15.75" customHeight="1" x14ac:dyDescent="0.15">
      <c r="A87" s="1" t="s">
        <v>268</v>
      </c>
      <c r="B87" s="1" t="s">
        <v>269</v>
      </c>
      <c r="C87" s="1" t="s">
        <v>270</v>
      </c>
      <c r="D87" s="1" t="s">
        <v>210</v>
      </c>
      <c r="E87" s="1">
        <v>81</v>
      </c>
      <c r="F87" s="1">
        <v>1</v>
      </c>
      <c r="G87" s="1">
        <v>0</v>
      </c>
      <c r="H87" s="1">
        <v>0</v>
      </c>
      <c r="I87" s="1">
        <v>67</v>
      </c>
      <c r="J87" s="43"/>
      <c r="K87" s="1">
        <v>1</v>
      </c>
      <c r="L87" s="1"/>
      <c r="M87" s="1"/>
      <c r="N87" s="1"/>
      <c r="O87" s="1"/>
      <c r="P87" s="1"/>
      <c r="Q87" s="1"/>
      <c r="R87" s="1"/>
      <c r="S87" s="1"/>
      <c r="T87" s="1"/>
    </row>
    <row r="88" spans="1:20" ht="15.75" customHeight="1" x14ac:dyDescent="0.15">
      <c r="A88" s="1" t="s">
        <v>271</v>
      </c>
      <c r="B88" s="1" t="s">
        <v>272</v>
      </c>
      <c r="C88" s="1" t="s">
        <v>273</v>
      </c>
      <c r="D88" s="1" t="s">
        <v>210</v>
      </c>
      <c r="E88" s="1">
        <v>63</v>
      </c>
      <c r="F88" s="1">
        <v>2</v>
      </c>
      <c r="G88" s="1">
        <v>0</v>
      </c>
      <c r="H88" s="1">
        <v>0</v>
      </c>
      <c r="I88" s="1">
        <v>812</v>
      </c>
      <c r="J88" s="43"/>
      <c r="K88" s="1">
        <v>1</v>
      </c>
      <c r="L88" s="1"/>
      <c r="M88" s="1"/>
      <c r="N88" s="1"/>
      <c r="O88" s="1"/>
      <c r="P88" s="1"/>
      <c r="Q88" s="1"/>
      <c r="R88" s="1"/>
      <c r="S88" s="1"/>
      <c r="T88" s="1"/>
    </row>
    <row r="89" spans="1:20" ht="15.75" customHeight="1" x14ac:dyDescent="0.15">
      <c r="A89" s="1" t="s">
        <v>274</v>
      </c>
      <c r="B89" s="1" t="s">
        <v>275</v>
      </c>
      <c r="C89" s="1" t="s">
        <v>276</v>
      </c>
      <c r="D89" s="1" t="s">
        <v>210</v>
      </c>
      <c r="E89" s="1">
        <v>72</v>
      </c>
      <c r="F89" s="1">
        <v>2</v>
      </c>
      <c r="G89" s="1">
        <v>1</v>
      </c>
      <c r="H89" s="1">
        <v>0</v>
      </c>
      <c r="I89" s="1">
        <v>368</v>
      </c>
      <c r="J89" s="43"/>
      <c r="K89" s="1">
        <v>1</v>
      </c>
      <c r="L89" s="1"/>
      <c r="M89" s="1"/>
      <c r="N89" s="1"/>
      <c r="O89" s="1"/>
      <c r="P89" s="1"/>
      <c r="Q89" s="1"/>
      <c r="R89" s="1"/>
      <c r="S89" s="1"/>
      <c r="T89" s="1"/>
    </row>
    <row r="90" spans="1:20" ht="15.75" customHeight="1" x14ac:dyDescent="0.15">
      <c r="A90" s="1" t="s">
        <v>277</v>
      </c>
      <c r="B90" s="1" t="s">
        <v>278</v>
      </c>
      <c r="C90" s="1" t="s">
        <v>279</v>
      </c>
      <c r="D90" s="1" t="s">
        <v>210</v>
      </c>
      <c r="E90" s="1">
        <v>44</v>
      </c>
      <c r="F90" s="1">
        <v>2</v>
      </c>
      <c r="G90" s="1">
        <v>1</v>
      </c>
      <c r="H90" s="1">
        <v>0</v>
      </c>
      <c r="I90" s="1">
        <v>199</v>
      </c>
      <c r="J90" s="43"/>
      <c r="K90" s="1">
        <v>1</v>
      </c>
      <c r="L90" s="1"/>
      <c r="M90" s="1"/>
      <c r="N90" s="1"/>
      <c r="O90" s="1"/>
      <c r="P90" s="1"/>
      <c r="Q90" s="1"/>
      <c r="R90" s="1"/>
      <c r="S90" s="1"/>
      <c r="T90" s="1"/>
    </row>
    <row r="91" spans="1:20" ht="15.75" customHeight="1" x14ac:dyDescent="0.15">
      <c r="A91" s="1" t="s">
        <v>280</v>
      </c>
      <c r="B91" s="1" t="s">
        <v>281</v>
      </c>
      <c r="C91" s="1" t="s">
        <v>282</v>
      </c>
      <c r="D91" s="1" t="s">
        <v>210</v>
      </c>
      <c r="E91" s="1">
        <v>46</v>
      </c>
      <c r="F91" s="1">
        <v>1</v>
      </c>
      <c r="G91" s="1">
        <v>1</v>
      </c>
      <c r="H91" s="1">
        <v>0</v>
      </c>
      <c r="I91" s="1">
        <v>333</v>
      </c>
      <c r="J91" s="43"/>
      <c r="K91" s="1">
        <v>1</v>
      </c>
      <c r="L91" s="1"/>
      <c r="M91" s="1"/>
      <c r="N91" s="1"/>
      <c r="O91" s="1"/>
      <c r="P91" s="1"/>
      <c r="Q91" s="1"/>
      <c r="R91" s="1"/>
      <c r="S91" s="1"/>
      <c r="T91" s="1"/>
    </row>
    <row r="92" spans="1:20" ht="15.75" customHeight="1" x14ac:dyDescent="0.15">
      <c r="A92" s="1" t="s">
        <v>283</v>
      </c>
      <c r="B92" s="1" t="s">
        <v>284</v>
      </c>
      <c r="C92" s="1" t="s">
        <v>285</v>
      </c>
      <c r="D92" s="1" t="s">
        <v>210</v>
      </c>
      <c r="E92" s="1">
        <v>40</v>
      </c>
      <c r="F92" s="1">
        <v>1</v>
      </c>
      <c r="G92" s="1">
        <v>0</v>
      </c>
      <c r="H92" s="1">
        <v>0</v>
      </c>
      <c r="I92" s="1">
        <v>362</v>
      </c>
      <c r="J92" s="43"/>
      <c r="K92" s="1">
        <v>1</v>
      </c>
      <c r="L92" s="1"/>
      <c r="M92" s="1"/>
      <c r="N92" s="1"/>
      <c r="O92" s="1"/>
      <c r="P92" s="1"/>
      <c r="Q92" s="1"/>
      <c r="R92" s="1"/>
      <c r="S92" s="1"/>
      <c r="T92" s="1"/>
    </row>
    <row r="93" spans="1:20" ht="15.75" customHeight="1" x14ac:dyDescent="0.15">
      <c r="A93" s="1" t="s">
        <v>286</v>
      </c>
      <c r="B93" s="1" t="s">
        <v>287</v>
      </c>
      <c r="C93" s="1" t="s">
        <v>288</v>
      </c>
      <c r="D93" s="1" t="s">
        <v>210</v>
      </c>
      <c r="E93" s="1">
        <v>81</v>
      </c>
      <c r="F93" s="1">
        <v>2</v>
      </c>
      <c r="G93" s="1">
        <v>1</v>
      </c>
      <c r="H93" s="1">
        <v>0</v>
      </c>
      <c r="I93" s="1">
        <v>82</v>
      </c>
      <c r="J93" s="43"/>
      <c r="K93" s="1">
        <v>1</v>
      </c>
      <c r="L93" s="1"/>
      <c r="M93" s="1"/>
      <c r="N93" s="1"/>
      <c r="O93" s="1"/>
      <c r="P93" s="1"/>
      <c r="Q93" s="1"/>
      <c r="R93" s="1"/>
      <c r="S93" s="1"/>
      <c r="T93" s="1"/>
    </row>
    <row r="94" spans="1:20" ht="15.75" customHeight="1" x14ac:dyDescent="0.15">
      <c r="A94" s="1" t="s">
        <v>289</v>
      </c>
      <c r="B94" s="1" t="s">
        <v>290</v>
      </c>
      <c r="C94" s="1" t="s">
        <v>291</v>
      </c>
      <c r="D94" s="1" t="s">
        <v>210</v>
      </c>
      <c r="E94" s="1">
        <v>62</v>
      </c>
      <c r="F94" s="1">
        <v>1</v>
      </c>
      <c r="G94" s="1">
        <v>0</v>
      </c>
      <c r="H94" s="1">
        <v>0</v>
      </c>
      <c r="I94" s="1">
        <v>317</v>
      </c>
      <c r="J94" s="43"/>
      <c r="K94" s="1">
        <v>1</v>
      </c>
      <c r="L94" s="1"/>
      <c r="M94" s="1"/>
      <c r="N94" s="1"/>
      <c r="O94" s="1"/>
      <c r="P94" s="1"/>
      <c r="Q94" s="1"/>
      <c r="R94" s="1"/>
      <c r="S94" s="1"/>
      <c r="T94" s="1"/>
    </row>
    <row r="95" spans="1:20" ht="15.75" customHeight="1" x14ac:dyDescent="0.15">
      <c r="A95" s="1" t="s">
        <v>292</v>
      </c>
      <c r="B95" s="1" t="s">
        <v>293</v>
      </c>
      <c r="C95" s="1" t="s">
        <v>294</v>
      </c>
      <c r="D95" s="1" t="s">
        <v>210</v>
      </c>
      <c r="E95" s="1">
        <v>57</v>
      </c>
      <c r="F95" s="1">
        <v>1</v>
      </c>
      <c r="G95" s="1">
        <v>0</v>
      </c>
      <c r="H95" s="1">
        <v>0</v>
      </c>
      <c r="I95" s="1">
        <v>508</v>
      </c>
      <c r="J95" s="43"/>
      <c r="K95" s="1">
        <v>1</v>
      </c>
      <c r="L95" s="1"/>
      <c r="M95" s="1"/>
      <c r="N95" s="1"/>
      <c r="O95" s="1"/>
      <c r="P95" s="1"/>
      <c r="Q95" s="1"/>
      <c r="R95" s="1"/>
      <c r="S95" s="1"/>
      <c r="T95" s="1"/>
    </row>
    <row r="96" spans="1:20" ht="15.75" customHeight="1" x14ac:dyDescent="0.15">
      <c r="A96" s="1" t="s">
        <v>295</v>
      </c>
      <c r="B96" s="1" t="s">
        <v>296</v>
      </c>
      <c r="C96" s="1" t="s">
        <v>297</v>
      </c>
      <c r="D96" s="1" t="s">
        <v>210</v>
      </c>
      <c r="E96" s="1">
        <v>61</v>
      </c>
      <c r="F96" s="1">
        <v>2</v>
      </c>
      <c r="G96" s="1">
        <v>0</v>
      </c>
      <c r="H96" s="1">
        <v>0</v>
      </c>
      <c r="I96" s="1">
        <v>322</v>
      </c>
      <c r="J96" s="43"/>
      <c r="K96" s="1">
        <v>1</v>
      </c>
      <c r="L96" s="1"/>
      <c r="M96" s="1"/>
      <c r="N96" s="1"/>
      <c r="O96" s="1"/>
      <c r="P96" s="1"/>
      <c r="Q96" s="1"/>
      <c r="R96" s="1"/>
      <c r="S96" s="1"/>
      <c r="T96" s="1"/>
    </row>
    <row r="97" spans="1:20" ht="15.75" customHeight="1" x14ac:dyDescent="0.15">
      <c r="A97" s="1" t="s">
        <v>298</v>
      </c>
      <c r="B97" s="1" t="s">
        <v>299</v>
      </c>
      <c r="C97" s="1" t="s">
        <v>300</v>
      </c>
      <c r="D97" s="1" t="s">
        <v>210</v>
      </c>
      <c r="E97" s="1">
        <v>45</v>
      </c>
      <c r="F97" s="1">
        <v>2</v>
      </c>
      <c r="G97" s="1">
        <v>0</v>
      </c>
      <c r="H97" s="1">
        <v>0</v>
      </c>
      <c r="I97" s="1">
        <v>268</v>
      </c>
      <c r="J97" s="43"/>
      <c r="K97" s="1">
        <v>1</v>
      </c>
      <c r="L97" s="1"/>
      <c r="M97" s="1"/>
      <c r="N97" s="1"/>
      <c r="O97" s="1"/>
      <c r="P97" s="1"/>
      <c r="Q97" s="1"/>
      <c r="R97" s="1"/>
      <c r="S97" s="1"/>
      <c r="T97" s="1"/>
    </row>
    <row r="98" spans="1:20" ht="15.75" customHeight="1" x14ac:dyDescent="0.15">
      <c r="A98" s="1" t="s">
        <v>301</v>
      </c>
      <c r="B98" s="1" t="s">
        <v>302</v>
      </c>
      <c r="C98" s="5" t="s">
        <v>303</v>
      </c>
      <c r="D98" s="1" t="s">
        <v>304</v>
      </c>
      <c r="E98" s="1">
        <v>64.22</v>
      </c>
      <c r="F98" s="1">
        <v>1</v>
      </c>
      <c r="G98" s="1">
        <v>0</v>
      </c>
      <c r="H98" s="1">
        <v>0</v>
      </c>
      <c r="I98" s="1">
        <v>284</v>
      </c>
      <c r="J98" s="1">
        <v>0</v>
      </c>
      <c r="K98" s="43"/>
      <c r="L98" s="1"/>
      <c r="M98" s="1"/>
      <c r="N98" s="1"/>
      <c r="O98" s="1"/>
      <c r="P98" s="1"/>
      <c r="Q98" s="1"/>
      <c r="R98" s="1"/>
      <c r="S98" s="1"/>
      <c r="T98" s="1"/>
    </row>
    <row r="99" spans="1:20" ht="15.75" customHeight="1" x14ac:dyDescent="0.15">
      <c r="A99" s="1" t="s">
        <v>305</v>
      </c>
      <c r="B99" s="1" t="s">
        <v>306</v>
      </c>
      <c r="C99" s="5" t="s">
        <v>307</v>
      </c>
      <c r="D99" s="1" t="s">
        <v>304</v>
      </c>
      <c r="E99" s="1">
        <v>60.66</v>
      </c>
      <c r="F99" s="1">
        <v>1</v>
      </c>
      <c r="G99" s="1">
        <v>1</v>
      </c>
      <c r="H99" s="1">
        <v>0</v>
      </c>
      <c r="I99" s="1">
        <v>521</v>
      </c>
      <c r="J99" s="1">
        <v>0</v>
      </c>
      <c r="K99" s="43"/>
      <c r="L99" s="1"/>
      <c r="M99" s="1"/>
      <c r="N99" s="1"/>
      <c r="O99" s="1"/>
      <c r="P99" s="1"/>
      <c r="Q99" s="1"/>
      <c r="R99" s="1"/>
      <c r="S99" s="1"/>
      <c r="T99" s="1"/>
    </row>
    <row r="100" spans="1:20" ht="15.75" customHeight="1" x14ac:dyDescent="0.15">
      <c r="A100" s="1" t="s">
        <v>308</v>
      </c>
      <c r="B100" s="1" t="s">
        <v>309</v>
      </c>
      <c r="C100" s="5" t="s">
        <v>310</v>
      </c>
      <c r="D100" s="1" t="s">
        <v>304</v>
      </c>
      <c r="E100" s="1">
        <v>55.13</v>
      </c>
      <c r="F100" s="1">
        <v>2</v>
      </c>
      <c r="G100" s="1">
        <v>0</v>
      </c>
      <c r="H100" s="1">
        <v>0</v>
      </c>
      <c r="I100" s="1">
        <v>537</v>
      </c>
      <c r="J100" s="1">
        <v>0</v>
      </c>
      <c r="K100" s="43"/>
      <c r="L100" s="1"/>
      <c r="M100" s="1"/>
      <c r="N100" s="1"/>
      <c r="O100" s="1"/>
      <c r="P100" s="1"/>
      <c r="Q100" s="1"/>
      <c r="R100" s="1"/>
      <c r="S100" s="1"/>
      <c r="T100" s="1"/>
    </row>
    <row r="101" spans="1:20" ht="15.75" customHeight="1" x14ac:dyDescent="0.15">
      <c r="A101" s="1" t="s">
        <v>311</v>
      </c>
      <c r="B101" s="1" t="s">
        <v>312</v>
      </c>
      <c r="C101" s="1" t="s">
        <v>313</v>
      </c>
      <c r="D101" s="1" t="s">
        <v>304</v>
      </c>
      <c r="E101" s="1">
        <v>57.19</v>
      </c>
      <c r="F101" s="1">
        <v>1</v>
      </c>
      <c r="G101" s="1">
        <v>1</v>
      </c>
      <c r="H101" s="1">
        <v>0</v>
      </c>
      <c r="I101" s="1">
        <v>613</v>
      </c>
      <c r="J101" s="1">
        <v>0</v>
      </c>
      <c r="K101" s="43"/>
      <c r="L101" s="1"/>
      <c r="M101" s="1"/>
      <c r="N101" s="1"/>
      <c r="O101" s="1"/>
      <c r="P101" s="1"/>
      <c r="Q101" s="1"/>
      <c r="R101" s="1"/>
      <c r="S101" s="1"/>
      <c r="T101" s="1"/>
    </row>
    <row r="102" spans="1:20" ht="15.75" customHeight="1" x14ac:dyDescent="0.15">
      <c r="A102" s="1" t="s">
        <v>314</v>
      </c>
      <c r="B102" s="1" t="s">
        <v>315</v>
      </c>
      <c r="C102" s="1" t="s">
        <v>316</v>
      </c>
      <c r="D102" s="1" t="s">
        <v>304</v>
      </c>
      <c r="E102" s="1">
        <v>70.569999999999993</v>
      </c>
      <c r="F102" s="1">
        <v>1</v>
      </c>
      <c r="G102" s="1">
        <v>1</v>
      </c>
      <c r="H102" s="1">
        <v>0</v>
      </c>
      <c r="I102" s="1">
        <v>684</v>
      </c>
      <c r="J102" s="1">
        <v>0</v>
      </c>
      <c r="K102" s="43"/>
      <c r="L102" s="1"/>
      <c r="M102" s="1"/>
      <c r="N102" s="1"/>
      <c r="O102" s="1"/>
      <c r="P102" s="1"/>
      <c r="Q102" s="1"/>
      <c r="R102" s="1"/>
      <c r="S102" s="1"/>
      <c r="T102" s="1"/>
    </row>
    <row r="103" spans="1:20" ht="15.75" customHeight="1" x14ac:dyDescent="0.15">
      <c r="A103" s="1" t="s">
        <v>317</v>
      </c>
      <c r="B103" s="1" t="s">
        <v>318</v>
      </c>
      <c r="C103" s="5" t="s">
        <v>319</v>
      </c>
      <c r="D103" s="1" t="s">
        <v>304</v>
      </c>
      <c r="E103" s="1">
        <v>72.25</v>
      </c>
      <c r="F103" s="1">
        <v>2</v>
      </c>
      <c r="G103" s="1">
        <v>0</v>
      </c>
      <c r="H103" s="1">
        <v>0</v>
      </c>
      <c r="I103" s="1">
        <v>215</v>
      </c>
      <c r="J103" s="1">
        <v>1</v>
      </c>
      <c r="K103" s="43"/>
      <c r="L103" s="1"/>
      <c r="M103" s="1"/>
      <c r="N103" s="1"/>
      <c r="O103" s="1"/>
      <c r="P103" s="1"/>
      <c r="Q103" s="1"/>
      <c r="R103" s="1"/>
      <c r="S103" s="1"/>
      <c r="T103" s="1"/>
    </row>
    <row r="104" spans="1:20" ht="15.75" customHeight="1" x14ac:dyDescent="0.15">
      <c r="A104" s="1" t="s">
        <v>320</v>
      </c>
      <c r="B104" s="1" t="s">
        <v>321</v>
      </c>
      <c r="C104" s="5" t="s">
        <v>322</v>
      </c>
      <c r="D104" s="1" t="s">
        <v>304</v>
      </c>
      <c r="E104" s="1">
        <v>63.99</v>
      </c>
      <c r="F104" s="1">
        <v>1</v>
      </c>
      <c r="G104" s="1">
        <v>0</v>
      </c>
      <c r="H104" s="1">
        <v>0</v>
      </c>
      <c r="I104" s="1">
        <v>149</v>
      </c>
      <c r="J104" s="1">
        <v>1</v>
      </c>
      <c r="K104" s="43"/>
      <c r="L104" s="1"/>
      <c r="M104" s="1"/>
      <c r="N104" s="1"/>
      <c r="O104" s="1"/>
      <c r="P104" s="1"/>
      <c r="Q104" s="1"/>
      <c r="R104" s="1"/>
      <c r="S104" s="1"/>
      <c r="T104" s="1"/>
    </row>
    <row r="105" spans="1:20" ht="15.75" customHeight="1" x14ac:dyDescent="0.15">
      <c r="A105" s="1" t="s">
        <v>323</v>
      </c>
      <c r="B105" s="1" t="s">
        <v>324</v>
      </c>
      <c r="C105" s="5" t="s">
        <v>325</v>
      </c>
      <c r="D105" s="1" t="s">
        <v>304</v>
      </c>
      <c r="E105" s="1">
        <v>61.33</v>
      </c>
      <c r="F105" s="1">
        <v>2</v>
      </c>
      <c r="G105" s="1">
        <v>0</v>
      </c>
      <c r="H105" s="1">
        <v>0</v>
      </c>
      <c r="I105" s="1">
        <v>490</v>
      </c>
      <c r="J105" s="1">
        <v>0</v>
      </c>
      <c r="K105" s="43"/>
      <c r="L105" s="1"/>
      <c r="M105" s="1"/>
      <c r="N105" s="1"/>
      <c r="O105" s="1"/>
      <c r="P105" s="1"/>
      <c r="Q105" s="1"/>
      <c r="R105" s="1"/>
      <c r="S105" s="1"/>
      <c r="T105" s="1"/>
    </row>
    <row r="106" spans="1:20" ht="15.75" customHeight="1" x14ac:dyDescent="0.15">
      <c r="A106" s="1" t="s">
        <v>326</v>
      </c>
      <c r="B106" s="1" t="s">
        <v>327</v>
      </c>
      <c r="C106" s="5" t="s">
        <v>328</v>
      </c>
      <c r="D106" s="1" t="s">
        <v>304</v>
      </c>
      <c r="E106" s="1">
        <v>83.61</v>
      </c>
      <c r="F106" s="1">
        <v>1</v>
      </c>
      <c r="G106" s="1">
        <v>1</v>
      </c>
      <c r="H106" s="1">
        <v>0</v>
      </c>
      <c r="I106" s="1">
        <v>122</v>
      </c>
      <c r="J106" s="1">
        <v>1</v>
      </c>
      <c r="K106" s="43"/>
      <c r="L106" s="1"/>
      <c r="M106" s="1"/>
      <c r="N106" s="1"/>
      <c r="O106" s="1"/>
      <c r="P106" s="1"/>
      <c r="Q106" s="1"/>
      <c r="R106" s="1"/>
      <c r="S106" s="1"/>
      <c r="T106" s="1"/>
    </row>
    <row r="107" spans="1:20" ht="15.75" customHeight="1" x14ac:dyDescent="0.15">
      <c r="A107" s="1" t="s">
        <v>329</v>
      </c>
      <c r="B107" s="1" t="s">
        <v>330</v>
      </c>
      <c r="C107" s="1" t="s">
        <v>331</v>
      </c>
      <c r="D107" s="1" t="s">
        <v>304</v>
      </c>
      <c r="E107" s="1">
        <v>69.36</v>
      </c>
      <c r="F107" s="1">
        <v>1</v>
      </c>
      <c r="G107" s="1">
        <v>0</v>
      </c>
      <c r="H107" s="1">
        <v>0</v>
      </c>
      <c r="I107" s="1">
        <v>342</v>
      </c>
      <c r="J107" s="1">
        <v>0</v>
      </c>
      <c r="K107" s="43"/>
      <c r="L107" s="1"/>
      <c r="M107" s="1"/>
      <c r="N107" s="1"/>
      <c r="O107" s="1"/>
      <c r="P107" s="1"/>
      <c r="Q107" s="1"/>
      <c r="R107" s="1"/>
      <c r="S107" s="1"/>
      <c r="T107" s="1"/>
    </row>
    <row r="108" spans="1:20" ht="15.75" customHeight="1" x14ac:dyDescent="0.15">
      <c r="A108" s="1" t="s">
        <v>332</v>
      </c>
      <c r="B108" s="1" t="s">
        <v>333</v>
      </c>
      <c r="C108" s="5" t="s">
        <v>334</v>
      </c>
      <c r="D108" s="1" t="s">
        <v>304</v>
      </c>
      <c r="E108" s="1">
        <v>78.7</v>
      </c>
      <c r="F108" s="1">
        <v>1</v>
      </c>
      <c r="G108" s="1">
        <v>0</v>
      </c>
      <c r="H108" s="1">
        <v>0</v>
      </c>
      <c r="I108" s="1">
        <v>248</v>
      </c>
      <c r="J108" s="1">
        <v>0</v>
      </c>
      <c r="K108" s="43"/>
      <c r="L108" s="1"/>
      <c r="M108" s="1"/>
      <c r="N108" s="1"/>
      <c r="O108" s="1"/>
      <c r="P108" s="1"/>
      <c r="Q108" s="1"/>
      <c r="R108" s="1"/>
      <c r="S108" s="1"/>
      <c r="T108" s="1"/>
    </row>
    <row r="109" spans="1:20" ht="15.75" customHeight="1" x14ac:dyDescent="0.15">
      <c r="A109" s="1" t="s">
        <v>335</v>
      </c>
      <c r="B109" s="1" t="s">
        <v>336</v>
      </c>
      <c r="C109" s="5" t="s">
        <v>337</v>
      </c>
      <c r="D109" s="1" t="s">
        <v>304</v>
      </c>
      <c r="E109" s="1">
        <v>60.82</v>
      </c>
      <c r="F109" s="1">
        <v>1</v>
      </c>
      <c r="G109" s="1">
        <v>1</v>
      </c>
      <c r="H109" s="1">
        <v>0</v>
      </c>
      <c r="I109" s="1">
        <v>516</v>
      </c>
      <c r="J109" s="1">
        <v>1</v>
      </c>
      <c r="K109" s="43"/>
      <c r="L109" s="1"/>
      <c r="M109" s="1"/>
      <c r="N109" s="1"/>
      <c r="O109" s="1"/>
      <c r="P109" s="1"/>
      <c r="Q109" s="1"/>
      <c r="R109" s="1"/>
      <c r="S109" s="1"/>
      <c r="T109" s="1"/>
    </row>
    <row r="110" spans="1:20" ht="15.75" customHeight="1" x14ac:dyDescent="0.15">
      <c r="A110" s="1" t="s">
        <v>338</v>
      </c>
      <c r="B110" s="1" t="s">
        <v>339</v>
      </c>
      <c r="C110" s="5" t="s">
        <v>340</v>
      </c>
      <c r="D110" s="1" t="s">
        <v>304</v>
      </c>
      <c r="E110" s="1">
        <v>54.63</v>
      </c>
      <c r="F110" s="1">
        <v>1</v>
      </c>
      <c r="G110" s="1">
        <v>0</v>
      </c>
      <c r="H110" s="1">
        <v>0</v>
      </c>
      <c r="I110" s="1">
        <v>324</v>
      </c>
      <c r="J110" s="1">
        <v>0</v>
      </c>
      <c r="K110" s="43"/>
      <c r="L110" s="1"/>
      <c r="M110" s="1"/>
      <c r="N110" s="1"/>
      <c r="O110" s="1"/>
      <c r="P110" s="1"/>
      <c r="Q110" s="1"/>
      <c r="R110" s="1"/>
      <c r="S110" s="1"/>
      <c r="T110" s="1"/>
    </row>
    <row r="111" spans="1:20" ht="15.75" customHeight="1" x14ac:dyDescent="0.15">
      <c r="A111" s="1" t="s">
        <v>341</v>
      </c>
      <c r="B111" s="1" t="s">
        <v>342</v>
      </c>
      <c r="C111" s="1" t="s">
        <v>343</v>
      </c>
      <c r="D111" s="1" t="s">
        <v>304</v>
      </c>
      <c r="E111" s="1">
        <v>65.34</v>
      </c>
      <c r="F111" s="1">
        <v>1</v>
      </c>
      <c r="G111" s="1">
        <v>0</v>
      </c>
      <c r="H111" s="1">
        <v>0</v>
      </c>
      <c r="I111" s="1">
        <v>416</v>
      </c>
      <c r="J111" s="1">
        <v>0</v>
      </c>
      <c r="K111" s="43"/>
      <c r="L111" s="1"/>
      <c r="M111" s="1"/>
      <c r="N111" s="1"/>
      <c r="O111" s="1"/>
      <c r="P111" s="1"/>
      <c r="Q111" s="1"/>
      <c r="R111" s="1"/>
      <c r="S111" s="1"/>
      <c r="T111" s="1"/>
    </row>
    <row r="112" spans="1:20" ht="15.75" customHeight="1" x14ac:dyDescent="0.15">
      <c r="A112" s="1" t="s">
        <v>344</v>
      </c>
      <c r="B112" s="1" t="s">
        <v>345</v>
      </c>
      <c r="C112" s="5" t="s">
        <v>346</v>
      </c>
      <c r="D112" s="1" t="s">
        <v>304</v>
      </c>
      <c r="E112" s="1">
        <v>61.74</v>
      </c>
      <c r="F112" s="1">
        <v>2</v>
      </c>
      <c r="G112" s="1">
        <v>1</v>
      </c>
      <c r="H112" s="1">
        <v>0</v>
      </c>
      <c r="I112" s="1">
        <v>707</v>
      </c>
      <c r="J112" s="1">
        <v>1</v>
      </c>
      <c r="K112" s="43"/>
      <c r="L112" s="1"/>
      <c r="M112" s="1"/>
      <c r="N112" s="1"/>
      <c r="O112" s="1"/>
      <c r="P112" s="1"/>
      <c r="Q112" s="1"/>
      <c r="R112" s="1"/>
      <c r="S112" s="1"/>
      <c r="T112" s="1"/>
    </row>
    <row r="113" spans="1:20" ht="15.75" customHeight="1" x14ac:dyDescent="0.15">
      <c r="A113" s="1" t="s">
        <v>347</v>
      </c>
      <c r="B113" s="1" t="s">
        <v>348</v>
      </c>
      <c r="C113" s="5" t="s">
        <v>349</v>
      </c>
      <c r="D113" s="1" t="s">
        <v>304</v>
      </c>
      <c r="E113" s="1">
        <v>82.67</v>
      </c>
      <c r="F113" s="1">
        <v>1</v>
      </c>
      <c r="G113" s="1">
        <v>1</v>
      </c>
      <c r="H113" s="1">
        <v>0</v>
      </c>
      <c r="I113" s="1">
        <v>249</v>
      </c>
      <c r="J113" s="1">
        <v>0</v>
      </c>
      <c r="K113" s="43"/>
      <c r="L113" s="1"/>
      <c r="M113" s="1"/>
      <c r="N113" s="1"/>
      <c r="O113" s="1"/>
      <c r="P113" s="1"/>
      <c r="Q113" s="1"/>
      <c r="R113" s="1"/>
      <c r="S113" s="1"/>
      <c r="T113" s="1"/>
    </row>
    <row r="114" spans="1:20" ht="15.75" customHeight="1" x14ac:dyDescent="0.15">
      <c r="A114" s="1" t="s">
        <v>350</v>
      </c>
      <c r="B114" s="1" t="s">
        <v>351</v>
      </c>
      <c r="C114" s="5" t="s">
        <v>352</v>
      </c>
      <c r="D114" s="1" t="s">
        <v>304</v>
      </c>
      <c r="E114" s="1">
        <v>51.24</v>
      </c>
      <c r="F114" s="1">
        <v>1</v>
      </c>
      <c r="G114" s="1">
        <v>1</v>
      </c>
      <c r="H114" s="1">
        <v>0</v>
      </c>
      <c r="I114" s="1">
        <v>376</v>
      </c>
      <c r="J114" s="1">
        <v>1</v>
      </c>
      <c r="K114" s="43"/>
      <c r="L114" s="1"/>
      <c r="M114" s="1"/>
      <c r="N114" s="1"/>
      <c r="O114" s="1"/>
      <c r="P114" s="1"/>
      <c r="Q114" s="1"/>
      <c r="R114" s="1"/>
      <c r="S114" s="1"/>
      <c r="T114" s="1"/>
    </row>
    <row r="115" spans="1:20" ht="15.75" customHeight="1" x14ac:dyDescent="0.15">
      <c r="A115" s="1" t="s">
        <v>353</v>
      </c>
      <c r="B115" s="1" t="s">
        <v>354</v>
      </c>
      <c r="C115" s="5" t="s">
        <v>355</v>
      </c>
      <c r="D115" s="1" t="s">
        <v>304</v>
      </c>
      <c r="E115" s="1">
        <v>43.53</v>
      </c>
      <c r="F115" s="1">
        <v>1</v>
      </c>
      <c r="G115" s="1">
        <v>0</v>
      </c>
      <c r="H115" s="1">
        <v>0</v>
      </c>
      <c r="I115" s="1">
        <v>598</v>
      </c>
      <c r="J115" s="1">
        <v>0</v>
      </c>
      <c r="K115" s="43"/>
      <c r="L115" s="1"/>
      <c r="M115" s="1"/>
      <c r="N115" s="1"/>
      <c r="O115" s="1"/>
      <c r="P115" s="1"/>
      <c r="Q115" s="1"/>
      <c r="R115" s="1"/>
      <c r="S115" s="1"/>
      <c r="T115" s="1"/>
    </row>
    <row r="116" spans="1:20" ht="15.75" customHeight="1" x14ac:dyDescent="0.15">
      <c r="A116" s="1" t="s">
        <v>356</v>
      </c>
      <c r="B116" s="1" t="s">
        <v>357</v>
      </c>
      <c r="C116" s="5" t="s">
        <v>358</v>
      </c>
      <c r="D116" s="1" t="s">
        <v>304</v>
      </c>
      <c r="E116" s="1">
        <v>28.11</v>
      </c>
      <c r="F116" s="1">
        <v>1</v>
      </c>
      <c r="G116" s="1">
        <v>0</v>
      </c>
      <c r="H116" s="1">
        <v>0</v>
      </c>
      <c r="I116" s="1">
        <v>36</v>
      </c>
      <c r="J116" s="1">
        <v>1</v>
      </c>
      <c r="K116" s="43"/>
      <c r="L116" s="1"/>
      <c r="M116" s="1"/>
      <c r="N116" s="1"/>
      <c r="O116" s="1"/>
      <c r="P116" s="1"/>
      <c r="Q116" s="1"/>
      <c r="R116" s="1"/>
      <c r="S116" s="1"/>
      <c r="T116" s="1"/>
    </row>
    <row r="117" spans="1:20" ht="15.75" customHeight="1" x14ac:dyDescent="0.15">
      <c r="A117" s="1" t="s">
        <v>359</v>
      </c>
      <c r="B117" s="1" t="s">
        <v>360</v>
      </c>
      <c r="C117" s="5" t="s">
        <v>361</v>
      </c>
      <c r="D117" s="1" t="s">
        <v>304</v>
      </c>
      <c r="E117" s="1">
        <v>60.59</v>
      </c>
      <c r="F117" s="1">
        <v>1</v>
      </c>
      <c r="G117" s="1">
        <v>0</v>
      </c>
      <c r="H117" s="1">
        <v>0</v>
      </c>
      <c r="I117" s="1">
        <v>316</v>
      </c>
      <c r="J117" s="1">
        <v>0</v>
      </c>
      <c r="K117" s="43"/>
      <c r="L117" s="1"/>
      <c r="M117" s="1"/>
      <c r="N117" s="1"/>
      <c r="O117" s="1"/>
      <c r="P117" s="1"/>
      <c r="Q117" s="1"/>
      <c r="R117" s="1"/>
      <c r="S117" s="1"/>
      <c r="T117" s="1"/>
    </row>
    <row r="118" spans="1:20" ht="15.75" customHeight="1" x14ac:dyDescent="0.15">
      <c r="A118" s="1" t="s">
        <v>362</v>
      </c>
      <c r="B118" s="1" t="s">
        <v>363</v>
      </c>
      <c r="C118" s="5" t="s">
        <v>364</v>
      </c>
      <c r="D118" s="1" t="s">
        <v>304</v>
      </c>
      <c r="E118" s="1">
        <v>60.23</v>
      </c>
      <c r="F118" s="1">
        <v>2</v>
      </c>
      <c r="G118" s="1">
        <v>1</v>
      </c>
      <c r="H118" s="1">
        <v>0</v>
      </c>
      <c r="I118" s="1">
        <v>284</v>
      </c>
      <c r="J118" s="1">
        <v>0</v>
      </c>
      <c r="K118" s="43"/>
      <c r="L118" s="1"/>
      <c r="M118" s="1"/>
      <c r="N118" s="1"/>
      <c r="O118" s="1"/>
      <c r="P118" s="1"/>
      <c r="Q118" s="1"/>
      <c r="R118" s="1"/>
      <c r="S118" s="1"/>
      <c r="T118" s="1"/>
    </row>
    <row r="119" spans="1:20" ht="15.75" customHeight="1" x14ac:dyDescent="0.15">
      <c r="A119" s="1" t="s">
        <v>365</v>
      </c>
      <c r="B119" s="1" t="s">
        <v>366</v>
      </c>
      <c r="C119" s="5" t="s">
        <v>367</v>
      </c>
      <c r="D119" s="1" t="s">
        <v>304</v>
      </c>
      <c r="E119" s="1">
        <v>60.67</v>
      </c>
      <c r="F119" s="1">
        <v>1</v>
      </c>
      <c r="G119" s="1">
        <v>1</v>
      </c>
      <c r="H119" s="1">
        <v>0</v>
      </c>
      <c r="I119" s="1">
        <v>338</v>
      </c>
      <c r="J119" s="1">
        <v>0</v>
      </c>
      <c r="K119" s="43"/>
      <c r="L119" s="1"/>
      <c r="M119" s="1"/>
      <c r="N119" s="1"/>
      <c r="O119" s="1"/>
      <c r="P119" s="1"/>
      <c r="Q119" s="1"/>
      <c r="R119" s="1"/>
      <c r="S119" s="1"/>
      <c r="T119" s="1"/>
    </row>
    <row r="120" spans="1:20" ht="15.75" customHeight="1" x14ac:dyDescent="0.15">
      <c r="A120" s="1" t="s">
        <v>368</v>
      </c>
      <c r="B120" s="1" t="s">
        <v>369</v>
      </c>
      <c r="C120" s="5" t="s">
        <v>370</v>
      </c>
      <c r="D120" s="1" t="s">
        <v>304</v>
      </c>
      <c r="E120" s="1">
        <v>67.11</v>
      </c>
      <c r="F120" s="1">
        <v>1</v>
      </c>
      <c r="G120" s="1">
        <v>1</v>
      </c>
      <c r="H120" s="1">
        <v>0</v>
      </c>
      <c r="I120" s="1">
        <v>127</v>
      </c>
      <c r="J120" s="1">
        <v>1</v>
      </c>
      <c r="K120" s="43"/>
      <c r="L120" s="1"/>
      <c r="M120" s="1"/>
      <c r="N120" s="1"/>
      <c r="O120" s="1"/>
      <c r="P120" s="1"/>
      <c r="Q120" s="1"/>
      <c r="R120" s="1"/>
      <c r="S120" s="1"/>
      <c r="T120" s="1"/>
    </row>
    <row r="121" spans="1:20" ht="15.75" customHeight="1" x14ac:dyDescent="0.15">
      <c r="A121" s="1" t="s">
        <v>371</v>
      </c>
      <c r="B121" s="1" t="s">
        <v>372</v>
      </c>
      <c r="C121" s="5" t="s">
        <v>373</v>
      </c>
      <c r="D121" s="1" t="s">
        <v>304</v>
      </c>
      <c r="E121" s="1">
        <v>57.61</v>
      </c>
      <c r="F121" s="1">
        <v>2</v>
      </c>
      <c r="G121" s="1">
        <v>1</v>
      </c>
      <c r="H121" s="1">
        <v>0</v>
      </c>
      <c r="I121" s="1">
        <v>493</v>
      </c>
      <c r="J121" s="1">
        <v>1</v>
      </c>
      <c r="K121" s="43"/>
      <c r="L121" s="1"/>
      <c r="M121" s="1"/>
      <c r="N121" s="1"/>
      <c r="O121" s="1"/>
      <c r="P121" s="1"/>
      <c r="Q121" s="1"/>
      <c r="R121" s="1"/>
      <c r="S121" s="1"/>
      <c r="T121" s="1"/>
    </row>
    <row r="122" spans="1:20" ht="15.75" customHeight="1" x14ac:dyDescent="0.15">
      <c r="A122" s="1" t="s">
        <v>374</v>
      </c>
      <c r="B122" s="1" t="s">
        <v>375</v>
      </c>
      <c r="C122" s="5" t="s">
        <v>376</v>
      </c>
      <c r="D122" s="1" t="s">
        <v>304</v>
      </c>
      <c r="E122" s="1">
        <v>53.19</v>
      </c>
      <c r="F122" s="1">
        <v>1</v>
      </c>
      <c r="G122" s="1">
        <v>0</v>
      </c>
      <c r="H122" s="1">
        <v>0</v>
      </c>
      <c r="I122" s="1">
        <v>680</v>
      </c>
      <c r="J122" s="1">
        <v>0</v>
      </c>
      <c r="K122" s="43"/>
      <c r="L122" s="1"/>
      <c r="M122" s="1"/>
      <c r="N122" s="1"/>
      <c r="O122" s="1"/>
      <c r="P122" s="1"/>
      <c r="Q122" s="1"/>
      <c r="R122" s="1"/>
      <c r="S122" s="1"/>
      <c r="T122" s="1"/>
    </row>
    <row r="123" spans="1:20" ht="15.75" customHeight="1" x14ac:dyDescent="0.15">
      <c r="A123" s="1" t="s">
        <v>377</v>
      </c>
      <c r="B123" s="1" t="s">
        <v>378</v>
      </c>
      <c r="C123" s="1" t="s">
        <v>379</v>
      </c>
      <c r="D123" s="1" t="s">
        <v>304</v>
      </c>
      <c r="E123" s="1">
        <v>57.99</v>
      </c>
      <c r="F123" s="1">
        <v>1</v>
      </c>
      <c r="G123" s="1">
        <v>0</v>
      </c>
      <c r="H123" s="1">
        <v>0</v>
      </c>
      <c r="I123" s="1">
        <v>334</v>
      </c>
      <c r="J123" s="1">
        <v>0</v>
      </c>
      <c r="K123" s="43"/>
      <c r="L123" s="1"/>
      <c r="M123" s="1"/>
      <c r="N123" s="1"/>
      <c r="O123" s="1"/>
      <c r="P123" s="1"/>
      <c r="Q123" s="1"/>
      <c r="R123" s="1"/>
      <c r="S123" s="1"/>
      <c r="T123" s="1"/>
    </row>
    <row r="124" spans="1:20" ht="15.75" customHeight="1" x14ac:dyDescent="0.15">
      <c r="A124" s="1" t="s">
        <v>380</v>
      </c>
      <c r="B124" s="1" t="s">
        <v>381</v>
      </c>
      <c r="C124" s="5" t="s">
        <v>382</v>
      </c>
      <c r="D124" s="1" t="s">
        <v>304</v>
      </c>
      <c r="E124" s="1">
        <v>71.33</v>
      </c>
      <c r="F124" s="1">
        <v>1</v>
      </c>
      <c r="G124" s="1">
        <v>1</v>
      </c>
      <c r="H124" s="1">
        <v>0</v>
      </c>
      <c r="I124" s="1">
        <v>355</v>
      </c>
      <c r="J124" s="1">
        <v>1</v>
      </c>
      <c r="K124" s="43"/>
      <c r="L124" s="1"/>
      <c r="M124" s="1"/>
      <c r="N124" s="1"/>
      <c r="O124" s="1"/>
      <c r="P124" s="1"/>
      <c r="Q124" s="1"/>
      <c r="R124" s="1"/>
      <c r="S124" s="1"/>
      <c r="T124" s="1"/>
    </row>
    <row r="125" spans="1:20" ht="15.75" customHeight="1" x14ac:dyDescent="0.15">
      <c r="A125" s="1" t="s">
        <v>383</v>
      </c>
      <c r="B125" s="1" t="s">
        <v>384</v>
      </c>
      <c r="C125" s="5" t="s">
        <v>385</v>
      </c>
      <c r="D125" s="1" t="s">
        <v>304</v>
      </c>
      <c r="E125" s="1">
        <v>60.7</v>
      </c>
      <c r="F125" s="1">
        <v>1</v>
      </c>
      <c r="G125" s="1">
        <v>0</v>
      </c>
      <c r="H125" s="1">
        <v>0</v>
      </c>
      <c r="I125" s="1">
        <v>765</v>
      </c>
      <c r="J125" s="1">
        <v>1</v>
      </c>
      <c r="K125" s="43"/>
      <c r="L125" s="1"/>
      <c r="M125" s="1"/>
      <c r="N125" s="1"/>
      <c r="O125" s="1"/>
      <c r="P125" s="1"/>
      <c r="Q125" s="1"/>
      <c r="R125" s="1"/>
      <c r="S125" s="1"/>
      <c r="T125" s="1"/>
    </row>
    <row r="126" spans="1:20" ht="15.75" customHeight="1" x14ac:dyDescent="0.15">
      <c r="A126" s="1" t="s">
        <v>386</v>
      </c>
      <c r="B126" s="1" t="s">
        <v>387</v>
      </c>
      <c r="C126" s="5" t="s">
        <v>388</v>
      </c>
      <c r="D126" s="1" t="s">
        <v>304</v>
      </c>
      <c r="E126" s="1">
        <v>58.98</v>
      </c>
      <c r="F126" s="1">
        <v>2</v>
      </c>
      <c r="G126" s="1">
        <v>1</v>
      </c>
      <c r="H126" s="1">
        <v>0</v>
      </c>
      <c r="I126" s="1">
        <v>188</v>
      </c>
      <c r="J126" s="1">
        <v>1</v>
      </c>
      <c r="K126" s="43"/>
      <c r="L126" s="1"/>
      <c r="M126" s="1"/>
      <c r="N126" s="1"/>
      <c r="O126" s="1"/>
      <c r="P126" s="1"/>
      <c r="Q126" s="1"/>
      <c r="R126" s="1"/>
      <c r="S126" s="1"/>
      <c r="T126" s="1"/>
    </row>
    <row r="127" spans="1:20" ht="13" x14ac:dyDescent="0.15">
      <c r="A127" s="1" t="s">
        <v>389</v>
      </c>
      <c r="B127" s="1" t="s">
        <v>390</v>
      </c>
      <c r="C127" s="5" t="s">
        <v>391</v>
      </c>
      <c r="D127" s="1" t="s">
        <v>304</v>
      </c>
      <c r="E127" s="1">
        <v>64.790000000000006</v>
      </c>
      <c r="F127" s="1">
        <v>1</v>
      </c>
      <c r="G127" s="1">
        <v>0</v>
      </c>
      <c r="H127" s="1">
        <v>0</v>
      </c>
      <c r="I127" s="1">
        <v>259</v>
      </c>
      <c r="J127" s="1">
        <v>0</v>
      </c>
      <c r="K127" s="43"/>
      <c r="L127" s="1"/>
      <c r="M127" s="1"/>
      <c r="N127" s="1"/>
      <c r="O127" s="1"/>
      <c r="P127" s="1"/>
      <c r="Q127" s="1"/>
      <c r="R127" s="1"/>
      <c r="S127" s="1"/>
      <c r="T127" s="1"/>
    </row>
    <row r="128" spans="1:20" ht="13" x14ac:dyDescent="0.15">
      <c r="A128" s="1" t="s">
        <v>392</v>
      </c>
      <c r="B128" s="1" t="s">
        <v>393</v>
      </c>
      <c r="C128" s="5" t="s">
        <v>394</v>
      </c>
      <c r="D128" s="1" t="s">
        <v>304</v>
      </c>
      <c r="E128" s="1">
        <v>62.97</v>
      </c>
      <c r="F128" s="1">
        <v>2</v>
      </c>
      <c r="G128" s="1">
        <v>0</v>
      </c>
      <c r="H128" s="1">
        <v>0</v>
      </c>
      <c r="I128" s="1">
        <v>596</v>
      </c>
      <c r="J128" s="1">
        <v>0</v>
      </c>
      <c r="K128" s="43"/>
      <c r="L128" s="1"/>
      <c r="M128" s="1"/>
      <c r="N128" s="1"/>
      <c r="O128" s="1"/>
      <c r="P128" s="1"/>
      <c r="Q128" s="1"/>
      <c r="R128" s="1"/>
      <c r="S128" s="1"/>
      <c r="T128" s="1"/>
    </row>
    <row r="129" spans="1:20" ht="13" x14ac:dyDescent="0.15">
      <c r="A129" s="1" t="s">
        <v>395</v>
      </c>
      <c r="B129" s="1" t="s">
        <v>396</v>
      </c>
      <c r="C129" s="5" t="s">
        <v>397</v>
      </c>
      <c r="D129" s="1" t="s">
        <v>304</v>
      </c>
      <c r="E129" s="1">
        <v>45.97</v>
      </c>
      <c r="F129" s="1">
        <v>1</v>
      </c>
      <c r="G129" s="1">
        <v>0</v>
      </c>
      <c r="H129" s="1">
        <v>0</v>
      </c>
      <c r="I129" s="1">
        <v>256</v>
      </c>
      <c r="J129" s="1">
        <v>0</v>
      </c>
      <c r="K129" s="43"/>
      <c r="L129" s="1"/>
      <c r="M129" s="1"/>
      <c r="N129" s="1"/>
      <c r="O129" s="1"/>
      <c r="P129" s="1"/>
      <c r="Q129" s="1"/>
      <c r="R129" s="1"/>
      <c r="S129" s="1"/>
      <c r="T129" s="1"/>
    </row>
    <row r="130" spans="1:20" ht="13" x14ac:dyDescent="0.15">
      <c r="A130" s="1" t="s">
        <v>398</v>
      </c>
      <c r="B130" s="1" t="s">
        <v>399</v>
      </c>
      <c r="C130" s="5" t="s">
        <v>400</v>
      </c>
      <c r="D130" s="1" t="s">
        <v>304</v>
      </c>
      <c r="E130" s="1">
        <v>51.81</v>
      </c>
      <c r="F130" s="1">
        <v>1</v>
      </c>
      <c r="G130" s="1">
        <v>0</v>
      </c>
      <c r="H130" s="1">
        <v>0</v>
      </c>
      <c r="I130" s="1">
        <v>455</v>
      </c>
      <c r="J130" s="1">
        <v>0</v>
      </c>
      <c r="K130" s="43"/>
      <c r="L130" s="1"/>
      <c r="M130" s="1"/>
      <c r="N130" s="1"/>
      <c r="O130" s="1"/>
      <c r="P130" s="1"/>
      <c r="Q130" s="1"/>
      <c r="R130" s="1"/>
      <c r="S130" s="1"/>
      <c r="T130" s="1"/>
    </row>
    <row r="131" spans="1:20" ht="13" x14ac:dyDescent="0.15">
      <c r="A131" s="1" t="s">
        <v>401</v>
      </c>
      <c r="B131" s="1" t="s">
        <v>402</v>
      </c>
      <c r="C131" s="1" t="s">
        <v>403</v>
      </c>
      <c r="D131" s="1" t="s">
        <v>304</v>
      </c>
      <c r="E131" s="1">
        <v>49.61</v>
      </c>
      <c r="F131" s="1">
        <v>2</v>
      </c>
      <c r="G131" s="1">
        <v>1</v>
      </c>
      <c r="H131" s="1">
        <v>0</v>
      </c>
      <c r="I131" s="1">
        <v>1410</v>
      </c>
      <c r="J131" s="1">
        <v>0</v>
      </c>
      <c r="K131" s="43"/>
      <c r="L131" s="1"/>
      <c r="M131" s="1"/>
      <c r="N131" s="1"/>
      <c r="O131" s="1"/>
      <c r="P131" s="1"/>
      <c r="Q131" s="1"/>
      <c r="R131" s="1"/>
      <c r="S131" s="1"/>
      <c r="T131" s="1"/>
    </row>
    <row r="132" spans="1:20" ht="13" x14ac:dyDescent="0.15">
      <c r="A132" s="1" t="s">
        <v>404</v>
      </c>
      <c r="B132" s="1" t="s">
        <v>405</v>
      </c>
      <c r="C132" s="5" t="s">
        <v>406</v>
      </c>
      <c r="D132" s="1" t="s">
        <v>304</v>
      </c>
      <c r="E132" s="1">
        <v>60.63</v>
      </c>
      <c r="F132" s="1">
        <v>2</v>
      </c>
      <c r="G132" s="1">
        <v>0</v>
      </c>
      <c r="H132" s="1">
        <v>0</v>
      </c>
      <c r="I132" s="1">
        <v>582</v>
      </c>
      <c r="J132" s="1">
        <v>0</v>
      </c>
      <c r="K132" s="43"/>
      <c r="L132" s="1"/>
      <c r="M132" s="1"/>
      <c r="N132" s="1"/>
      <c r="O132" s="1"/>
      <c r="P132" s="1"/>
      <c r="Q132" s="1"/>
      <c r="R132" s="1"/>
      <c r="S132" s="1"/>
      <c r="T132" s="1"/>
    </row>
    <row r="133" spans="1:20" ht="13" x14ac:dyDescent="0.15">
      <c r="A133" s="1" t="s">
        <v>407</v>
      </c>
      <c r="B133" s="1" t="s">
        <v>408</v>
      </c>
      <c r="C133" s="5" t="s">
        <v>409</v>
      </c>
      <c r="D133" s="1" t="s">
        <v>304</v>
      </c>
      <c r="E133" s="1">
        <v>47.22</v>
      </c>
      <c r="F133" s="1">
        <v>1</v>
      </c>
      <c r="G133" s="1">
        <v>0</v>
      </c>
      <c r="H133" s="1">
        <v>0</v>
      </c>
      <c r="I133" s="1">
        <v>664</v>
      </c>
      <c r="J133" s="1">
        <v>0</v>
      </c>
      <c r="K133" s="43"/>
      <c r="L133" s="1"/>
      <c r="M133" s="1"/>
      <c r="N133" s="1"/>
      <c r="O133" s="1"/>
      <c r="P133" s="1"/>
      <c r="Q133" s="1"/>
      <c r="R133" s="1"/>
      <c r="S133" s="1"/>
      <c r="T133" s="1"/>
    </row>
    <row r="134" spans="1:20" ht="13" x14ac:dyDescent="0.15">
      <c r="A134" s="1" t="s">
        <v>410</v>
      </c>
      <c r="B134" s="1" t="s">
        <v>411</v>
      </c>
      <c r="C134" s="5" t="s">
        <v>412</v>
      </c>
      <c r="D134" s="1" t="s">
        <v>304</v>
      </c>
      <c r="E134" s="1">
        <v>81.42</v>
      </c>
      <c r="F134" s="1">
        <v>1</v>
      </c>
      <c r="G134" s="1">
        <v>0</v>
      </c>
      <c r="H134" s="1">
        <v>0</v>
      </c>
      <c r="I134" s="1">
        <v>33</v>
      </c>
      <c r="J134" s="1">
        <v>0</v>
      </c>
      <c r="K134" s="43"/>
      <c r="L134" s="1"/>
      <c r="M134" s="1"/>
      <c r="N134" s="1"/>
      <c r="O134" s="1"/>
      <c r="P134" s="1"/>
      <c r="Q134" s="1"/>
      <c r="R134" s="1"/>
      <c r="S134" s="1"/>
      <c r="T134" s="1"/>
    </row>
    <row r="135" spans="1:20" ht="13" x14ac:dyDescent="0.15">
      <c r="A135" s="1" t="s">
        <v>413</v>
      </c>
      <c r="B135" s="1" t="s">
        <v>414</v>
      </c>
      <c r="C135" s="5" t="s">
        <v>415</v>
      </c>
      <c r="D135" s="1" t="s">
        <v>304</v>
      </c>
      <c r="E135" s="1">
        <v>76.36</v>
      </c>
      <c r="F135" s="1">
        <v>2</v>
      </c>
      <c r="G135" s="1">
        <v>1</v>
      </c>
      <c r="H135" s="1">
        <v>0</v>
      </c>
      <c r="I135" s="1">
        <v>735</v>
      </c>
      <c r="J135" s="1">
        <v>1</v>
      </c>
      <c r="K135" s="43"/>
      <c r="L135" s="1"/>
      <c r="M135" s="1"/>
      <c r="N135" s="1"/>
      <c r="O135" s="1"/>
      <c r="P135" s="1"/>
      <c r="Q135" s="1"/>
      <c r="R135" s="1"/>
      <c r="S135" s="1"/>
      <c r="T135" s="1"/>
    </row>
    <row r="136" spans="1:20" ht="13" x14ac:dyDescent="0.15">
      <c r="A136" s="1" t="s">
        <v>416</v>
      </c>
      <c r="B136" s="1" t="s">
        <v>417</v>
      </c>
      <c r="C136" s="5" t="s">
        <v>418</v>
      </c>
      <c r="D136" s="1" t="s">
        <v>304</v>
      </c>
      <c r="E136" s="1">
        <v>75.06</v>
      </c>
      <c r="F136" s="1">
        <v>1</v>
      </c>
      <c r="G136" s="1">
        <v>0</v>
      </c>
      <c r="H136" s="1">
        <v>0</v>
      </c>
      <c r="I136" s="1">
        <v>51</v>
      </c>
      <c r="J136" s="1">
        <v>1</v>
      </c>
      <c r="K136" s="43"/>
      <c r="L136" s="1"/>
      <c r="M136" s="1"/>
      <c r="N136" s="1"/>
      <c r="O136" s="1"/>
      <c r="P136" s="1"/>
      <c r="Q136" s="1"/>
      <c r="R136" s="1"/>
      <c r="S136" s="1"/>
      <c r="T136" s="1"/>
    </row>
    <row r="137" spans="1:20" ht="13" x14ac:dyDescent="0.15">
      <c r="A137" s="1" t="s">
        <v>419</v>
      </c>
      <c r="B137" s="1" t="s">
        <v>420</v>
      </c>
      <c r="C137" s="5" t="s">
        <v>421</v>
      </c>
      <c r="D137" s="1" t="s">
        <v>304</v>
      </c>
      <c r="E137" s="1">
        <v>72.709999999999994</v>
      </c>
      <c r="F137" s="1">
        <v>2</v>
      </c>
      <c r="G137" s="1">
        <v>1</v>
      </c>
      <c r="H137" s="1">
        <v>0</v>
      </c>
      <c r="I137" s="1">
        <v>510</v>
      </c>
      <c r="J137" s="1">
        <v>0</v>
      </c>
      <c r="K137" s="43"/>
      <c r="L137" s="1"/>
      <c r="M137" s="1"/>
      <c r="N137" s="1"/>
      <c r="O137" s="1"/>
      <c r="P137" s="1"/>
      <c r="Q137" s="1"/>
      <c r="R137" s="1"/>
      <c r="S137" s="1"/>
      <c r="T137" s="1"/>
    </row>
    <row r="138" spans="1:20" ht="13" x14ac:dyDescent="0.15">
      <c r="A138" s="1" t="s">
        <v>422</v>
      </c>
      <c r="B138" s="1" t="s">
        <v>423</v>
      </c>
      <c r="C138" s="1" t="s">
        <v>424</v>
      </c>
      <c r="D138" s="1" t="s">
        <v>304</v>
      </c>
      <c r="E138" s="1">
        <v>68.19</v>
      </c>
      <c r="F138" s="1">
        <v>1</v>
      </c>
      <c r="G138" s="1">
        <v>1</v>
      </c>
      <c r="H138" s="1">
        <v>0</v>
      </c>
      <c r="I138" s="1">
        <v>191</v>
      </c>
      <c r="J138" s="1">
        <v>1</v>
      </c>
      <c r="K138" s="43"/>
      <c r="L138" s="1"/>
      <c r="M138" s="1"/>
      <c r="N138" s="1"/>
      <c r="O138" s="1"/>
      <c r="P138" s="1"/>
      <c r="Q138" s="1"/>
      <c r="R138" s="1"/>
      <c r="S138" s="1"/>
      <c r="T138" s="1"/>
    </row>
    <row r="139" spans="1:20" ht="13" x14ac:dyDescent="0.15">
      <c r="A139" s="1" t="s">
        <v>425</v>
      </c>
      <c r="B139" s="1" t="s">
        <v>426</v>
      </c>
      <c r="C139" s="5" t="s">
        <v>427</v>
      </c>
      <c r="D139" s="1" t="s">
        <v>304</v>
      </c>
      <c r="E139" s="1">
        <v>51.54</v>
      </c>
      <c r="F139" s="1">
        <v>2</v>
      </c>
      <c r="G139" s="1">
        <v>1</v>
      </c>
      <c r="H139" s="1">
        <v>0</v>
      </c>
      <c r="I139" s="1">
        <v>578</v>
      </c>
      <c r="J139" s="1">
        <v>0</v>
      </c>
      <c r="K139" s="43"/>
      <c r="L139" s="1"/>
      <c r="M139" s="1"/>
      <c r="N139" s="1"/>
      <c r="O139" s="1"/>
      <c r="P139" s="1"/>
      <c r="Q139" s="1"/>
      <c r="R139" s="1"/>
      <c r="S139" s="1"/>
      <c r="T139" s="1"/>
    </row>
    <row r="140" spans="1:20" ht="13" x14ac:dyDescent="0.15">
      <c r="A140" s="1" t="s">
        <v>428</v>
      </c>
      <c r="B140" s="1" t="s">
        <v>429</v>
      </c>
      <c r="C140" s="5" t="s">
        <v>430</v>
      </c>
      <c r="D140" s="1" t="s">
        <v>304</v>
      </c>
      <c r="E140" s="1">
        <v>69.2</v>
      </c>
      <c r="F140" s="1">
        <v>1</v>
      </c>
      <c r="G140" s="1">
        <v>0</v>
      </c>
      <c r="H140" s="1">
        <v>0</v>
      </c>
      <c r="I140" s="1">
        <v>114</v>
      </c>
      <c r="J140" s="1">
        <v>1</v>
      </c>
      <c r="K140" s="43"/>
      <c r="L140" s="1"/>
      <c r="M140" s="1"/>
      <c r="N140" s="1"/>
      <c r="O140" s="1"/>
      <c r="P140" s="1"/>
      <c r="Q140" s="1"/>
      <c r="R140" s="1"/>
      <c r="S140" s="1"/>
      <c r="T140" s="1"/>
    </row>
    <row r="141" spans="1:20" ht="13" x14ac:dyDescent="0.15">
      <c r="A141" s="1" t="s">
        <v>431</v>
      </c>
      <c r="B141" s="1" t="s">
        <v>432</v>
      </c>
      <c r="C141" s="5" t="s">
        <v>433</v>
      </c>
      <c r="D141" s="1" t="s">
        <v>304</v>
      </c>
      <c r="E141" s="1">
        <v>55.17</v>
      </c>
      <c r="F141" s="1">
        <v>1</v>
      </c>
      <c r="G141" s="1">
        <v>0</v>
      </c>
      <c r="H141" s="1">
        <v>0</v>
      </c>
      <c r="I141" s="1">
        <v>820</v>
      </c>
      <c r="J141" s="1">
        <v>0</v>
      </c>
      <c r="K141" s="43"/>
      <c r="L141" s="1"/>
      <c r="M141" s="1"/>
      <c r="N141" s="1"/>
      <c r="O141" s="1"/>
      <c r="P141" s="1"/>
      <c r="Q141" s="1"/>
      <c r="R141" s="1"/>
      <c r="S141" s="1"/>
      <c r="T141" s="1"/>
    </row>
    <row r="142" spans="1:20" ht="13" x14ac:dyDescent="0.15">
      <c r="A142" s="1" t="s">
        <v>434</v>
      </c>
      <c r="B142" s="1" t="s">
        <v>435</v>
      </c>
      <c r="C142" s="5" t="s">
        <v>436</v>
      </c>
      <c r="D142" s="1" t="s">
        <v>304</v>
      </c>
      <c r="E142" s="1">
        <v>22.79</v>
      </c>
      <c r="F142" s="1">
        <v>2</v>
      </c>
      <c r="G142" s="1">
        <v>0</v>
      </c>
      <c r="H142" s="1">
        <v>0</v>
      </c>
      <c r="I142" s="1">
        <v>99</v>
      </c>
      <c r="J142" s="1">
        <v>0</v>
      </c>
      <c r="K142" s="43"/>
      <c r="L142" s="1"/>
      <c r="M142" s="1"/>
      <c r="N142" s="1"/>
      <c r="O142" s="1"/>
      <c r="P142" s="1"/>
      <c r="Q142" s="1"/>
      <c r="R142" s="1"/>
      <c r="S142" s="1"/>
      <c r="T142" s="1"/>
    </row>
    <row r="143" spans="1:20" ht="13" x14ac:dyDescent="0.15">
      <c r="A143" s="1" t="s">
        <v>437</v>
      </c>
      <c r="B143" s="1" t="s">
        <v>438</v>
      </c>
      <c r="C143" s="5" t="s">
        <v>439</v>
      </c>
      <c r="D143" s="1" t="s">
        <v>304</v>
      </c>
      <c r="E143" s="1">
        <v>78.13</v>
      </c>
      <c r="F143" s="1">
        <v>1</v>
      </c>
      <c r="G143" s="1">
        <v>0</v>
      </c>
      <c r="H143" s="1">
        <v>0</v>
      </c>
      <c r="I143" s="1">
        <v>384</v>
      </c>
      <c r="J143" s="1">
        <v>1</v>
      </c>
      <c r="K143" s="43"/>
      <c r="L143" s="1"/>
      <c r="M143" s="1"/>
      <c r="N143" s="1"/>
      <c r="O143" s="1"/>
      <c r="P143" s="1"/>
      <c r="Q143" s="1"/>
      <c r="R143" s="1"/>
      <c r="S143" s="1"/>
      <c r="T143" s="1"/>
    </row>
    <row r="144" spans="1:20" ht="13" x14ac:dyDescent="0.15">
      <c r="A144" s="1" t="s">
        <v>440</v>
      </c>
      <c r="B144" s="1" t="s">
        <v>441</v>
      </c>
      <c r="C144" s="1" t="s">
        <v>442</v>
      </c>
      <c r="D144" s="1" t="s">
        <v>304</v>
      </c>
      <c r="E144" s="1">
        <v>50.03</v>
      </c>
      <c r="F144" s="1">
        <v>1</v>
      </c>
      <c r="G144" s="1">
        <v>1</v>
      </c>
      <c r="H144" s="1">
        <v>0</v>
      </c>
      <c r="I144" s="1">
        <v>1227</v>
      </c>
      <c r="J144" s="1">
        <v>0</v>
      </c>
      <c r="K144" s="43"/>
      <c r="L144" s="1"/>
      <c r="M144" s="1"/>
      <c r="N144" s="1"/>
      <c r="O144" s="1"/>
      <c r="P144" s="1"/>
      <c r="Q144" s="1"/>
      <c r="R144" s="1"/>
      <c r="S144" s="1"/>
      <c r="T144" s="1"/>
    </row>
    <row r="145" spans="1:20" ht="13" x14ac:dyDescent="0.15">
      <c r="A145" s="1" t="s">
        <v>443</v>
      </c>
      <c r="B145" s="1" t="s">
        <v>444</v>
      </c>
      <c r="C145" s="1" t="s">
        <v>445</v>
      </c>
      <c r="D145" s="1" t="s">
        <v>304</v>
      </c>
      <c r="E145" s="1">
        <v>64.760000000000005</v>
      </c>
      <c r="F145" s="1">
        <v>1</v>
      </c>
      <c r="G145" s="1">
        <v>0</v>
      </c>
      <c r="H145" s="1">
        <v>0</v>
      </c>
      <c r="I145" s="1">
        <v>374</v>
      </c>
      <c r="J145" s="1">
        <v>1</v>
      </c>
      <c r="K145" s="43"/>
      <c r="L145" s="1"/>
      <c r="M145" s="1"/>
      <c r="N145" s="1"/>
      <c r="O145" s="1"/>
      <c r="P145" s="1"/>
      <c r="Q145" s="1"/>
      <c r="R145" s="1"/>
      <c r="S145" s="1"/>
      <c r="T145" s="1"/>
    </row>
    <row r="146" spans="1:20" ht="13" x14ac:dyDescent="0.15">
      <c r="A146" s="1" t="s">
        <v>446</v>
      </c>
      <c r="B146" s="1" t="s">
        <v>447</v>
      </c>
      <c r="C146" s="5" t="s">
        <v>448</v>
      </c>
      <c r="D146" s="1" t="s">
        <v>304</v>
      </c>
      <c r="E146" s="1">
        <v>76.13</v>
      </c>
      <c r="F146" s="1">
        <v>1</v>
      </c>
      <c r="G146" s="1">
        <v>0</v>
      </c>
      <c r="H146" s="1">
        <v>0</v>
      </c>
      <c r="I146" s="1">
        <v>234</v>
      </c>
      <c r="J146" s="1">
        <v>0</v>
      </c>
      <c r="K146" s="43"/>
      <c r="L146" s="1"/>
      <c r="M146" s="1"/>
      <c r="N146" s="1"/>
      <c r="O146" s="1"/>
      <c r="P146" s="1"/>
      <c r="Q146" s="1"/>
      <c r="R146" s="1"/>
      <c r="S146" s="1"/>
      <c r="T146" s="1"/>
    </row>
    <row r="147" spans="1:20" ht="13" x14ac:dyDescent="0.15">
      <c r="A147" s="1" t="s">
        <v>449</v>
      </c>
      <c r="B147" s="1" t="s">
        <v>450</v>
      </c>
      <c r="C147" s="5" t="s">
        <v>451</v>
      </c>
      <c r="D147" s="1" t="s">
        <v>304</v>
      </c>
      <c r="E147" s="1">
        <v>29.01</v>
      </c>
      <c r="F147" s="1">
        <v>1</v>
      </c>
      <c r="G147" s="1">
        <v>0</v>
      </c>
      <c r="H147" s="1">
        <v>0</v>
      </c>
      <c r="I147" s="1">
        <v>138</v>
      </c>
      <c r="J147" s="1">
        <v>1</v>
      </c>
      <c r="K147" s="43"/>
      <c r="L147" s="1"/>
      <c r="M147" s="1"/>
      <c r="N147" s="1"/>
      <c r="O147" s="1"/>
      <c r="P147" s="1"/>
      <c r="Q147" s="1"/>
      <c r="R147" s="1"/>
      <c r="S147" s="1"/>
      <c r="T147" s="1"/>
    </row>
    <row r="148" spans="1:20" ht="13" x14ac:dyDescent="0.15">
      <c r="A148" s="1" t="s">
        <v>452</v>
      </c>
      <c r="B148" s="1" t="s">
        <v>453</v>
      </c>
      <c r="C148" s="5" t="s">
        <v>454</v>
      </c>
      <c r="D148" s="1" t="s">
        <v>304</v>
      </c>
      <c r="E148" s="1">
        <v>61.97</v>
      </c>
      <c r="F148" s="1">
        <v>1</v>
      </c>
      <c r="G148" s="1">
        <v>1</v>
      </c>
      <c r="H148" s="1">
        <v>0</v>
      </c>
      <c r="I148" s="1">
        <v>61</v>
      </c>
      <c r="J148" s="1">
        <v>1</v>
      </c>
      <c r="K148" s="43"/>
      <c r="L148" s="1"/>
      <c r="M148" s="1"/>
      <c r="N148" s="1"/>
      <c r="O148" s="1"/>
      <c r="P148" s="1"/>
      <c r="Q148" s="1"/>
      <c r="R148" s="1"/>
      <c r="S148" s="1"/>
      <c r="T148" s="1"/>
    </row>
    <row r="149" spans="1:20" ht="13" x14ac:dyDescent="0.15">
      <c r="A149" s="1" t="s">
        <v>455</v>
      </c>
      <c r="B149" s="1" t="s">
        <v>456</v>
      </c>
      <c r="C149" s="5" t="s">
        <v>457</v>
      </c>
      <c r="D149" s="1" t="s">
        <v>304</v>
      </c>
      <c r="E149" s="1">
        <v>66.180000000000007</v>
      </c>
      <c r="F149" s="1">
        <v>2</v>
      </c>
      <c r="G149" s="1">
        <v>0</v>
      </c>
      <c r="H149" s="1">
        <v>0</v>
      </c>
      <c r="I149" s="1">
        <v>70</v>
      </c>
      <c r="J149" s="1">
        <v>1</v>
      </c>
      <c r="K149" s="43"/>
      <c r="L149" s="1"/>
      <c r="M149" s="1"/>
      <c r="N149" s="1"/>
      <c r="O149" s="1"/>
      <c r="P149" s="1"/>
      <c r="Q149" s="1"/>
      <c r="R149" s="1"/>
      <c r="S149" s="1"/>
      <c r="T149" s="1"/>
    </row>
    <row r="150" spans="1:20" ht="13" x14ac:dyDescent="0.15">
      <c r="A150" s="1" t="s">
        <v>458</v>
      </c>
      <c r="B150" s="1" t="s">
        <v>459</v>
      </c>
      <c r="C150" s="5" t="s">
        <v>460</v>
      </c>
      <c r="D150" s="1" t="s">
        <v>304</v>
      </c>
      <c r="E150" s="1">
        <v>61.42</v>
      </c>
      <c r="F150" s="1">
        <v>1</v>
      </c>
      <c r="G150" s="1">
        <v>0</v>
      </c>
      <c r="H150" s="1">
        <v>0</v>
      </c>
      <c r="I150" s="1">
        <v>98</v>
      </c>
      <c r="J150" s="1">
        <v>1</v>
      </c>
      <c r="K150" s="43"/>
      <c r="L150" s="1"/>
      <c r="M150" s="1"/>
      <c r="N150" s="1"/>
      <c r="O150" s="1"/>
      <c r="P150" s="1"/>
      <c r="Q150" s="1"/>
      <c r="R150" s="1"/>
      <c r="S150" s="1"/>
      <c r="T150" s="1"/>
    </row>
    <row r="151" spans="1:20" ht="13" x14ac:dyDescent="0.15">
      <c r="A151" s="1" t="s">
        <v>461</v>
      </c>
      <c r="B151" s="1" t="s">
        <v>462</v>
      </c>
      <c r="C151" s="5" t="s">
        <v>463</v>
      </c>
      <c r="D151" s="1" t="s">
        <v>304</v>
      </c>
      <c r="E151" s="1">
        <v>75.430000000000007</v>
      </c>
      <c r="F151" s="1">
        <v>2</v>
      </c>
      <c r="G151" s="1">
        <v>1</v>
      </c>
      <c r="H151" s="1">
        <v>0</v>
      </c>
      <c r="I151" s="1">
        <v>75</v>
      </c>
      <c r="J151" s="1">
        <v>0</v>
      </c>
      <c r="K151" s="43"/>
      <c r="L151" s="1"/>
      <c r="M151" s="1"/>
      <c r="N151" s="1"/>
      <c r="O151" s="1"/>
      <c r="P151" s="1"/>
      <c r="Q151" s="1"/>
      <c r="R151" s="1"/>
      <c r="S151" s="1"/>
      <c r="T151" s="1"/>
    </row>
    <row r="152" spans="1:20" ht="13" x14ac:dyDescent="0.15">
      <c r="A152" s="1" t="s">
        <v>464</v>
      </c>
      <c r="B152" s="1" t="s">
        <v>465</v>
      </c>
      <c r="C152" s="5" t="s">
        <v>466</v>
      </c>
      <c r="D152" s="1" t="s">
        <v>304</v>
      </c>
      <c r="E152" s="1">
        <v>52.12</v>
      </c>
      <c r="F152" s="1">
        <v>1</v>
      </c>
      <c r="G152" s="1">
        <v>0</v>
      </c>
      <c r="H152" s="1">
        <v>0</v>
      </c>
      <c r="I152" s="1">
        <v>531</v>
      </c>
      <c r="J152" s="1">
        <v>0</v>
      </c>
      <c r="K152" s="43"/>
      <c r="L152" s="1"/>
      <c r="M152" s="1"/>
      <c r="N152" s="1"/>
      <c r="O152" s="1"/>
      <c r="P152" s="1"/>
      <c r="Q152" s="1"/>
      <c r="R152" s="1"/>
      <c r="S152" s="1"/>
      <c r="T152" s="1"/>
    </row>
    <row r="153" spans="1:20" ht="13" x14ac:dyDescent="0.15">
      <c r="A153" s="1" t="s">
        <v>467</v>
      </c>
      <c r="B153" s="1" t="s">
        <v>468</v>
      </c>
      <c r="C153" s="1" t="s">
        <v>469</v>
      </c>
      <c r="D153" s="1" t="s">
        <v>304</v>
      </c>
      <c r="E153" s="1">
        <v>60.66</v>
      </c>
      <c r="F153" s="1">
        <v>2</v>
      </c>
      <c r="G153" s="1">
        <v>1</v>
      </c>
      <c r="H153" s="1">
        <v>0</v>
      </c>
      <c r="I153" s="1">
        <v>1527</v>
      </c>
      <c r="J153" s="1">
        <v>1</v>
      </c>
      <c r="K153" s="43"/>
      <c r="L153" s="1"/>
      <c r="M153" s="1"/>
      <c r="N153" s="1"/>
      <c r="O153" s="1"/>
      <c r="P153" s="1"/>
      <c r="Q153" s="1"/>
      <c r="R153" s="1"/>
      <c r="S153" s="1"/>
      <c r="T153" s="1"/>
    </row>
    <row r="154" spans="1:20" ht="13" x14ac:dyDescent="0.15">
      <c r="A154" s="1" t="s">
        <v>470</v>
      </c>
      <c r="B154" s="1" t="s">
        <v>471</v>
      </c>
      <c r="C154" s="5" t="s">
        <v>472</v>
      </c>
      <c r="D154" s="1" t="s">
        <v>304</v>
      </c>
      <c r="E154" s="1">
        <v>71.760000000000005</v>
      </c>
      <c r="F154" s="1">
        <v>1</v>
      </c>
      <c r="G154" s="1">
        <v>0</v>
      </c>
      <c r="H154" s="1">
        <v>0</v>
      </c>
      <c r="I154" s="1">
        <v>248</v>
      </c>
      <c r="J154" s="1">
        <v>1</v>
      </c>
      <c r="K154" s="43"/>
      <c r="L154" s="1"/>
      <c r="M154" s="1"/>
      <c r="N154" s="1"/>
      <c r="O154" s="1"/>
      <c r="P154" s="1"/>
      <c r="Q154" s="1"/>
      <c r="R154" s="1"/>
      <c r="S154" s="1"/>
      <c r="T154" s="1"/>
    </row>
    <row r="155" spans="1:20" ht="13" x14ac:dyDescent="0.15">
      <c r="A155" s="1" t="s">
        <v>473</v>
      </c>
      <c r="B155" s="1" t="s">
        <v>474</v>
      </c>
      <c r="C155" s="5" t="s">
        <v>475</v>
      </c>
      <c r="D155" s="1" t="s">
        <v>304</v>
      </c>
      <c r="E155" s="1">
        <v>48.71</v>
      </c>
      <c r="F155" s="1">
        <v>2</v>
      </c>
      <c r="G155" s="1">
        <v>0</v>
      </c>
      <c r="H155" s="1">
        <v>0</v>
      </c>
      <c r="I155" s="1">
        <v>610</v>
      </c>
      <c r="J155" s="1">
        <v>0</v>
      </c>
      <c r="K155" s="43"/>
      <c r="L155" s="1"/>
      <c r="M155" s="1"/>
      <c r="N155" s="1"/>
      <c r="O155" s="1"/>
      <c r="P155" s="1"/>
      <c r="Q155" s="1"/>
      <c r="R155" s="1"/>
      <c r="S155" s="1"/>
      <c r="T155" s="1"/>
    </row>
    <row r="156" spans="1:20" ht="13" x14ac:dyDescent="0.15">
      <c r="A156" s="1" t="s">
        <v>476</v>
      </c>
      <c r="B156" s="1" t="s">
        <v>477</v>
      </c>
      <c r="C156" s="1" t="s">
        <v>478</v>
      </c>
      <c r="D156" s="1" t="s">
        <v>304</v>
      </c>
      <c r="E156" s="1">
        <v>64.16</v>
      </c>
      <c r="F156" s="1">
        <v>2</v>
      </c>
      <c r="G156" s="1">
        <v>0</v>
      </c>
      <c r="H156" s="1">
        <v>0</v>
      </c>
      <c r="I156" s="1">
        <v>503</v>
      </c>
      <c r="J156" s="1">
        <v>1</v>
      </c>
      <c r="K156" s="43"/>
      <c r="L156" s="1"/>
      <c r="M156" s="1"/>
      <c r="N156" s="1"/>
      <c r="O156" s="1"/>
      <c r="P156" s="1"/>
      <c r="Q156" s="1"/>
      <c r="R156" s="1"/>
      <c r="S156" s="1"/>
      <c r="T156" s="1"/>
    </row>
    <row r="157" spans="1:20" ht="13" x14ac:dyDescent="0.15">
      <c r="A157" s="1" t="s">
        <v>479</v>
      </c>
      <c r="B157" s="1" t="s">
        <v>480</v>
      </c>
      <c r="C157" s="5" t="s">
        <v>481</v>
      </c>
      <c r="D157" s="1" t="s">
        <v>304</v>
      </c>
      <c r="E157" s="1">
        <v>74.22</v>
      </c>
      <c r="F157" s="1">
        <v>2</v>
      </c>
      <c r="G157" s="1">
        <v>0</v>
      </c>
      <c r="H157" s="1">
        <v>0</v>
      </c>
      <c r="I157" s="1">
        <v>104</v>
      </c>
      <c r="J157" s="1">
        <v>1</v>
      </c>
      <c r="K157" s="43"/>
      <c r="L157" s="1"/>
      <c r="M157" s="1"/>
      <c r="N157" s="1"/>
      <c r="O157" s="1"/>
      <c r="P157" s="1"/>
      <c r="Q157" s="1"/>
      <c r="R157" s="1"/>
      <c r="S157" s="1"/>
      <c r="T157" s="1"/>
    </row>
    <row r="158" spans="1:20" ht="13" x14ac:dyDescent="0.15">
      <c r="A158" s="1" t="s">
        <v>482</v>
      </c>
      <c r="B158" s="1" t="s">
        <v>483</v>
      </c>
      <c r="C158" s="5" t="s">
        <v>484</v>
      </c>
      <c r="D158" s="1" t="s">
        <v>304</v>
      </c>
      <c r="E158" s="1">
        <v>87.59</v>
      </c>
      <c r="F158" s="1">
        <v>1</v>
      </c>
      <c r="G158" s="1">
        <v>0</v>
      </c>
      <c r="H158" s="1">
        <v>0</v>
      </c>
      <c r="I158" s="1">
        <v>440</v>
      </c>
      <c r="J158" s="1">
        <v>0</v>
      </c>
      <c r="K158" s="43"/>
      <c r="L158" s="1"/>
      <c r="M158" s="1"/>
      <c r="N158" s="1"/>
      <c r="O158" s="1"/>
      <c r="P158" s="1"/>
      <c r="Q158" s="1"/>
      <c r="R158" s="1"/>
      <c r="S158" s="1"/>
      <c r="T158" s="1"/>
    </row>
    <row r="159" spans="1:20" ht="13" x14ac:dyDescent="0.15">
      <c r="A159" s="1" t="s">
        <v>485</v>
      </c>
      <c r="B159" s="1" t="s">
        <v>486</v>
      </c>
      <c r="C159" s="5" t="s">
        <v>487</v>
      </c>
      <c r="D159" s="1" t="s">
        <v>304</v>
      </c>
      <c r="E159" s="1">
        <v>56.09</v>
      </c>
      <c r="F159" s="1">
        <v>2</v>
      </c>
      <c r="G159" s="1">
        <v>1</v>
      </c>
      <c r="H159" s="1">
        <v>0</v>
      </c>
      <c r="I159" s="1">
        <v>497</v>
      </c>
      <c r="J159" s="1">
        <v>1</v>
      </c>
      <c r="K159" s="43"/>
      <c r="L159" s="1"/>
      <c r="M159" s="1"/>
      <c r="N159" s="1"/>
      <c r="O159" s="1"/>
      <c r="P159" s="1"/>
      <c r="Q159" s="1"/>
      <c r="R159" s="1"/>
      <c r="S159" s="1"/>
      <c r="T159" s="1"/>
    </row>
    <row r="160" spans="1:20" ht="13" x14ac:dyDescent="0.15">
      <c r="A160" s="1" t="s">
        <v>488</v>
      </c>
      <c r="B160" s="1" t="s">
        <v>489</v>
      </c>
      <c r="C160" s="1" t="s">
        <v>490</v>
      </c>
      <c r="D160" s="1" t="s">
        <v>304</v>
      </c>
      <c r="E160" s="1">
        <v>66.36</v>
      </c>
      <c r="F160" s="1">
        <v>1</v>
      </c>
      <c r="G160" s="44">
        <v>1</v>
      </c>
      <c r="H160" s="1">
        <v>0</v>
      </c>
      <c r="I160" s="1">
        <v>688</v>
      </c>
      <c r="J160" s="1">
        <v>0</v>
      </c>
      <c r="K160" s="43"/>
      <c r="L160" s="1"/>
      <c r="M160" s="44"/>
      <c r="N160" s="1"/>
      <c r="O160" s="1"/>
      <c r="P160" s="1"/>
      <c r="Q160" s="1"/>
      <c r="R160" s="1"/>
      <c r="S160" s="1"/>
      <c r="T160" s="1"/>
    </row>
    <row r="161" spans="1:20" ht="13" x14ac:dyDescent="0.15">
      <c r="A161" s="1" t="s">
        <v>491</v>
      </c>
      <c r="B161" s="1" t="s">
        <v>492</v>
      </c>
      <c r="C161" s="5" t="s">
        <v>493</v>
      </c>
      <c r="D161" s="1" t="s">
        <v>304</v>
      </c>
      <c r="E161" s="1">
        <v>82.41</v>
      </c>
      <c r="F161" s="1">
        <v>2</v>
      </c>
      <c r="G161" s="1">
        <v>0</v>
      </c>
      <c r="H161" s="1">
        <v>0</v>
      </c>
      <c r="I161" s="1">
        <v>80</v>
      </c>
      <c r="J161" s="1">
        <v>1</v>
      </c>
      <c r="K161" s="43"/>
      <c r="L161" s="1"/>
      <c r="M161" s="1"/>
      <c r="N161" s="1"/>
      <c r="O161" s="1"/>
      <c r="P161" s="1"/>
      <c r="Q161" s="1"/>
      <c r="R161" s="1"/>
      <c r="S161" s="1"/>
      <c r="T161" s="1"/>
    </row>
    <row r="162" spans="1:20" ht="13" x14ac:dyDescent="0.15">
      <c r="A162" s="1" t="s">
        <v>494</v>
      </c>
      <c r="B162" s="1" t="s">
        <v>495</v>
      </c>
      <c r="C162" s="5" t="s">
        <v>496</v>
      </c>
      <c r="D162" s="1" t="s">
        <v>304</v>
      </c>
      <c r="E162" s="1">
        <v>66.16</v>
      </c>
      <c r="F162" s="1">
        <v>1</v>
      </c>
      <c r="G162" s="1">
        <v>0</v>
      </c>
      <c r="H162" s="1">
        <v>0</v>
      </c>
      <c r="I162" s="1">
        <v>199</v>
      </c>
      <c r="J162" s="1">
        <v>1</v>
      </c>
      <c r="K162" s="43"/>
      <c r="L162" s="1"/>
      <c r="M162" s="1"/>
      <c r="N162" s="1"/>
      <c r="O162" s="1"/>
      <c r="P162" s="1"/>
      <c r="Q162" s="1"/>
      <c r="R162" s="1"/>
      <c r="S162" s="1"/>
      <c r="T162" s="1"/>
    </row>
    <row r="163" spans="1:20" ht="13" x14ac:dyDescent="0.15">
      <c r="A163" s="1" t="s">
        <v>497</v>
      </c>
      <c r="B163" s="1" t="s">
        <v>498</v>
      </c>
      <c r="C163" s="5" t="s">
        <v>499</v>
      </c>
      <c r="D163" s="1" t="s">
        <v>304</v>
      </c>
      <c r="E163" s="1">
        <v>62.89</v>
      </c>
      <c r="F163" s="1">
        <v>1</v>
      </c>
      <c r="G163" s="1">
        <v>0</v>
      </c>
      <c r="H163" s="1">
        <v>0</v>
      </c>
      <c r="I163" s="1">
        <v>443</v>
      </c>
      <c r="J163" s="1">
        <v>1</v>
      </c>
      <c r="K163" s="43"/>
      <c r="L163" s="1"/>
      <c r="M163" s="1"/>
      <c r="N163" s="1"/>
      <c r="O163" s="1"/>
      <c r="P163" s="1"/>
      <c r="Q163" s="1"/>
      <c r="R163" s="1"/>
      <c r="S163" s="1"/>
      <c r="T163" s="1"/>
    </row>
    <row r="164" spans="1:20" ht="13" x14ac:dyDescent="0.15">
      <c r="A164" s="1" t="s">
        <v>500</v>
      </c>
      <c r="B164" s="1" t="s">
        <v>501</v>
      </c>
      <c r="C164" s="5" t="s">
        <v>502</v>
      </c>
      <c r="D164" s="1" t="s">
        <v>304</v>
      </c>
      <c r="E164" s="1">
        <v>65.75</v>
      </c>
      <c r="F164" s="1">
        <v>2</v>
      </c>
      <c r="G164" s="1">
        <v>1</v>
      </c>
      <c r="H164" s="1">
        <v>0</v>
      </c>
      <c r="I164" s="1">
        <v>635</v>
      </c>
      <c r="J164" s="1">
        <v>0</v>
      </c>
      <c r="K164" s="43"/>
      <c r="L164" s="1"/>
      <c r="M164" s="1"/>
      <c r="N164" s="1"/>
      <c r="O164" s="1"/>
      <c r="P164" s="1"/>
      <c r="Q164" s="1"/>
      <c r="R164" s="1"/>
      <c r="S164" s="1"/>
      <c r="T164" s="1"/>
    </row>
    <row r="165" spans="1:20" ht="13" x14ac:dyDescent="0.15">
      <c r="A165" s="1" t="s">
        <v>503</v>
      </c>
      <c r="B165" s="1" t="s">
        <v>504</v>
      </c>
      <c r="C165" s="1" t="s">
        <v>505</v>
      </c>
      <c r="D165" s="1" t="s">
        <v>304</v>
      </c>
      <c r="E165" s="1">
        <v>73.62</v>
      </c>
      <c r="F165" s="1">
        <v>1</v>
      </c>
      <c r="G165" s="1">
        <v>1</v>
      </c>
      <c r="H165" s="1">
        <v>0</v>
      </c>
      <c r="I165" s="1">
        <v>240</v>
      </c>
      <c r="J165" s="1">
        <v>1</v>
      </c>
      <c r="K165" s="43"/>
      <c r="L165" s="1"/>
      <c r="M165" s="1"/>
      <c r="N165" s="1"/>
      <c r="O165" s="1"/>
      <c r="P165" s="1"/>
      <c r="Q165" s="1"/>
      <c r="R165" s="1"/>
      <c r="S165" s="1"/>
      <c r="T165" s="1"/>
    </row>
    <row r="166" spans="1:20" ht="13" x14ac:dyDescent="0.15">
      <c r="A166" s="1" t="s">
        <v>506</v>
      </c>
      <c r="B166" s="1" t="s">
        <v>507</v>
      </c>
      <c r="C166" s="5" t="s">
        <v>508</v>
      </c>
      <c r="D166" s="1" t="s">
        <v>304</v>
      </c>
      <c r="E166" s="1">
        <v>62.74</v>
      </c>
      <c r="F166" s="1">
        <v>1</v>
      </c>
      <c r="G166" s="1">
        <v>0</v>
      </c>
      <c r="H166" s="1">
        <v>0</v>
      </c>
      <c r="I166" s="1">
        <v>44</v>
      </c>
      <c r="J166" s="1">
        <v>1</v>
      </c>
      <c r="K166" s="43"/>
      <c r="L166" s="1"/>
      <c r="M166" s="1"/>
      <c r="N166" s="1"/>
      <c r="O166" s="1"/>
      <c r="P166" s="1"/>
      <c r="Q166" s="1"/>
      <c r="R166" s="1"/>
      <c r="S166" s="1"/>
      <c r="T166" s="1"/>
    </row>
    <row r="167" spans="1:20" ht="13" x14ac:dyDescent="0.15">
      <c r="A167" s="1" t="s">
        <v>509</v>
      </c>
      <c r="B167" s="1" t="s">
        <v>510</v>
      </c>
      <c r="C167" s="5" t="s">
        <v>511</v>
      </c>
      <c r="D167" s="1" t="s">
        <v>304</v>
      </c>
      <c r="E167" s="1">
        <v>55.59</v>
      </c>
      <c r="F167" s="1">
        <v>1</v>
      </c>
      <c r="G167" s="1">
        <v>1</v>
      </c>
      <c r="H167" s="1">
        <v>0</v>
      </c>
      <c r="I167" s="1">
        <v>879</v>
      </c>
      <c r="J167" s="1">
        <v>1</v>
      </c>
      <c r="K167" s="43"/>
      <c r="L167" s="1"/>
      <c r="M167" s="1"/>
      <c r="N167" s="1"/>
      <c r="O167" s="1"/>
      <c r="P167" s="1"/>
      <c r="Q167" s="1"/>
      <c r="R167" s="1"/>
      <c r="S167" s="1"/>
      <c r="T167" s="1"/>
    </row>
    <row r="168" spans="1:20" ht="13" x14ac:dyDescent="0.15">
      <c r="A168" s="1" t="s">
        <v>512</v>
      </c>
      <c r="B168" s="1" t="s">
        <v>513</v>
      </c>
      <c r="C168" s="5" t="s">
        <v>514</v>
      </c>
      <c r="D168" s="1" t="s">
        <v>304</v>
      </c>
      <c r="E168" s="1">
        <v>47.9</v>
      </c>
      <c r="F168" s="1">
        <v>1</v>
      </c>
      <c r="G168" s="1">
        <v>0</v>
      </c>
      <c r="H168" s="1">
        <v>0</v>
      </c>
      <c r="I168" s="1">
        <v>423</v>
      </c>
      <c r="J168" s="1">
        <v>1</v>
      </c>
      <c r="K168" s="43"/>
      <c r="L168" s="1"/>
      <c r="M168" s="1"/>
      <c r="N168" s="1"/>
      <c r="O168" s="1"/>
      <c r="P168" s="1"/>
      <c r="Q168" s="1"/>
      <c r="R168" s="1"/>
      <c r="S168" s="1"/>
      <c r="T168" s="1"/>
    </row>
    <row r="169" spans="1:20" ht="13" x14ac:dyDescent="0.15">
      <c r="A169" s="1" t="s">
        <v>515</v>
      </c>
      <c r="B169" s="1" t="s">
        <v>516</v>
      </c>
      <c r="C169" s="5" t="s">
        <v>517</v>
      </c>
      <c r="D169" s="1" t="s">
        <v>304</v>
      </c>
      <c r="E169" s="1">
        <v>59.75</v>
      </c>
      <c r="F169" s="1">
        <v>1</v>
      </c>
      <c r="G169" s="1">
        <v>0</v>
      </c>
      <c r="H169" s="1">
        <v>0</v>
      </c>
      <c r="I169" s="1">
        <v>420</v>
      </c>
      <c r="J169" s="1">
        <v>1</v>
      </c>
      <c r="K169" s="43"/>
      <c r="L169" s="1"/>
      <c r="M169" s="1"/>
      <c r="N169" s="1"/>
      <c r="O169" s="1"/>
      <c r="P169" s="1"/>
      <c r="Q169" s="1"/>
      <c r="R169" s="1"/>
      <c r="S169" s="1"/>
      <c r="T169" s="1"/>
    </row>
    <row r="170" spans="1:20" ht="13" x14ac:dyDescent="0.15">
      <c r="A170" s="1" t="s">
        <v>518</v>
      </c>
      <c r="B170" s="1" t="s">
        <v>519</v>
      </c>
      <c r="C170" s="5" t="s">
        <v>520</v>
      </c>
      <c r="D170" s="1" t="s">
        <v>304</v>
      </c>
      <c r="E170" s="1">
        <v>67.430000000000007</v>
      </c>
      <c r="F170" s="1">
        <v>1</v>
      </c>
      <c r="G170" s="1">
        <v>0</v>
      </c>
      <c r="H170" s="1">
        <v>0</v>
      </c>
      <c r="I170" s="1">
        <v>618</v>
      </c>
      <c r="J170" s="1">
        <v>0</v>
      </c>
      <c r="K170" s="43"/>
      <c r="L170" s="1"/>
      <c r="M170" s="1"/>
      <c r="N170" s="1"/>
      <c r="O170" s="1"/>
      <c r="P170" s="1"/>
      <c r="Q170" s="1"/>
      <c r="R170" s="1"/>
      <c r="S170" s="1"/>
      <c r="T170" s="1"/>
    </row>
    <row r="171" spans="1:20" ht="13" x14ac:dyDescent="0.15">
      <c r="A171" s="1" t="s">
        <v>521</v>
      </c>
      <c r="B171" s="1" t="s">
        <v>522</v>
      </c>
      <c r="C171" s="5" t="s">
        <v>523</v>
      </c>
      <c r="D171" s="1" t="s">
        <v>304</v>
      </c>
      <c r="E171" s="1">
        <v>51.56</v>
      </c>
      <c r="F171" s="1">
        <v>1</v>
      </c>
      <c r="G171" s="1">
        <v>1</v>
      </c>
      <c r="H171" s="1">
        <v>0</v>
      </c>
      <c r="I171" s="1">
        <v>480</v>
      </c>
      <c r="J171" s="1">
        <v>1</v>
      </c>
      <c r="K171" s="43"/>
      <c r="L171" s="1"/>
      <c r="M171" s="1"/>
      <c r="N171" s="1"/>
      <c r="O171" s="1"/>
      <c r="P171" s="1"/>
      <c r="Q171" s="1"/>
      <c r="R171" s="1"/>
      <c r="S171" s="1"/>
      <c r="T171" s="1"/>
    </row>
    <row r="172" spans="1:20" ht="13" x14ac:dyDescent="0.15">
      <c r="A172" s="1" t="s">
        <v>524</v>
      </c>
      <c r="B172" s="1" t="s">
        <v>525</v>
      </c>
      <c r="C172" s="1" t="s">
        <v>526</v>
      </c>
      <c r="D172" s="1" t="s">
        <v>304</v>
      </c>
      <c r="E172" s="1">
        <v>81.77</v>
      </c>
      <c r="F172" s="1">
        <v>1</v>
      </c>
      <c r="G172" s="1">
        <v>1</v>
      </c>
      <c r="H172" s="1">
        <v>0</v>
      </c>
      <c r="I172" s="1">
        <v>117</v>
      </c>
      <c r="J172" s="1">
        <v>0</v>
      </c>
      <c r="K172" s="43"/>
      <c r="L172" s="1"/>
      <c r="M172" s="1"/>
      <c r="N172" s="1"/>
      <c r="O172" s="1"/>
      <c r="P172" s="1"/>
      <c r="Q172" s="1"/>
      <c r="R172" s="1"/>
      <c r="S172" s="1"/>
      <c r="T172" s="1"/>
    </row>
    <row r="173" spans="1:20" ht="13" x14ac:dyDescent="0.15">
      <c r="A173" s="1" t="s">
        <v>527</v>
      </c>
      <c r="B173" s="1" t="s">
        <v>528</v>
      </c>
      <c r="C173" s="5" t="s">
        <v>529</v>
      </c>
      <c r="D173" s="1" t="s">
        <v>304</v>
      </c>
      <c r="E173" s="1">
        <v>63.11</v>
      </c>
      <c r="F173" s="1">
        <v>1</v>
      </c>
      <c r="G173" s="1">
        <v>1</v>
      </c>
      <c r="H173" s="1">
        <v>0</v>
      </c>
      <c r="I173" s="1">
        <v>862</v>
      </c>
      <c r="J173" s="1">
        <v>1</v>
      </c>
      <c r="K173" s="43"/>
      <c r="L173" s="1"/>
      <c r="M173" s="1"/>
      <c r="N173" s="1"/>
      <c r="O173" s="1"/>
      <c r="P173" s="1"/>
      <c r="Q173" s="1"/>
      <c r="R173" s="1"/>
      <c r="S173" s="1"/>
      <c r="T173" s="1"/>
    </row>
    <row r="174" spans="1:20" ht="13" x14ac:dyDescent="0.15">
      <c r="A174" s="1" t="s">
        <v>530</v>
      </c>
      <c r="B174" s="1" t="s">
        <v>531</v>
      </c>
      <c r="C174" s="5" t="s">
        <v>532</v>
      </c>
      <c r="D174" s="1" t="s">
        <v>304</v>
      </c>
      <c r="E174" s="1">
        <v>65.81</v>
      </c>
      <c r="F174" s="1">
        <v>2</v>
      </c>
      <c r="G174" s="1">
        <v>0</v>
      </c>
      <c r="H174" s="1">
        <v>0</v>
      </c>
      <c r="I174" s="1">
        <v>351</v>
      </c>
      <c r="J174" s="1">
        <v>0</v>
      </c>
      <c r="K174" s="43"/>
      <c r="L174" s="1"/>
      <c r="M174" s="1"/>
      <c r="N174" s="1"/>
      <c r="O174" s="1"/>
      <c r="P174" s="1"/>
      <c r="Q174" s="1"/>
      <c r="R174" s="1"/>
      <c r="S174" s="1"/>
      <c r="T174" s="1"/>
    </row>
    <row r="175" spans="1:20" ht="13" x14ac:dyDescent="0.15">
      <c r="A175" s="1" t="s">
        <v>533</v>
      </c>
      <c r="B175" s="1" t="s">
        <v>534</v>
      </c>
      <c r="C175" s="5" t="s">
        <v>535</v>
      </c>
      <c r="D175" s="1" t="s">
        <v>304</v>
      </c>
      <c r="E175" s="1">
        <v>69.22</v>
      </c>
      <c r="F175" s="1">
        <v>2</v>
      </c>
      <c r="G175" s="1">
        <v>0</v>
      </c>
      <c r="H175" s="1">
        <v>0</v>
      </c>
      <c r="I175" s="1">
        <v>297</v>
      </c>
      <c r="J175" s="1">
        <v>1</v>
      </c>
      <c r="K175" s="43"/>
      <c r="L175" s="1"/>
      <c r="M175" s="1"/>
      <c r="N175" s="1"/>
      <c r="O175" s="1"/>
      <c r="P175" s="1"/>
      <c r="Q175" s="1"/>
      <c r="R175" s="1"/>
      <c r="S175" s="1"/>
      <c r="T175" s="1"/>
    </row>
    <row r="176" spans="1:20" ht="13" x14ac:dyDescent="0.15">
      <c r="A176" s="1" t="s">
        <v>536</v>
      </c>
      <c r="B176" s="1" t="s">
        <v>537</v>
      </c>
      <c r="C176" s="1" t="s">
        <v>538</v>
      </c>
      <c r="D176" s="1" t="s">
        <v>304</v>
      </c>
      <c r="E176" s="1">
        <v>67.63</v>
      </c>
      <c r="F176" s="1">
        <v>1</v>
      </c>
      <c r="G176" s="45">
        <v>1</v>
      </c>
      <c r="H176" s="1">
        <v>0</v>
      </c>
      <c r="I176" s="1">
        <v>692</v>
      </c>
      <c r="J176" s="1">
        <v>1</v>
      </c>
      <c r="K176" s="43"/>
      <c r="L176" s="1"/>
      <c r="M176" s="45"/>
      <c r="N176" s="1"/>
      <c r="O176" s="1"/>
      <c r="P176" s="1"/>
      <c r="Q176" s="1"/>
      <c r="R176" s="1"/>
      <c r="S176" s="1"/>
      <c r="T176" s="1"/>
    </row>
    <row r="177" spans="1:20" ht="13" x14ac:dyDescent="0.15">
      <c r="A177" s="1" t="s">
        <v>539</v>
      </c>
      <c r="B177" s="1" t="s">
        <v>540</v>
      </c>
      <c r="C177" s="1" t="s">
        <v>541</v>
      </c>
      <c r="D177" s="1" t="s">
        <v>304</v>
      </c>
      <c r="E177" s="1">
        <v>70.75</v>
      </c>
      <c r="F177" s="1">
        <v>1</v>
      </c>
      <c r="G177" s="1">
        <v>0</v>
      </c>
      <c r="H177" s="1">
        <v>0</v>
      </c>
      <c r="I177" s="1">
        <v>580</v>
      </c>
      <c r="J177" s="1">
        <v>0</v>
      </c>
      <c r="K177" s="43"/>
      <c r="L177" s="1"/>
      <c r="M177" s="1"/>
      <c r="N177" s="1"/>
      <c r="O177" s="1"/>
      <c r="P177" s="1"/>
      <c r="Q177" s="1"/>
      <c r="R177" s="1"/>
      <c r="S177" s="1"/>
      <c r="T177" s="1"/>
    </row>
    <row r="178" spans="1:20" ht="13" x14ac:dyDescent="0.15">
      <c r="A178" s="1" t="s">
        <v>542</v>
      </c>
      <c r="B178" s="1" t="s">
        <v>543</v>
      </c>
      <c r="C178" s="5" t="s">
        <v>544</v>
      </c>
      <c r="D178" s="1" t="s">
        <v>304</v>
      </c>
      <c r="E178" s="1">
        <v>57.26</v>
      </c>
      <c r="F178" s="1">
        <v>1</v>
      </c>
      <c r="G178" s="1">
        <v>0</v>
      </c>
      <c r="H178" s="1">
        <v>0</v>
      </c>
      <c r="I178" s="1">
        <v>21</v>
      </c>
      <c r="J178" s="1">
        <v>0</v>
      </c>
      <c r="K178" s="43"/>
      <c r="L178" s="1"/>
      <c r="M178" s="1"/>
      <c r="N178" s="1"/>
      <c r="O178" s="1"/>
      <c r="P178" s="1"/>
      <c r="Q178" s="1"/>
      <c r="R178" s="1"/>
      <c r="S178" s="1"/>
      <c r="T178" s="1"/>
    </row>
    <row r="179" spans="1:20" ht="13" x14ac:dyDescent="0.15">
      <c r="A179" s="1" t="s">
        <v>545</v>
      </c>
      <c r="B179" s="1" t="s">
        <v>546</v>
      </c>
      <c r="C179" s="5" t="s">
        <v>547</v>
      </c>
      <c r="D179" s="1" t="s">
        <v>304</v>
      </c>
      <c r="E179" s="1">
        <v>70.81</v>
      </c>
      <c r="F179" s="1">
        <v>1</v>
      </c>
      <c r="G179" s="1">
        <v>1</v>
      </c>
      <c r="H179" s="1">
        <v>0</v>
      </c>
      <c r="I179" s="1">
        <v>343</v>
      </c>
      <c r="J179" s="1">
        <v>1</v>
      </c>
      <c r="K179" s="43"/>
      <c r="L179" s="1"/>
      <c r="M179" s="1"/>
      <c r="N179" s="1"/>
      <c r="O179" s="1"/>
      <c r="P179" s="1"/>
      <c r="Q179" s="1"/>
      <c r="R179" s="1"/>
      <c r="S179" s="1"/>
      <c r="T179" s="1"/>
    </row>
    <row r="180" spans="1:20" ht="13" x14ac:dyDescent="0.15">
      <c r="A180" s="1" t="s">
        <v>548</v>
      </c>
      <c r="B180" s="1" t="s">
        <v>549</v>
      </c>
      <c r="C180" s="5" t="s">
        <v>550</v>
      </c>
      <c r="D180" s="1" t="s">
        <v>304</v>
      </c>
      <c r="E180" s="1">
        <v>77.45</v>
      </c>
      <c r="F180" s="1">
        <v>2</v>
      </c>
      <c r="G180" s="1">
        <v>1</v>
      </c>
      <c r="H180" s="1">
        <v>0</v>
      </c>
      <c r="I180" s="1">
        <v>303</v>
      </c>
      <c r="J180" s="1">
        <v>0</v>
      </c>
      <c r="K180" s="43"/>
      <c r="L180" s="1"/>
      <c r="M180" s="1"/>
      <c r="N180" s="1"/>
      <c r="O180" s="1"/>
      <c r="P180" s="1"/>
      <c r="Q180" s="1"/>
      <c r="R180" s="1"/>
      <c r="S180" s="1"/>
      <c r="T180" s="1"/>
    </row>
    <row r="181" spans="1:20" ht="13" x14ac:dyDescent="0.15">
      <c r="A181" s="1" t="s">
        <v>551</v>
      </c>
      <c r="B181" s="1" t="s">
        <v>552</v>
      </c>
      <c r="C181" s="5" t="s">
        <v>553</v>
      </c>
      <c r="D181" s="1" t="s">
        <v>304</v>
      </c>
      <c r="E181" s="1">
        <v>64.650000000000006</v>
      </c>
      <c r="F181" s="1">
        <v>1</v>
      </c>
      <c r="G181" s="1">
        <v>0</v>
      </c>
      <c r="H181" s="1">
        <v>0</v>
      </c>
      <c r="I181" s="1">
        <v>211</v>
      </c>
      <c r="J181" s="1">
        <v>1</v>
      </c>
      <c r="K181" s="43"/>
      <c r="L181" s="1"/>
      <c r="M181" s="1"/>
      <c r="N181" s="1"/>
      <c r="O181" s="1"/>
      <c r="P181" s="1"/>
      <c r="Q181" s="1"/>
      <c r="R181" s="1"/>
      <c r="S181" s="1"/>
      <c r="T181" s="1"/>
    </row>
    <row r="182" spans="1:20" ht="13" x14ac:dyDescent="0.15">
      <c r="A182" s="1" t="s">
        <v>554</v>
      </c>
      <c r="B182" s="1" t="s">
        <v>555</v>
      </c>
      <c r="C182" s="5" t="s">
        <v>556</v>
      </c>
      <c r="D182" s="1" t="s">
        <v>304</v>
      </c>
      <c r="E182" s="1">
        <v>73.05</v>
      </c>
      <c r="F182" s="1">
        <v>1</v>
      </c>
      <c r="G182" s="1">
        <v>1</v>
      </c>
      <c r="H182" s="1">
        <v>0</v>
      </c>
      <c r="I182" s="1">
        <v>434</v>
      </c>
      <c r="J182" s="1">
        <v>0</v>
      </c>
      <c r="K182" s="43"/>
      <c r="L182" s="1"/>
      <c r="M182" s="1"/>
      <c r="N182" s="1"/>
      <c r="O182" s="1"/>
      <c r="P182" s="1"/>
      <c r="Q182" s="1"/>
      <c r="R182" s="1"/>
      <c r="S182" s="1"/>
      <c r="T182" s="1"/>
    </row>
    <row r="183" spans="1:20" ht="13" x14ac:dyDescent="0.15">
      <c r="A183" s="1" t="s">
        <v>557</v>
      </c>
      <c r="B183" s="1" t="s">
        <v>558</v>
      </c>
      <c r="C183" s="5" t="s">
        <v>559</v>
      </c>
      <c r="D183" s="1" t="s">
        <v>304</v>
      </c>
      <c r="E183" s="1">
        <v>71.63</v>
      </c>
      <c r="F183" s="1">
        <v>1</v>
      </c>
      <c r="G183" s="1">
        <v>1</v>
      </c>
      <c r="H183" s="1">
        <v>0</v>
      </c>
      <c r="I183" s="1">
        <v>996</v>
      </c>
      <c r="J183" s="1">
        <v>1</v>
      </c>
      <c r="K183" s="43"/>
      <c r="L183" s="1"/>
      <c r="M183" s="1"/>
      <c r="N183" s="1"/>
      <c r="O183" s="1"/>
      <c r="P183" s="1"/>
      <c r="Q183" s="1"/>
      <c r="R183" s="1"/>
      <c r="S183" s="1"/>
      <c r="T183" s="1"/>
    </row>
    <row r="184" spans="1:20" ht="13" x14ac:dyDescent="0.15">
      <c r="A184" s="1" t="s">
        <v>560</v>
      </c>
      <c r="B184" s="1" t="s">
        <v>561</v>
      </c>
      <c r="C184" s="5" t="s">
        <v>562</v>
      </c>
      <c r="D184" s="1" t="s">
        <v>304</v>
      </c>
      <c r="E184" s="1">
        <v>76.150000000000006</v>
      </c>
      <c r="F184" s="1">
        <v>1</v>
      </c>
      <c r="G184" s="1">
        <v>0</v>
      </c>
      <c r="H184" s="1">
        <v>0</v>
      </c>
      <c r="I184" s="1">
        <v>157</v>
      </c>
      <c r="J184" s="1">
        <v>1</v>
      </c>
      <c r="K184" s="43"/>
      <c r="L184" s="1"/>
      <c r="M184" s="1"/>
      <c r="N184" s="1"/>
      <c r="O184" s="1"/>
      <c r="P184" s="1"/>
      <c r="Q184" s="1"/>
      <c r="R184" s="1"/>
      <c r="S184" s="1"/>
      <c r="T184" s="1"/>
    </row>
    <row r="185" spans="1:20" ht="13" x14ac:dyDescent="0.15">
      <c r="A185" s="1" t="s">
        <v>563</v>
      </c>
      <c r="B185" s="1" t="s">
        <v>564</v>
      </c>
      <c r="C185" s="5" t="s">
        <v>565</v>
      </c>
      <c r="D185" s="1" t="s">
        <v>304</v>
      </c>
      <c r="E185" s="1">
        <v>63.68</v>
      </c>
      <c r="F185" s="1">
        <v>1</v>
      </c>
      <c r="G185" s="1">
        <v>0</v>
      </c>
      <c r="H185" s="1">
        <v>0</v>
      </c>
      <c r="I185" s="1">
        <v>154</v>
      </c>
      <c r="J185" s="1">
        <v>1</v>
      </c>
      <c r="K185" s="43"/>
      <c r="L185" s="1"/>
      <c r="M185" s="1"/>
      <c r="N185" s="1"/>
      <c r="O185" s="1"/>
      <c r="P185" s="1"/>
      <c r="Q185" s="1"/>
      <c r="R185" s="1"/>
      <c r="S185" s="1"/>
      <c r="T185" s="1"/>
    </row>
    <row r="186" spans="1:20" ht="13" x14ac:dyDescent="0.15">
      <c r="A186" s="1" t="s">
        <v>566</v>
      </c>
      <c r="B186" s="1" t="s">
        <v>567</v>
      </c>
      <c r="C186" s="5" t="s">
        <v>568</v>
      </c>
      <c r="D186" s="1" t="s">
        <v>304</v>
      </c>
      <c r="E186" s="1">
        <v>51.23</v>
      </c>
      <c r="F186" s="1">
        <v>2</v>
      </c>
      <c r="G186" s="1">
        <v>1</v>
      </c>
      <c r="H186" s="1">
        <v>0</v>
      </c>
      <c r="I186" s="1">
        <v>601</v>
      </c>
      <c r="J186" s="1">
        <v>0</v>
      </c>
      <c r="K186" s="43"/>
      <c r="L186" s="1"/>
      <c r="M186" s="1"/>
      <c r="N186" s="1"/>
      <c r="O186" s="1"/>
      <c r="P186" s="1"/>
      <c r="Q186" s="1"/>
      <c r="R186" s="1"/>
      <c r="S186" s="1"/>
      <c r="T186" s="1"/>
    </row>
    <row r="187" spans="1:20" ht="13" x14ac:dyDescent="0.15">
      <c r="A187" s="1" t="s">
        <v>569</v>
      </c>
      <c r="B187" s="1" t="s">
        <v>570</v>
      </c>
      <c r="C187" s="5" t="s">
        <v>571</v>
      </c>
      <c r="D187" s="1" t="s">
        <v>304</v>
      </c>
      <c r="E187" s="1">
        <v>58.52</v>
      </c>
      <c r="F187" s="1">
        <v>1</v>
      </c>
      <c r="G187" s="1">
        <v>0</v>
      </c>
      <c r="H187" s="1">
        <v>0</v>
      </c>
      <c r="I187" s="1">
        <v>226</v>
      </c>
      <c r="J187" s="1">
        <v>1</v>
      </c>
      <c r="K187" s="43"/>
      <c r="L187" s="1"/>
      <c r="M187" s="1"/>
      <c r="N187" s="1"/>
      <c r="O187" s="1"/>
      <c r="P187" s="1"/>
      <c r="Q187" s="1"/>
      <c r="R187" s="1"/>
      <c r="S187" s="1"/>
      <c r="T187" s="1"/>
    </row>
    <row r="188" spans="1:20" ht="13" x14ac:dyDescent="0.15">
      <c r="A188" s="1" t="s">
        <v>572</v>
      </c>
      <c r="B188" s="1" t="s">
        <v>573</v>
      </c>
      <c r="C188" s="5" t="s">
        <v>574</v>
      </c>
      <c r="D188" s="1" t="s">
        <v>304</v>
      </c>
      <c r="E188" s="1">
        <v>75.88</v>
      </c>
      <c r="F188" s="1">
        <v>1</v>
      </c>
      <c r="G188" s="1">
        <v>0</v>
      </c>
      <c r="H188" s="1">
        <v>0</v>
      </c>
      <c r="I188" s="1">
        <v>48</v>
      </c>
      <c r="J188" s="1">
        <v>0</v>
      </c>
      <c r="K188" s="43"/>
      <c r="L188" s="1"/>
      <c r="M188" s="1"/>
      <c r="N188" s="1"/>
      <c r="O188" s="1"/>
      <c r="P188" s="1"/>
      <c r="Q188" s="1"/>
      <c r="R188" s="1"/>
      <c r="S188" s="1"/>
      <c r="T188" s="1"/>
    </row>
    <row r="189" spans="1:20" ht="13" x14ac:dyDescent="0.15">
      <c r="A189" s="1" t="s">
        <v>575</v>
      </c>
      <c r="B189" s="1" t="s">
        <v>576</v>
      </c>
      <c r="C189" s="5" t="s">
        <v>577</v>
      </c>
      <c r="D189" s="1" t="s">
        <v>304</v>
      </c>
      <c r="E189" s="1">
        <v>56.37</v>
      </c>
      <c r="F189" s="1">
        <v>1</v>
      </c>
      <c r="G189" s="1">
        <v>1</v>
      </c>
      <c r="H189" s="1">
        <v>0</v>
      </c>
      <c r="I189" s="1">
        <v>516</v>
      </c>
      <c r="J189" s="1">
        <v>0</v>
      </c>
      <c r="K189" s="43"/>
      <c r="L189" s="1"/>
      <c r="M189" s="1"/>
      <c r="N189" s="1"/>
      <c r="O189" s="1"/>
      <c r="P189" s="1"/>
      <c r="Q189" s="1"/>
      <c r="R189" s="1"/>
      <c r="S189" s="1"/>
      <c r="T189" s="1"/>
    </row>
    <row r="190" spans="1:20" ht="13" x14ac:dyDescent="0.15">
      <c r="A190" s="1" t="s">
        <v>578</v>
      </c>
      <c r="B190" s="1" t="s">
        <v>579</v>
      </c>
      <c r="C190" s="5" t="s">
        <v>580</v>
      </c>
      <c r="D190" s="1" t="s">
        <v>304</v>
      </c>
      <c r="E190" s="1">
        <v>78.41</v>
      </c>
      <c r="F190" s="1">
        <v>1</v>
      </c>
      <c r="G190" s="1">
        <v>0</v>
      </c>
      <c r="H190" s="1">
        <v>0</v>
      </c>
      <c r="I190" s="1">
        <v>528</v>
      </c>
      <c r="J190" s="1">
        <v>1</v>
      </c>
      <c r="K190" s="43"/>
      <c r="L190" s="1"/>
      <c r="M190" s="1"/>
      <c r="N190" s="1"/>
      <c r="O190" s="1"/>
      <c r="P190" s="1"/>
      <c r="Q190" s="1"/>
      <c r="R190" s="1"/>
      <c r="S190" s="1"/>
      <c r="T190" s="1"/>
    </row>
    <row r="191" spans="1:20" ht="13" x14ac:dyDescent="0.15">
      <c r="A191" s="1" t="s">
        <v>581</v>
      </c>
      <c r="B191" s="1" t="s">
        <v>582</v>
      </c>
      <c r="C191" s="5" t="s">
        <v>583</v>
      </c>
      <c r="D191" s="1" t="s">
        <v>304</v>
      </c>
      <c r="E191" s="1">
        <v>61.02</v>
      </c>
      <c r="F191" s="1">
        <v>2</v>
      </c>
      <c r="G191" s="1">
        <v>0</v>
      </c>
      <c r="H191" s="1">
        <v>0</v>
      </c>
      <c r="I191" s="1">
        <v>192</v>
      </c>
      <c r="J191" s="1">
        <v>1</v>
      </c>
      <c r="K191" s="43"/>
      <c r="L191" s="1"/>
      <c r="M191" s="1"/>
      <c r="N191" s="1"/>
      <c r="O191" s="1"/>
      <c r="P191" s="1"/>
      <c r="Q191" s="1"/>
      <c r="R191" s="1"/>
      <c r="S191" s="1"/>
      <c r="T191" s="1"/>
    </row>
    <row r="192" spans="1:20" ht="13" x14ac:dyDescent="0.15">
      <c r="A192" s="1" t="s">
        <v>584</v>
      </c>
      <c r="B192" s="1" t="s">
        <v>585</v>
      </c>
      <c r="C192" s="1" t="s">
        <v>586</v>
      </c>
      <c r="D192" s="1" t="s">
        <v>304</v>
      </c>
      <c r="E192" s="1">
        <v>61.82</v>
      </c>
      <c r="F192" s="1">
        <v>2</v>
      </c>
      <c r="G192" s="1">
        <v>1</v>
      </c>
      <c r="H192" s="1">
        <v>0</v>
      </c>
      <c r="I192" s="1">
        <v>1145</v>
      </c>
      <c r="J192" s="1">
        <v>1</v>
      </c>
      <c r="K192" s="43"/>
      <c r="L192" s="1"/>
      <c r="M192" s="1"/>
      <c r="N192" s="1"/>
      <c r="O192" s="1"/>
      <c r="P192" s="1"/>
      <c r="Q192" s="1"/>
      <c r="R192" s="1"/>
      <c r="S192" s="1"/>
      <c r="T192" s="1"/>
    </row>
    <row r="193" spans="1:20" ht="13" x14ac:dyDescent="0.15">
      <c r="A193" s="1" t="s">
        <v>587</v>
      </c>
      <c r="B193" s="1" t="s">
        <v>588</v>
      </c>
      <c r="C193" s="5" t="s">
        <v>589</v>
      </c>
      <c r="D193" s="1" t="s">
        <v>304</v>
      </c>
      <c r="E193" s="1">
        <v>74.849999999999994</v>
      </c>
      <c r="F193" s="1">
        <v>1</v>
      </c>
      <c r="G193" s="1">
        <v>1</v>
      </c>
      <c r="H193" s="1">
        <v>0</v>
      </c>
      <c r="I193" s="1">
        <v>1020</v>
      </c>
      <c r="J193" s="1">
        <v>1</v>
      </c>
      <c r="K193" s="43"/>
      <c r="L193" s="1"/>
      <c r="M193" s="1"/>
      <c r="N193" s="1"/>
      <c r="O193" s="1"/>
      <c r="P193" s="1"/>
      <c r="Q193" s="1"/>
      <c r="R193" s="1"/>
      <c r="S193" s="1"/>
      <c r="T193" s="1"/>
    </row>
    <row r="194" spans="1:20" ht="15" x14ac:dyDescent="0.2">
      <c r="A194" s="3" t="s">
        <v>590</v>
      </c>
      <c r="B194" s="1" t="s">
        <v>591</v>
      </c>
      <c r="C194" s="5" t="s">
        <v>592</v>
      </c>
      <c r="D194" s="1" t="s">
        <v>304</v>
      </c>
      <c r="E194" s="1">
        <v>42.61</v>
      </c>
      <c r="F194" s="1">
        <v>1</v>
      </c>
      <c r="G194" s="1">
        <v>1</v>
      </c>
      <c r="H194" s="1">
        <v>0</v>
      </c>
      <c r="I194" s="1">
        <v>617</v>
      </c>
      <c r="J194" s="1">
        <v>0</v>
      </c>
      <c r="K194" s="43"/>
      <c r="L194" s="1"/>
      <c r="M194" s="1"/>
      <c r="N194" s="1"/>
      <c r="O194" s="1"/>
      <c r="P194" s="1"/>
      <c r="Q194" s="1"/>
      <c r="R194" s="1"/>
      <c r="S194" s="1"/>
      <c r="T194" s="1"/>
    </row>
    <row r="195" spans="1:20" ht="15" x14ac:dyDescent="0.2">
      <c r="A195" s="3" t="s">
        <v>593</v>
      </c>
      <c r="B195" s="1" t="s">
        <v>594</v>
      </c>
      <c r="C195" s="1" t="s">
        <v>595</v>
      </c>
      <c r="D195" s="1" t="s">
        <v>304</v>
      </c>
      <c r="E195" s="1">
        <v>63.59</v>
      </c>
      <c r="F195" s="1">
        <v>1</v>
      </c>
      <c r="G195" s="1">
        <v>0</v>
      </c>
      <c r="H195" s="1">
        <v>0</v>
      </c>
      <c r="I195" s="1">
        <v>730</v>
      </c>
      <c r="J195" s="1">
        <v>0</v>
      </c>
      <c r="K195" s="43"/>
      <c r="L195" s="1"/>
      <c r="M195" s="1"/>
      <c r="N195" s="1"/>
      <c r="O195" s="1"/>
      <c r="P195" s="1"/>
      <c r="Q195" s="1"/>
      <c r="R195" s="1"/>
      <c r="S195" s="1"/>
      <c r="T195" s="1"/>
    </row>
    <row r="196" spans="1:20" ht="13" x14ac:dyDescent="0.15">
      <c r="A196" s="1" t="s">
        <v>596</v>
      </c>
      <c r="B196" s="1" t="s">
        <v>597</v>
      </c>
      <c r="C196" s="5" t="s">
        <v>598</v>
      </c>
      <c r="D196" s="1" t="s">
        <v>304</v>
      </c>
      <c r="E196" s="1">
        <v>64.91</v>
      </c>
      <c r="F196" s="1">
        <v>1</v>
      </c>
      <c r="G196" s="1">
        <v>1</v>
      </c>
      <c r="H196" s="1">
        <v>0</v>
      </c>
      <c r="I196" s="1">
        <v>370</v>
      </c>
      <c r="J196" s="1">
        <v>0</v>
      </c>
      <c r="K196" s="43"/>
      <c r="L196" s="1"/>
      <c r="M196" s="1"/>
      <c r="N196" s="1"/>
      <c r="O196" s="1"/>
      <c r="P196" s="1"/>
      <c r="Q196" s="1"/>
      <c r="R196" s="1"/>
      <c r="S196" s="1"/>
      <c r="T196" s="1"/>
    </row>
    <row r="197" spans="1:20" ht="13" x14ac:dyDescent="0.15">
      <c r="A197" s="1" t="s">
        <v>599</v>
      </c>
      <c r="B197" s="1" t="s">
        <v>600</v>
      </c>
      <c r="C197" s="5" t="s">
        <v>601</v>
      </c>
      <c r="D197" s="1" t="s">
        <v>304</v>
      </c>
      <c r="E197" s="1">
        <v>71.27</v>
      </c>
      <c r="F197" s="1">
        <v>1</v>
      </c>
      <c r="G197" s="1">
        <v>1</v>
      </c>
      <c r="H197" s="1">
        <v>0</v>
      </c>
      <c r="I197" s="1">
        <v>376</v>
      </c>
      <c r="J197" s="1">
        <v>1</v>
      </c>
      <c r="K197" s="43"/>
      <c r="L197" s="1"/>
      <c r="M197" s="1"/>
      <c r="N197" s="1"/>
      <c r="O197" s="1"/>
      <c r="P197" s="1"/>
      <c r="Q197" s="1"/>
      <c r="R197" s="1"/>
      <c r="S197" s="1"/>
      <c r="T197" s="1"/>
    </row>
    <row r="198" spans="1:20" ht="13" x14ac:dyDescent="0.15">
      <c r="A198" s="1" t="s">
        <v>602</v>
      </c>
      <c r="B198" s="1" t="s">
        <v>603</v>
      </c>
      <c r="C198" s="5" t="s">
        <v>604</v>
      </c>
      <c r="D198" s="1" t="s">
        <v>304</v>
      </c>
      <c r="E198" s="1">
        <v>59.47</v>
      </c>
      <c r="F198" s="1">
        <v>2</v>
      </c>
      <c r="G198" s="1">
        <v>0</v>
      </c>
      <c r="H198" s="1">
        <v>0</v>
      </c>
      <c r="I198" s="1">
        <v>565</v>
      </c>
      <c r="J198" s="1">
        <v>0</v>
      </c>
      <c r="K198" s="43"/>
      <c r="L198" s="1"/>
      <c r="M198" s="1"/>
      <c r="N198" s="1"/>
      <c r="O198" s="1"/>
      <c r="P198" s="1"/>
      <c r="Q198" s="1"/>
      <c r="R198" s="1"/>
      <c r="S198" s="1"/>
      <c r="T198" s="1"/>
    </row>
    <row r="199" spans="1:20" ht="13" x14ac:dyDescent="0.15">
      <c r="A199" s="1" t="s">
        <v>605</v>
      </c>
      <c r="B199" s="1" t="s">
        <v>606</v>
      </c>
      <c r="C199" s="5" t="s">
        <v>607</v>
      </c>
      <c r="D199" s="1" t="s">
        <v>304</v>
      </c>
      <c r="E199" s="1">
        <v>60.63</v>
      </c>
      <c r="F199" s="1">
        <v>1</v>
      </c>
      <c r="G199" s="1">
        <v>0</v>
      </c>
      <c r="H199" s="1">
        <v>0</v>
      </c>
      <c r="I199" s="1">
        <v>516</v>
      </c>
      <c r="J199" s="1">
        <v>0</v>
      </c>
      <c r="K199" s="43"/>
      <c r="L199" s="1"/>
      <c r="M199" s="1"/>
      <c r="N199" s="1"/>
      <c r="O199" s="1"/>
      <c r="P199" s="1"/>
      <c r="Q199" s="1"/>
      <c r="R199" s="1"/>
      <c r="S199" s="1"/>
      <c r="T199" s="1"/>
    </row>
    <row r="200" spans="1:20" ht="13" x14ac:dyDescent="0.15">
      <c r="A200" s="1" t="s">
        <v>608</v>
      </c>
      <c r="B200" s="1" t="s">
        <v>609</v>
      </c>
      <c r="C200" s="5" t="s">
        <v>610</v>
      </c>
      <c r="D200" s="1" t="s">
        <v>304</v>
      </c>
      <c r="E200" s="1">
        <v>59.66</v>
      </c>
      <c r="F200" s="1">
        <v>1</v>
      </c>
      <c r="G200" s="1">
        <v>0</v>
      </c>
      <c r="H200" s="1">
        <v>0</v>
      </c>
      <c r="I200" s="1">
        <v>114</v>
      </c>
      <c r="J200" s="1">
        <v>1</v>
      </c>
      <c r="K200" s="43"/>
      <c r="L200" s="1"/>
      <c r="M200" s="1"/>
      <c r="N200" s="1"/>
      <c r="O200" s="1"/>
      <c r="P200" s="1"/>
      <c r="Q200" s="1"/>
      <c r="R200" s="1"/>
      <c r="S200" s="1"/>
      <c r="T200" s="1"/>
    </row>
    <row r="201" spans="1:20" ht="13" x14ac:dyDescent="0.15">
      <c r="A201" s="1" t="s">
        <v>611</v>
      </c>
      <c r="B201" s="1" t="s">
        <v>612</v>
      </c>
      <c r="C201" s="1" t="s">
        <v>613</v>
      </c>
      <c r="D201" s="1" t="s">
        <v>304</v>
      </c>
      <c r="E201" s="1">
        <v>50.86</v>
      </c>
      <c r="F201" s="1">
        <v>1</v>
      </c>
      <c r="G201" s="1">
        <v>0</v>
      </c>
      <c r="H201" s="1">
        <v>0</v>
      </c>
      <c r="I201" s="1">
        <v>538</v>
      </c>
      <c r="J201" s="1">
        <v>0</v>
      </c>
      <c r="K201" s="43"/>
      <c r="L201" s="1"/>
      <c r="M201" s="1"/>
      <c r="N201" s="1"/>
      <c r="O201" s="1"/>
      <c r="P201" s="1"/>
      <c r="Q201" s="1"/>
      <c r="R201" s="1"/>
      <c r="S201" s="1"/>
      <c r="T201" s="1"/>
    </row>
    <row r="202" spans="1:20" ht="13" x14ac:dyDescent="0.15">
      <c r="A202" s="1" t="s">
        <v>614</v>
      </c>
      <c r="B202" s="1" t="s">
        <v>615</v>
      </c>
      <c r="C202" s="1" t="s">
        <v>616</v>
      </c>
      <c r="D202" s="1" t="s">
        <v>304</v>
      </c>
      <c r="E202" s="1">
        <v>48.74</v>
      </c>
      <c r="F202" s="1">
        <v>1</v>
      </c>
      <c r="G202" s="1">
        <v>0</v>
      </c>
      <c r="H202" s="1">
        <v>0</v>
      </c>
      <c r="I202" s="1">
        <v>1178</v>
      </c>
      <c r="J202" s="1">
        <v>0</v>
      </c>
      <c r="K202" s="43"/>
      <c r="L202" s="1"/>
      <c r="M202" s="1"/>
      <c r="N202" s="1"/>
      <c r="O202" s="1"/>
      <c r="P202" s="1"/>
      <c r="Q202" s="1"/>
      <c r="R202" s="1"/>
      <c r="S202" s="1"/>
      <c r="T202" s="1"/>
    </row>
    <row r="203" spans="1:20" ht="13" x14ac:dyDescent="0.15">
      <c r="A203" s="1" t="s">
        <v>617</v>
      </c>
      <c r="B203" s="1" t="s">
        <v>618</v>
      </c>
      <c r="C203" s="5" t="s">
        <v>619</v>
      </c>
      <c r="D203" s="1" t="s">
        <v>304</v>
      </c>
      <c r="E203" s="1">
        <v>71.680000000000007</v>
      </c>
      <c r="F203" s="1">
        <v>2</v>
      </c>
      <c r="G203" s="1">
        <v>0</v>
      </c>
      <c r="H203" s="1">
        <v>0</v>
      </c>
      <c r="I203" s="1">
        <v>371</v>
      </c>
      <c r="J203" s="1">
        <v>0</v>
      </c>
      <c r="K203" s="43"/>
      <c r="L203" s="1"/>
      <c r="M203" s="1"/>
      <c r="N203" s="1"/>
      <c r="O203" s="1"/>
      <c r="P203" s="1"/>
      <c r="Q203" s="1"/>
      <c r="R203" s="1"/>
      <c r="S203" s="1"/>
      <c r="T203" s="1"/>
    </row>
    <row r="204" spans="1:20" ht="13" x14ac:dyDescent="0.15">
      <c r="A204" s="1" t="s">
        <v>620</v>
      </c>
      <c r="B204" s="1" t="s">
        <v>621</v>
      </c>
      <c r="C204" s="5" t="s">
        <v>622</v>
      </c>
      <c r="D204" s="1" t="s">
        <v>304</v>
      </c>
      <c r="E204" s="1">
        <v>77.39</v>
      </c>
      <c r="F204" s="1">
        <v>1</v>
      </c>
      <c r="G204" s="1">
        <v>0</v>
      </c>
      <c r="H204" s="1">
        <v>0</v>
      </c>
      <c r="I204" s="1">
        <v>127</v>
      </c>
      <c r="J204" s="1">
        <v>0</v>
      </c>
      <c r="K204" s="43"/>
      <c r="L204" s="1"/>
      <c r="M204" s="1"/>
      <c r="N204" s="1"/>
      <c r="O204" s="1"/>
      <c r="P204" s="1"/>
      <c r="Q204" s="1"/>
      <c r="R204" s="1"/>
      <c r="S204" s="1"/>
      <c r="T204" s="1"/>
    </row>
    <row r="205" spans="1:20" ht="13" x14ac:dyDescent="0.15">
      <c r="A205" s="1" t="s">
        <v>623</v>
      </c>
      <c r="B205" s="1" t="s">
        <v>624</v>
      </c>
      <c r="C205" s="5" t="s">
        <v>625</v>
      </c>
      <c r="D205" s="1" t="s">
        <v>304</v>
      </c>
      <c r="E205" s="1">
        <v>86.64</v>
      </c>
      <c r="F205" s="1">
        <v>2</v>
      </c>
      <c r="G205" s="1">
        <v>1</v>
      </c>
      <c r="H205" s="1">
        <v>0</v>
      </c>
      <c r="I205" s="1">
        <v>106</v>
      </c>
      <c r="J205" s="1">
        <v>1</v>
      </c>
      <c r="K205" s="43"/>
      <c r="L205" s="1"/>
      <c r="M205" s="1"/>
      <c r="N205" s="1"/>
      <c r="O205" s="1"/>
      <c r="P205" s="1"/>
      <c r="Q205" s="1"/>
      <c r="R205" s="1"/>
      <c r="S205" s="1"/>
      <c r="T205" s="1"/>
    </row>
    <row r="206" spans="1:20" ht="13" x14ac:dyDescent="0.15">
      <c r="A206" s="1" t="s">
        <v>626</v>
      </c>
      <c r="B206" s="1" t="s">
        <v>627</v>
      </c>
      <c r="C206" s="5" t="s">
        <v>628</v>
      </c>
      <c r="D206" s="1" t="s">
        <v>304</v>
      </c>
      <c r="E206" s="1">
        <v>73.05</v>
      </c>
      <c r="F206" s="1">
        <v>1</v>
      </c>
      <c r="G206" s="1">
        <v>0</v>
      </c>
      <c r="H206" s="1">
        <v>0</v>
      </c>
      <c r="I206" s="1">
        <v>85</v>
      </c>
      <c r="J206" s="1">
        <v>0</v>
      </c>
      <c r="K206" s="43"/>
      <c r="L206" s="1"/>
      <c r="M206" s="1"/>
      <c r="N206" s="1"/>
      <c r="O206" s="1"/>
      <c r="P206" s="1"/>
      <c r="Q206" s="1"/>
      <c r="R206" s="1"/>
      <c r="S206" s="1"/>
      <c r="T206" s="1"/>
    </row>
    <row r="207" spans="1:20" ht="13" x14ac:dyDescent="0.15">
      <c r="A207" s="1" t="s">
        <v>629</v>
      </c>
      <c r="B207" s="1" t="s">
        <v>630</v>
      </c>
      <c r="C207" s="5" t="s">
        <v>631</v>
      </c>
      <c r="D207" s="1" t="s">
        <v>304</v>
      </c>
      <c r="E207" s="1">
        <v>53.63</v>
      </c>
      <c r="F207" s="1">
        <v>2</v>
      </c>
      <c r="G207" s="1">
        <v>0</v>
      </c>
      <c r="H207" s="1">
        <v>0</v>
      </c>
      <c r="I207" s="1">
        <v>464</v>
      </c>
      <c r="J207" s="1">
        <v>1</v>
      </c>
      <c r="K207" s="43"/>
      <c r="L207" s="1"/>
      <c r="M207" s="1"/>
      <c r="N207" s="1"/>
      <c r="O207" s="1"/>
      <c r="P207" s="1"/>
      <c r="Q207" s="1"/>
      <c r="R207" s="1"/>
      <c r="S207" s="1"/>
      <c r="T207" s="1"/>
    </row>
    <row r="208" spans="1:20" ht="13" x14ac:dyDescent="0.15">
      <c r="A208" s="1" t="s">
        <v>632</v>
      </c>
      <c r="B208" s="1" t="s">
        <v>633</v>
      </c>
      <c r="C208" s="5" t="s">
        <v>634</v>
      </c>
      <c r="D208" s="1" t="s">
        <v>304</v>
      </c>
      <c r="E208" s="1">
        <v>68.67</v>
      </c>
      <c r="F208" s="1">
        <v>1</v>
      </c>
      <c r="G208" s="1">
        <v>1</v>
      </c>
      <c r="H208" s="1">
        <v>0</v>
      </c>
      <c r="I208" s="1">
        <v>1205</v>
      </c>
      <c r="J208" s="1">
        <v>0</v>
      </c>
      <c r="K208" s="43"/>
      <c r="L208" s="1"/>
      <c r="M208" s="1"/>
      <c r="N208" s="1"/>
      <c r="O208" s="1"/>
      <c r="P208" s="1"/>
      <c r="Q208" s="1"/>
      <c r="R208" s="1"/>
      <c r="S208" s="1"/>
      <c r="T208" s="1"/>
    </row>
    <row r="209" spans="1:20" ht="13" x14ac:dyDescent="0.15">
      <c r="A209" s="1" t="s">
        <v>635</v>
      </c>
      <c r="B209" s="1" t="s">
        <v>636</v>
      </c>
      <c r="C209" s="5" t="s">
        <v>637</v>
      </c>
      <c r="D209" s="1" t="s">
        <v>304</v>
      </c>
      <c r="E209" s="1">
        <v>73.319999999999993</v>
      </c>
      <c r="F209" s="1">
        <v>2</v>
      </c>
      <c r="G209" s="1">
        <v>1</v>
      </c>
      <c r="H209" s="1">
        <v>0</v>
      </c>
      <c r="I209" s="1">
        <v>449</v>
      </c>
      <c r="J209" s="1">
        <v>1</v>
      </c>
      <c r="K209" s="43"/>
      <c r="L209" s="1"/>
      <c r="M209" s="1"/>
      <c r="N209" s="1"/>
      <c r="O209" s="1"/>
      <c r="P209" s="1"/>
      <c r="Q209" s="1"/>
      <c r="R209" s="1"/>
      <c r="S209" s="1"/>
      <c r="T209" s="1"/>
    </row>
    <row r="210" spans="1:20" ht="13" x14ac:dyDescent="0.15">
      <c r="A210" s="1" t="s">
        <v>638</v>
      </c>
      <c r="B210" s="1" t="s">
        <v>639</v>
      </c>
      <c r="C210" s="5" t="s">
        <v>640</v>
      </c>
      <c r="D210" s="1" t="s">
        <v>304</v>
      </c>
      <c r="E210" s="1">
        <v>59.21</v>
      </c>
      <c r="F210" s="1">
        <v>2</v>
      </c>
      <c r="G210" s="1">
        <v>1</v>
      </c>
      <c r="H210" s="1">
        <v>0</v>
      </c>
      <c r="I210" s="1">
        <v>350</v>
      </c>
      <c r="J210" s="1">
        <v>0</v>
      </c>
      <c r="K210" s="43"/>
      <c r="L210" s="1"/>
      <c r="M210" s="1"/>
      <c r="N210" s="1"/>
      <c r="O210" s="1"/>
      <c r="P210" s="1"/>
      <c r="Q210" s="1"/>
      <c r="R210" s="1"/>
      <c r="S210" s="1"/>
      <c r="T210" s="1"/>
    </row>
    <row r="211" spans="1:20" ht="13" x14ac:dyDescent="0.15">
      <c r="A211" s="1" t="s">
        <v>641</v>
      </c>
      <c r="B211" s="1" t="s">
        <v>642</v>
      </c>
      <c r="C211" s="5" t="s">
        <v>643</v>
      </c>
      <c r="D211" s="1" t="s">
        <v>304</v>
      </c>
      <c r="E211" s="1">
        <v>61.15</v>
      </c>
      <c r="F211" s="1">
        <v>1</v>
      </c>
      <c r="G211" s="1">
        <v>1</v>
      </c>
      <c r="H211" s="1">
        <v>0</v>
      </c>
      <c r="I211" s="1">
        <v>289</v>
      </c>
      <c r="J211" s="1">
        <v>1</v>
      </c>
      <c r="K211" s="43"/>
      <c r="L211" s="1"/>
      <c r="M211" s="1"/>
      <c r="N211" s="1"/>
      <c r="O211" s="1"/>
      <c r="P211" s="1"/>
      <c r="Q211" s="1"/>
      <c r="R211" s="1"/>
      <c r="S211" s="1"/>
      <c r="T211" s="1"/>
    </row>
    <row r="212" spans="1:20" ht="13" x14ac:dyDescent="0.15">
      <c r="A212" s="1" t="s">
        <v>644</v>
      </c>
      <c r="B212" s="1" t="s">
        <v>645</v>
      </c>
      <c r="C212" s="5" t="s">
        <v>646</v>
      </c>
      <c r="D212" s="1" t="s">
        <v>304</v>
      </c>
      <c r="E212" s="1">
        <v>72.819999999999993</v>
      </c>
      <c r="F212" s="1">
        <v>1</v>
      </c>
      <c r="G212" s="1">
        <v>1</v>
      </c>
      <c r="H212" s="1">
        <v>0</v>
      </c>
      <c r="I212" s="1">
        <v>302</v>
      </c>
      <c r="J212" s="1">
        <v>0</v>
      </c>
      <c r="K212" s="43"/>
      <c r="L212" s="1"/>
      <c r="M212" s="1"/>
      <c r="N212" s="1"/>
      <c r="O212" s="1"/>
      <c r="P212" s="1"/>
      <c r="Q212" s="1"/>
      <c r="R212" s="1"/>
      <c r="S212" s="1"/>
      <c r="T212" s="1"/>
    </row>
    <row r="213" spans="1:20" ht="13" x14ac:dyDescent="0.15">
      <c r="A213" s="1" t="s">
        <v>647</v>
      </c>
      <c r="B213" s="1" t="s">
        <v>648</v>
      </c>
      <c r="C213" s="5" t="s">
        <v>649</v>
      </c>
      <c r="D213" s="1" t="s">
        <v>304</v>
      </c>
      <c r="E213" s="1">
        <v>81.290000000000006</v>
      </c>
      <c r="F213" s="1">
        <v>2</v>
      </c>
      <c r="G213" s="1">
        <v>1</v>
      </c>
      <c r="H213" s="1">
        <v>0</v>
      </c>
      <c r="I213" s="1">
        <v>990</v>
      </c>
      <c r="J213" s="1">
        <v>0</v>
      </c>
      <c r="K213" s="43"/>
      <c r="L213" s="1"/>
      <c r="M213" s="1"/>
      <c r="N213" s="1"/>
      <c r="O213" s="1"/>
      <c r="P213" s="1"/>
      <c r="Q213" s="1"/>
      <c r="R213" s="1"/>
      <c r="S213" s="1"/>
      <c r="T213" s="1"/>
    </row>
    <row r="214" spans="1:20" ht="13" x14ac:dyDescent="0.15">
      <c r="A214" s="6" t="s">
        <v>650</v>
      </c>
      <c r="B214" s="1" t="s">
        <v>651</v>
      </c>
      <c r="C214" s="1" t="s">
        <v>652</v>
      </c>
      <c r="D214" s="1" t="s">
        <v>304</v>
      </c>
      <c r="E214" s="1">
        <v>82.36</v>
      </c>
      <c r="F214" s="1">
        <v>2</v>
      </c>
      <c r="G214" s="1">
        <v>0</v>
      </c>
      <c r="H214" s="1">
        <v>0</v>
      </c>
      <c r="I214" s="1">
        <v>409</v>
      </c>
      <c r="J214" s="1">
        <v>0</v>
      </c>
      <c r="K214" s="43"/>
      <c r="L214" s="1"/>
      <c r="M214" s="1"/>
      <c r="N214" s="1"/>
      <c r="O214" s="1"/>
      <c r="P214" s="1"/>
      <c r="Q214" s="1"/>
      <c r="R214" s="1"/>
      <c r="S214" s="1"/>
      <c r="T214" s="1"/>
    </row>
    <row r="215" spans="1:20" ht="13" x14ac:dyDescent="0.15">
      <c r="A215" s="1" t="s">
        <v>653</v>
      </c>
      <c r="B215" s="1" t="s">
        <v>654</v>
      </c>
      <c r="C215" s="5" t="s">
        <v>655</v>
      </c>
      <c r="D215" s="1" t="s">
        <v>304</v>
      </c>
      <c r="E215" s="1">
        <v>75.08</v>
      </c>
      <c r="F215" s="1">
        <v>1</v>
      </c>
      <c r="G215" s="1">
        <v>0</v>
      </c>
      <c r="H215" s="1">
        <v>0</v>
      </c>
      <c r="I215" s="1">
        <v>648</v>
      </c>
      <c r="J215" s="1">
        <v>1</v>
      </c>
      <c r="K215" s="43"/>
      <c r="L215" s="1"/>
      <c r="M215" s="1"/>
      <c r="N215" s="1"/>
      <c r="O215" s="1"/>
      <c r="P215" s="1"/>
      <c r="Q215" s="1"/>
      <c r="R215" s="1"/>
      <c r="S215" s="1"/>
      <c r="T215" s="1"/>
    </row>
    <row r="216" spans="1:20" ht="13" x14ac:dyDescent="0.15">
      <c r="A216" s="1" t="s">
        <v>656</v>
      </c>
      <c r="B216" s="1" t="s">
        <v>657</v>
      </c>
      <c r="C216" s="5" t="s">
        <v>658</v>
      </c>
      <c r="D216" s="1" t="s">
        <v>304</v>
      </c>
      <c r="E216" s="1">
        <v>53.34</v>
      </c>
      <c r="F216" s="1">
        <v>1</v>
      </c>
      <c r="G216" s="1">
        <v>0</v>
      </c>
      <c r="H216" s="1">
        <v>0</v>
      </c>
      <c r="I216" s="1">
        <v>285</v>
      </c>
      <c r="J216" s="1">
        <v>1</v>
      </c>
      <c r="K216" s="43"/>
      <c r="L216" s="1"/>
      <c r="M216" s="1"/>
      <c r="N216" s="1"/>
      <c r="O216" s="1"/>
      <c r="P216" s="1"/>
      <c r="Q216" s="1"/>
      <c r="R216" s="1"/>
      <c r="S216" s="1"/>
      <c r="T216" s="1"/>
    </row>
    <row r="217" spans="1:20" ht="13" x14ac:dyDescent="0.15">
      <c r="A217" s="1" t="s">
        <v>659</v>
      </c>
      <c r="B217" s="1" t="s">
        <v>660</v>
      </c>
      <c r="C217" s="5" t="s">
        <v>661</v>
      </c>
      <c r="D217" s="1" t="s">
        <v>304</v>
      </c>
      <c r="E217" s="1">
        <v>48.97</v>
      </c>
      <c r="F217" s="1">
        <v>1</v>
      </c>
      <c r="G217" s="1">
        <v>0</v>
      </c>
      <c r="H217" s="1">
        <v>0</v>
      </c>
      <c r="I217" s="1">
        <v>742</v>
      </c>
      <c r="J217" s="1">
        <v>1</v>
      </c>
      <c r="K217" s="43"/>
      <c r="L217" s="1"/>
      <c r="M217" s="1"/>
      <c r="N217" s="1"/>
      <c r="O217" s="1"/>
      <c r="P217" s="1"/>
      <c r="Q217" s="1"/>
      <c r="R217" s="1"/>
      <c r="S217" s="1"/>
      <c r="T217" s="1"/>
    </row>
    <row r="218" spans="1:20" ht="13" x14ac:dyDescent="0.15">
      <c r="A218" s="1" t="s">
        <v>662</v>
      </c>
      <c r="B218" s="1" t="s">
        <v>663</v>
      </c>
      <c r="C218" s="5" t="s">
        <v>664</v>
      </c>
      <c r="D218" s="1" t="s">
        <v>304</v>
      </c>
      <c r="E218" s="1">
        <v>67.09</v>
      </c>
      <c r="F218" s="1">
        <v>2</v>
      </c>
      <c r="G218" s="1">
        <v>0</v>
      </c>
      <c r="H218" s="1">
        <v>0</v>
      </c>
      <c r="I218" s="1">
        <v>389</v>
      </c>
      <c r="J218" s="1">
        <v>0</v>
      </c>
      <c r="K218" s="43"/>
      <c r="L218" s="1"/>
      <c r="M218" s="1"/>
      <c r="N218" s="1"/>
      <c r="O218" s="1"/>
      <c r="P218" s="1"/>
      <c r="Q218" s="1"/>
      <c r="R218" s="1"/>
      <c r="S218" s="1"/>
      <c r="T218" s="1"/>
    </row>
    <row r="219" spans="1:20" ht="13" x14ac:dyDescent="0.15">
      <c r="A219" s="1" t="s">
        <v>665</v>
      </c>
      <c r="B219" s="1" t="s">
        <v>666</v>
      </c>
      <c r="C219" s="5" t="s">
        <v>667</v>
      </c>
      <c r="D219" s="1" t="s">
        <v>304</v>
      </c>
      <c r="E219" s="1">
        <v>48.02</v>
      </c>
      <c r="F219" s="1">
        <v>1</v>
      </c>
      <c r="G219" s="1">
        <v>0</v>
      </c>
      <c r="H219" s="1">
        <v>0</v>
      </c>
      <c r="I219" s="1">
        <v>922</v>
      </c>
      <c r="J219" s="1">
        <v>0</v>
      </c>
      <c r="K219" s="43"/>
      <c r="L219" s="1"/>
      <c r="M219" s="1"/>
      <c r="N219" s="1"/>
      <c r="O219" s="1"/>
      <c r="P219" s="1"/>
      <c r="Q219" s="1"/>
      <c r="R219" s="1"/>
      <c r="S219" s="1"/>
      <c r="T219" s="1"/>
    </row>
    <row r="220" spans="1:20" ht="13" x14ac:dyDescent="0.15">
      <c r="A220" s="1" t="s">
        <v>668</v>
      </c>
      <c r="B220" s="1" t="s">
        <v>669</v>
      </c>
      <c r="C220" s="5" t="s">
        <v>670</v>
      </c>
      <c r="D220" s="1" t="s">
        <v>304</v>
      </c>
      <c r="E220" s="1">
        <v>74.45</v>
      </c>
      <c r="F220" s="1">
        <v>1</v>
      </c>
      <c r="G220" s="1">
        <v>1</v>
      </c>
      <c r="H220" s="1">
        <v>0</v>
      </c>
      <c r="I220" s="1">
        <v>496</v>
      </c>
      <c r="J220" s="1">
        <v>0</v>
      </c>
      <c r="K220" s="43"/>
      <c r="L220" s="1"/>
      <c r="M220" s="1"/>
      <c r="N220" s="1"/>
      <c r="O220" s="1"/>
      <c r="P220" s="1"/>
      <c r="Q220" s="1"/>
      <c r="R220" s="1"/>
      <c r="S220" s="1"/>
      <c r="T220" s="1"/>
    </row>
    <row r="221" spans="1:20" ht="13" x14ac:dyDescent="0.15">
      <c r="A221" s="1" t="s">
        <v>671</v>
      </c>
      <c r="B221" s="1" t="s">
        <v>672</v>
      </c>
      <c r="C221" s="5" t="s">
        <v>673</v>
      </c>
      <c r="D221" s="1" t="s">
        <v>304</v>
      </c>
      <c r="E221" s="1">
        <v>59.99</v>
      </c>
      <c r="F221" s="1">
        <v>1</v>
      </c>
      <c r="G221" s="1">
        <v>1</v>
      </c>
      <c r="H221" s="1">
        <v>0</v>
      </c>
      <c r="I221" s="1">
        <v>1451</v>
      </c>
      <c r="J221" s="1">
        <v>0</v>
      </c>
      <c r="K221" s="43"/>
      <c r="L221" s="1"/>
      <c r="M221" s="1"/>
      <c r="N221" s="1"/>
      <c r="O221" s="1"/>
      <c r="P221" s="1"/>
      <c r="Q221" s="1"/>
      <c r="R221" s="1"/>
      <c r="S221" s="1"/>
      <c r="T221" s="1"/>
    </row>
    <row r="222" spans="1:20" ht="13" x14ac:dyDescent="0.15">
      <c r="A222" s="1" t="s">
        <v>674</v>
      </c>
      <c r="B222" s="1" t="s">
        <v>675</v>
      </c>
      <c r="C222" s="5" t="s">
        <v>676</v>
      </c>
      <c r="D222" s="1" t="s">
        <v>304</v>
      </c>
      <c r="E222" s="1">
        <v>20.74</v>
      </c>
      <c r="F222" s="1">
        <v>2</v>
      </c>
      <c r="G222" s="1">
        <v>0</v>
      </c>
      <c r="H222" s="1">
        <v>0</v>
      </c>
      <c r="I222" s="1">
        <v>36</v>
      </c>
      <c r="J222" s="1">
        <v>1</v>
      </c>
      <c r="K222" s="43"/>
      <c r="L222" s="1"/>
      <c r="M222" s="1"/>
      <c r="N222" s="1"/>
      <c r="O222" s="1"/>
      <c r="P222" s="1"/>
      <c r="Q222" s="1"/>
      <c r="R222" s="1"/>
      <c r="S222" s="1"/>
      <c r="T222" s="1"/>
    </row>
    <row r="223" spans="1:20" ht="13" x14ac:dyDescent="0.15">
      <c r="A223" s="1" t="s">
        <v>677</v>
      </c>
      <c r="B223" s="1" t="s">
        <v>678</v>
      </c>
      <c r="C223" s="5" t="s">
        <v>679</v>
      </c>
      <c r="D223" s="1" t="s">
        <v>304</v>
      </c>
      <c r="E223" s="1">
        <v>60.38</v>
      </c>
      <c r="F223" s="1">
        <v>1</v>
      </c>
      <c r="G223" s="1">
        <v>0</v>
      </c>
      <c r="H223" s="1">
        <v>0</v>
      </c>
      <c r="I223" s="1">
        <v>395</v>
      </c>
      <c r="J223" s="1">
        <v>1</v>
      </c>
      <c r="K223" s="43"/>
      <c r="L223" s="1"/>
      <c r="M223" s="1"/>
      <c r="N223" s="1"/>
      <c r="O223" s="1"/>
      <c r="P223" s="1"/>
      <c r="Q223" s="1"/>
      <c r="R223" s="1"/>
      <c r="S223" s="1"/>
      <c r="T223" s="1"/>
    </row>
    <row r="224" spans="1:20" ht="13" x14ac:dyDescent="0.15">
      <c r="A224" s="1" t="s">
        <v>680</v>
      </c>
      <c r="B224" s="1" t="s">
        <v>681</v>
      </c>
      <c r="C224" s="1" t="s">
        <v>682</v>
      </c>
      <c r="D224" s="1" t="s">
        <v>304</v>
      </c>
      <c r="E224" s="1">
        <v>68.959999999999994</v>
      </c>
      <c r="F224" s="1">
        <v>2</v>
      </c>
      <c r="G224" s="1">
        <v>0</v>
      </c>
      <c r="H224" s="1">
        <v>0</v>
      </c>
      <c r="I224" s="1">
        <v>336</v>
      </c>
      <c r="J224" s="1">
        <v>0</v>
      </c>
      <c r="K224" s="43"/>
      <c r="L224" s="1"/>
      <c r="M224" s="1"/>
      <c r="N224" s="1"/>
      <c r="O224" s="1"/>
      <c r="P224" s="1"/>
      <c r="Q224" s="1"/>
      <c r="R224" s="1"/>
      <c r="S224" s="1"/>
      <c r="T224" s="1"/>
    </row>
    <row r="225" spans="1:20" ht="13" x14ac:dyDescent="0.15">
      <c r="A225" s="1" t="s">
        <v>683</v>
      </c>
      <c r="B225" s="1" t="s">
        <v>684</v>
      </c>
      <c r="C225" s="5" t="s">
        <v>685</v>
      </c>
      <c r="D225" s="1" t="s">
        <v>304</v>
      </c>
      <c r="E225" s="1">
        <v>73.2</v>
      </c>
      <c r="F225" s="1">
        <v>1</v>
      </c>
      <c r="G225" s="1">
        <v>0</v>
      </c>
      <c r="H225" s="1">
        <v>0</v>
      </c>
      <c r="I225" s="1">
        <v>744</v>
      </c>
      <c r="J225" s="1">
        <v>0</v>
      </c>
      <c r="K225" s="43"/>
      <c r="L225" s="1"/>
      <c r="M225" s="1"/>
      <c r="N225" s="1"/>
      <c r="O225" s="1"/>
      <c r="P225" s="1"/>
      <c r="Q225" s="1"/>
      <c r="R225" s="1"/>
      <c r="S225" s="1"/>
      <c r="T225" s="1"/>
    </row>
    <row r="226" spans="1:20" ht="13" x14ac:dyDescent="0.15">
      <c r="A226" s="1" t="s">
        <v>686</v>
      </c>
      <c r="B226" s="1" t="s">
        <v>687</v>
      </c>
      <c r="C226" s="5" t="s">
        <v>688</v>
      </c>
      <c r="D226" s="1" t="s">
        <v>304</v>
      </c>
      <c r="E226" s="1">
        <v>40.04</v>
      </c>
      <c r="F226" s="1">
        <v>1</v>
      </c>
      <c r="G226" s="1">
        <v>0</v>
      </c>
      <c r="H226" s="1">
        <v>0</v>
      </c>
      <c r="I226" s="1">
        <v>411</v>
      </c>
      <c r="J226" s="1">
        <v>0</v>
      </c>
      <c r="K226" s="43"/>
      <c r="L226" s="1"/>
      <c r="M226" s="1"/>
      <c r="N226" s="1"/>
      <c r="O226" s="1"/>
      <c r="P226" s="1"/>
      <c r="Q226" s="1"/>
      <c r="R226" s="1"/>
      <c r="S226" s="1"/>
      <c r="T226" s="1"/>
    </row>
    <row r="227" spans="1:20" ht="13" x14ac:dyDescent="0.15">
      <c r="A227" s="1" t="s">
        <v>689</v>
      </c>
      <c r="B227" s="1" t="s">
        <v>690</v>
      </c>
      <c r="C227" s="5" t="s">
        <v>691</v>
      </c>
      <c r="D227" s="1" t="s">
        <v>304</v>
      </c>
      <c r="E227" s="1">
        <v>68.38</v>
      </c>
      <c r="F227" s="1">
        <v>1</v>
      </c>
      <c r="G227" s="1">
        <v>0</v>
      </c>
      <c r="H227" s="1">
        <v>0</v>
      </c>
      <c r="I227" s="1">
        <v>443</v>
      </c>
      <c r="J227" s="1">
        <v>1</v>
      </c>
      <c r="K227" s="43"/>
      <c r="L227" s="1"/>
      <c r="M227" s="1"/>
      <c r="N227" s="1"/>
      <c r="O227" s="1"/>
      <c r="P227" s="1"/>
      <c r="Q227" s="1"/>
      <c r="R227" s="1"/>
      <c r="S227" s="1"/>
      <c r="T227" s="1"/>
    </row>
    <row r="228" spans="1:20" ht="13" x14ac:dyDescent="0.15">
      <c r="A228" s="1" t="s">
        <v>692</v>
      </c>
      <c r="B228" s="1" t="s">
        <v>693</v>
      </c>
      <c r="C228" s="5" t="s">
        <v>694</v>
      </c>
      <c r="D228" s="1" t="s">
        <v>304</v>
      </c>
      <c r="E228" s="1">
        <v>57.82</v>
      </c>
      <c r="F228" s="1">
        <v>1</v>
      </c>
      <c r="G228" s="1">
        <v>0</v>
      </c>
      <c r="H228" s="1">
        <v>0</v>
      </c>
      <c r="I228" s="1">
        <v>223</v>
      </c>
      <c r="J228" s="1">
        <v>1</v>
      </c>
      <c r="K228" s="43"/>
      <c r="L228" s="1"/>
      <c r="M228" s="1"/>
      <c r="N228" s="1"/>
      <c r="O228" s="1"/>
      <c r="P228" s="1"/>
      <c r="Q228" s="1"/>
      <c r="R228" s="1"/>
      <c r="S228" s="1"/>
      <c r="T228" s="1"/>
    </row>
    <row r="229" spans="1:20" ht="13" x14ac:dyDescent="0.15">
      <c r="A229" s="1" t="s">
        <v>695</v>
      </c>
      <c r="B229" s="1" t="s">
        <v>696</v>
      </c>
      <c r="C229" s="5" t="s">
        <v>697</v>
      </c>
      <c r="D229" s="1" t="s">
        <v>304</v>
      </c>
      <c r="E229" s="1">
        <v>71.650000000000006</v>
      </c>
      <c r="F229" s="1">
        <v>2</v>
      </c>
      <c r="G229" s="1">
        <v>0</v>
      </c>
      <c r="H229" s="1">
        <v>0</v>
      </c>
      <c r="I229" s="1">
        <v>136</v>
      </c>
      <c r="J229" s="1">
        <v>1</v>
      </c>
      <c r="K229" s="43"/>
      <c r="L229" s="1"/>
      <c r="M229" s="1"/>
      <c r="N229" s="1"/>
      <c r="O229" s="1"/>
      <c r="P229" s="1"/>
      <c r="Q229" s="1"/>
      <c r="R229" s="1"/>
      <c r="S229" s="1"/>
      <c r="T229" s="1"/>
    </row>
    <row r="230" spans="1:20" ht="13" x14ac:dyDescent="0.15">
      <c r="A230" s="1" t="s">
        <v>698</v>
      </c>
      <c r="B230" s="1" t="s">
        <v>699</v>
      </c>
      <c r="C230" s="5" t="s">
        <v>700</v>
      </c>
      <c r="D230" s="1" t="s">
        <v>304</v>
      </c>
      <c r="E230" s="1">
        <v>57.59</v>
      </c>
      <c r="F230" s="1">
        <v>1</v>
      </c>
      <c r="G230" s="1">
        <v>0</v>
      </c>
      <c r="H230" s="1">
        <v>0</v>
      </c>
      <c r="I230" s="1">
        <v>171</v>
      </c>
      <c r="J230" s="1">
        <v>0</v>
      </c>
      <c r="K230" s="43"/>
      <c r="L230" s="1"/>
      <c r="M230" s="1"/>
      <c r="N230" s="1"/>
      <c r="O230" s="1"/>
      <c r="P230" s="1"/>
      <c r="Q230" s="1"/>
      <c r="R230" s="1"/>
      <c r="S230" s="1"/>
      <c r="T230" s="1"/>
    </row>
    <row r="231" spans="1:20" ht="13" x14ac:dyDescent="0.15">
      <c r="A231" s="1" t="s">
        <v>701</v>
      </c>
      <c r="B231" s="1" t="s">
        <v>702</v>
      </c>
      <c r="C231" s="5" t="s">
        <v>703</v>
      </c>
      <c r="D231" s="1" t="s">
        <v>304</v>
      </c>
      <c r="E231" s="1">
        <v>61.92</v>
      </c>
      <c r="F231" s="1">
        <v>2</v>
      </c>
      <c r="G231" s="1">
        <v>0</v>
      </c>
      <c r="H231" s="1">
        <v>0</v>
      </c>
      <c r="I231" s="1">
        <v>381</v>
      </c>
      <c r="J231" s="1">
        <v>0</v>
      </c>
      <c r="K231" s="43"/>
      <c r="L231" s="1"/>
      <c r="M231" s="1"/>
      <c r="N231" s="1"/>
      <c r="O231" s="1"/>
      <c r="P231" s="1"/>
      <c r="Q231" s="1"/>
      <c r="R231" s="1"/>
      <c r="S231" s="1"/>
      <c r="T231" s="1"/>
    </row>
    <row r="232" spans="1:20" ht="13" x14ac:dyDescent="0.15">
      <c r="A232" s="1" t="s">
        <v>704</v>
      </c>
      <c r="B232" s="1" t="s">
        <v>705</v>
      </c>
      <c r="C232" s="5" t="s">
        <v>706</v>
      </c>
      <c r="D232" s="1" t="s">
        <v>304</v>
      </c>
      <c r="E232" s="1">
        <v>50.93</v>
      </c>
      <c r="F232" s="1">
        <v>1</v>
      </c>
      <c r="G232" s="1">
        <v>1</v>
      </c>
      <c r="H232" s="1">
        <v>1</v>
      </c>
      <c r="I232" s="1">
        <v>781</v>
      </c>
      <c r="J232" s="1">
        <v>0</v>
      </c>
      <c r="K232" s="43"/>
      <c r="L232" s="1"/>
      <c r="M232" s="1"/>
      <c r="N232" s="1"/>
      <c r="O232" s="1"/>
      <c r="P232" s="1"/>
      <c r="Q232" s="1"/>
      <c r="R232" s="1"/>
      <c r="S232" s="1"/>
      <c r="T232" s="1"/>
    </row>
    <row r="233" spans="1:20" ht="13" x14ac:dyDescent="0.15">
      <c r="A233" s="1" t="s">
        <v>707</v>
      </c>
      <c r="B233" s="1" t="s">
        <v>708</v>
      </c>
      <c r="C233" s="5" t="s">
        <v>709</v>
      </c>
      <c r="D233" s="1" t="s">
        <v>304</v>
      </c>
      <c r="E233" s="1">
        <v>49.52</v>
      </c>
      <c r="F233" s="1">
        <v>1</v>
      </c>
      <c r="G233" s="1">
        <v>0</v>
      </c>
      <c r="H233" s="1">
        <v>0</v>
      </c>
      <c r="I233" s="1">
        <v>170</v>
      </c>
      <c r="J233" s="1">
        <v>0</v>
      </c>
      <c r="K233" s="43"/>
      <c r="L233" s="1"/>
      <c r="M233" s="1"/>
      <c r="N233" s="1"/>
      <c r="O233" s="1"/>
      <c r="P233" s="1"/>
      <c r="Q233" s="1"/>
      <c r="R233" s="1"/>
      <c r="S233" s="1"/>
      <c r="T233" s="1"/>
    </row>
    <row r="234" spans="1:20" ht="13" x14ac:dyDescent="0.15">
      <c r="A234" s="1" t="s">
        <v>710</v>
      </c>
      <c r="B234" s="1" t="s">
        <v>711</v>
      </c>
      <c r="C234" s="5" t="s">
        <v>712</v>
      </c>
      <c r="D234" s="1" t="s">
        <v>304</v>
      </c>
      <c r="E234" s="1">
        <v>53.07</v>
      </c>
      <c r="F234" s="1">
        <v>2</v>
      </c>
      <c r="G234" s="1">
        <v>0</v>
      </c>
      <c r="H234" s="1">
        <v>0</v>
      </c>
      <c r="I234" s="1">
        <v>270</v>
      </c>
      <c r="J234" s="1">
        <v>0</v>
      </c>
      <c r="K234" s="43"/>
      <c r="L234" s="1"/>
      <c r="M234" s="1"/>
      <c r="N234" s="1"/>
      <c r="O234" s="1"/>
      <c r="P234" s="1"/>
      <c r="Q234" s="1"/>
      <c r="R234" s="1"/>
      <c r="S234" s="1"/>
      <c r="T234" s="1"/>
    </row>
    <row r="235" spans="1:20" ht="13" x14ac:dyDescent="0.15">
      <c r="A235" s="1" t="s">
        <v>713</v>
      </c>
      <c r="B235" s="1" t="s">
        <v>714</v>
      </c>
      <c r="C235" s="5" t="s">
        <v>715</v>
      </c>
      <c r="D235" s="1" t="s">
        <v>304</v>
      </c>
      <c r="E235" s="1">
        <v>68.540000000000006</v>
      </c>
      <c r="F235" s="1">
        <v>1</v>
      </c>
      <c r="G235" s="1">
        <v>0</v>
      </c>
      <c r="H235" s="1">
        <v>0</v>
      </c>
      <c r="I235" s="1">
        <v>363</v>
      </c>
      <c r="J235" s="1">
        <v>1</v>
      </c>
      <c r="K235" s="43"/>
      <c r="L235" s="1"/>
      <c r="M235" s="1"/>
      <c r="N235" s="1"/>
      <c r="O235" s="1"/>
      <c r="P235" s="1"/>
      <c r="Q235" s="1"/>
      <c r="R235" s="1"/>
      <c r="S235" s="1"/>
      <c r="T235" s="1"/>
    </row>
    <row r="236" spans="1:20" ht="13" x14ac:dyDescent="0.15">
      <c r="A236" s="1" t="s">
        <v>716</v>
      </c>
      <c r="B236" s="1" t="s">
        <v>717</v>
      </c>
      <c r="C236" s="5" t="s">
        <v>718</v>
      </c>
      <c r="D236" s="1" t="s">
        <v>304</v>
      </c>
      <c r="E236" s="1">
        <v>51.75</v>
      </c>
      <c r="F236" s="1">
        <v>2</v>
      </c>
      <c r="G236" s="1">
        <v>0</v>
      </c>
      <c r="H236" s="1">
        <v>0</v>
      </c>
      <c r="I236" s="1">
        <v>360</v>
      </c>
      <c r="J236" s="1">
        <v>1</v>
      </c>
      <c r="K236" s="43"/>
      <c r="L236" s="1"/>
      <c r="M236" s="1"/>
      <c r="N236" s="1"/>
      <c r="O236" s="1"/>
      <c r="P236" s="1"/>
      <c r="Q236" s="1"/>
      <c r="R236" s="1"/>
      <c r="S236" s="1"/>
      <c r="T236" s="1"/>
    </row>
    <row r="237" spans="1:20" ht="13" x14ac:dyDescent="0.15">
      <c r="A237" s="1" t="s">
        <v>719</v>
      </c>
      <c r="B237" s="1" t="s">
        <v>720</v>
      </c>
      <c r="C237" s="5" t="s">
        <v>721</v>
      </c>
      <c r="D237" s="1" t="s">
        <v>304</v>
      </c>
      <c r="E237" s="1">
        <v>78.89</v>
      </c>
      <c r="F237" s="1">
        <v>2</v>
      </c>
      <c r="G237" s="1">
        <v>1</v>
      </c>
      <c r="H237" s="1">
        <v>0</v>
      </c>
      <c r="I237" s="1">
        <v>93</v>
      </c>
      <c r="J237" s="1">
        <v>1</v>
      </c>
      <c r="K237" s="43"/>
      <c r="L237" s="1"/>
      <c r="M237" s="1"/>
      <c r="N237" s="1"/>
      <c r="O237" s="1"/>
      <c r="P237" s="1"/>
      <c r="Q237" s="1"/>
      <c r="R237" s="1"/>
      <c r="S237" s="1"/>
      <c r="T237" s="1"/>
    </row>
    <row r="238" spans="1:20" ht="13" x14ac:dyDescent="0.15">
      <c r="A238" s="1" t="s">
        <v>722</v>
      </c>
      <c r="B238" s="1" t="s">
        <v>723</v>
      </c>
      <c r="C238" s="5" t="s">
        <v>724</v>
      </c>
      <c r="D238" s="1" t="s">
        <v>304</v>
      </c>
      <c r="E238" s="1">
        <v>51.88</v>
      </c>
      <c r="F238" s="1">
        <v>1</v>
      </c>
      <c r="G238" s="1">
        <v>0</v>
      </c>
      <c r="H238" s="1">
        <v>0</v>
      </c>
      <c r="I238" s="1">
        <v>123</v>
      </c>
      <c r="J238" s="1">
        <v>1</v>
      </c>
      <c r="K238" s="43"/>
      <c r="L238" s="1"/>
      <c r="M238" s="1"/>
      <c r="N238" s="1"/>
      <c r="O238" s="1"/>
      <c r="P238" s="1"/>
      <c r="Q238" s="1"/>
      <c r="R238" s="1"/>
      <c r="S238" s="1"/>
      <c r="T238" s="1"/>
    </row>
    <row r="239" spans="1:20" ht="13" x14ac:dyDescent="0.15">
      <c r="A239" s="1" t="s">
        <v>725</v>
      </c>
      <c r="B239" s="1" t="s">
        <v>726</v>
      </c>
      <c r="C239" s="5" t="s">
        <v>727</v>
      </c>
      <c r="D239" s="1" t="s">
        <v>304</v>
      </c>
      <c r="E239" s="1">
        <v>59.92</v>
      </c>
      <c r="F239" s="1">
        <v>1</v>
      </c>
      <c r="G239" s="1">
        <v>1</v>
      </c>
      <c r="H239" s="1">
        <v>0</v>
      </c>
      <c r="I239" s="1">
        <v>451</v>
      </c>
      <c r="J239" s="1">
        <v>1</v>
      </c>
      <c r="K239" s="43"/>
      <c r="L239" s="1"/>
      <c r="M239" s="1"/>
      <c r="N239" s="1"/>
      <c r="O239" s="1"/>
      <c r="P239" s="1"/>
      <c r="Q239" s="1"/>
      <c r="R239" s="1"/>
      <c r="S239" s="1"/>
      <c r="T239" s="1"/>
    </row>
    <row r="240" spans="1:20" ht="13" x14ac:dyDescent="0.15">
      <c r="A240" s="1" t="s">
        <v>728</v>
      </c>
      <c r="B240" s="1" t="s">
        <v>729</v>
      </c>
      <c r="C240" s="5" t="s">
        <v>730</v>
      </c>
      <c r="D240" s="1" t="s">
        <v>304</v>
      </c>
      <c r="E240" s="1">
        <v>77.03</v>
      </c>
      <c r="F240" s="1">
        <v>2</v>
      </c>
      <c r="G240" s="1">
        <v>0</v>
      </c>
      <c r="H240" s="1">
        <v>0</v>
      </c>
      <c r="I240" s="1">
        <v>173</v>
      </c>
      <c r="J240" s="1">
        <v>1</v>
      </c>
      <c r="K240" s="43"/>
      <c r="L240" s="1"/>
      <c r="M240" s="1"/>
      <c r="N240" s="1"/>
      <c r="O240" s="1"/>
      <c r="P240" s="1"/>
      <c r="Q240" s="1"/>
      <c r="R240" s="1"/>
      <c r="S240" s="1"/>
      <c r="T240" s="1"/>
    </row>
    <row r="241" spans="1:20" ht="13" x14ac:dyDescent="0.15">
      <c r="A241" s="1" t="s">
        <v>731</v>
      </c>
      <c r="B241" s="1" t="s">
        <v>732</v>
      </c>
      <c r="C241" s="1" t="s">
        <v>733</v>
      </c>
      <c r="D241" s="1" t="s">
        <v>304</v>
      </c>
      <c r="E241" s="1">
        <v>45.54</v>
      </c>
      <c r="F241" s="1">
        <v>2</v>
      </c>
      <c r="G241" s="1">
        <v>0</v>
      </c>
      <c r="H241" s="1">
        <v>0</v>
      </c>
      <c r="I241" s="1">
        <v>524</v>
      </c>
      <c r="J241" s="1">
        <v>0</v>
      </c>
      <c r="K241" s="43"/>
      <c r="L241" s="1"/>
      <c r="M241" s="1"/>
      <c r="N241" s="1"/>
      <c r="O241" s="1"/>
      <c r="P241" s="1"/>
      <c r="Q241" s="1"/>
      <c r="R241" s="1"/>
      <c r="S241" s="1"/>
      <c r="T241" s="1"/>
    </row>
    <row r="242" spans="1:20" ht="13" x14ac:dyDescent="0.15">
      <c r="A242" s="1" t="s">
        <v>734</v>
      </c>
      <c r="B242" s="1" t="s">
        <v>735</v>
      </c>
      <c r="C242" s="5" t="s">
        <v>736</v>
      </c>
      <c r="D242" s="1" t="s">
        <v>304</v>
      </c>
      <c r="E242" s="1">
        <v>65.97</v>
      </c>
      <c r="F242" s="1">
        <v>1</v>
      </c>
      <c r="G242" s="1">
        <v>0</v>
      </c>
      <c r="H242" s="1">
        <v>0</v>
      </c>
      <c r="I242" s="1">
        <v>738</v>
      </c>
      <c r="J242" s="1">
        <v>1</v>
      </c>
      <c r="K242" s="43"/>
      <c r="L242" s="1"/>
      <c r="M242" s="1"/>
      <c r="N242" s="1"/>
      <c r="O242" s="1"/>
      <c r="P242" s="1"/>
      <c r="Q242" s="1"/>
      <c r="R242" s="1"/>
      <c r="S242" s="1"/>
      <c r="T242" s="1"/>
    </row>
    <row r="243" spans="1:20" ht="13" x14ac:dyDescent="0.15">
      <c r="A243" s="1" t="s">
        <v>737</v>
      </c>
      <c r="B243" s="1" t="s">
        <v>738</v>
      </c>
      <c r="C243" s="1" t="s">
        <v>739</v>
      </c>
      <c r="D243" s="1" t="s">
        <v>304</v>
      </c>
      <c r="E243" s="1">
        <v>70.540000000000006</v>
      </c>
      <c r="F243" s="1">
        <v>1</v>
      </c>
      <c r="G243" s="1">
        <v>0</v>
      </c>
      <c r="H243" s="1">
        <v>0</v>
      </c>
      <c r="I243" s="1">
        <v>200</v>
      </c>
      <c r="J243" s="1">
        <v>1</v>
      </c>
      <c r="K243" s="43"/>
      <c r="L243" s="1"/>
      <c r="M243" s="1"/>
      <c r="N243" s="1"/>
      <c r="O243" s="1"/>
      <c r="P243" s="1"/>
      <c r="Q243" s="1"/>
      <c r="R243" s="1"/>
      <c r="S243" s="1"/>
      <c r="T243" s="1"/>
    </row>
    <row r="244" spans="1:20" ht="13" x14ac:dyDescent="0.15">
      <c r="A244" s="1" t="s">
        <v>740</v>
      </c>
      <c r="B244" s="1" t="s">
        <v>741</v>
      </c>
      <c r="C244" s="5" t="s">
        <v>742</v>
      </c>
      <c r="D244" s="1" t="s">
        <v>304</v>
      </c>
      <c r="E244" s="1">
        <v>73.91</v>
      </c>
      <c r="F244" s="1">
        <v>1</v>
      </c>
      <c r="G244" s="1">
        <v>1</v>
      </c>
      <c r="H244" s="1">
        <v>0</v>
      </c>
      <c r="I244" s="1">
        <v>376</v>
      </c>
      <c r="J244" s="1">
        <v>1</v>
      </c>
      <c r="K244" s="43"/>
      <c r="L244" s="1"/>
      <c r="M244" s="1"/>
      <c r="N244" s="1"/>
      <c r="O244" s="1"/>
      <c r="P244" s="1"/>
      <c r="Q244" s="1"/>
      <c r="R244" s="1"/>
      <c r="S244" s="1"/>
      <c r="T244" s="1"/>
    </row>
    <row r="245" spans="1:20" ht="13" x14ac:dyDescent="0.15">
      <c r="A245" s="1" t="s">
        <v>743</v>
      </c>
      <c r="B245" s="1" t="s">
        <v>744</v>
      </c>
      <c r="C245" s="5" t="s">
        <v>745</v>
      </c>
      <c r="D245" s="1" t="s">
        <v>304</v>
      </c>
      <c r="E245" s="1">
        <v>62.34</v>
      </c>
      <c r="F245" s="1">
        <v>1</v>
      </c>
      <c r="G245" s="1">
        <v>0</v>
      </c>
      <c r="H245" s="1">
        <v>0</v>
      </c>
      <c r="I245" s="1">
        <v>288</v>
      </c>
      <c r="J245" s="1">
        <v>0</v>
      </c>
      <c r="K245" s="43"/>
      <c r="L245" s="1"/>
      <c r="M245" s="1"/>
      <c r="N245" s="1"/>
      <c r="O245" s="1"/>
      <c r="P245" s="1"/>
      <c r="Q245" s="1"/>
      <c r="R245" s="1"/>
      <c r="S245" s="1"/>
      <c r="T245" s="1"/>
    </row>
    <row r="246" spans="1:20" ht="13" x14ac:dyDescent="0.15">
      <c r="A246" s="1" t="s">
        <v>746</v>
      </c>
      <c r="B246" s="1" t="s">
        <v>747</v>
      </c>
      <c r="C246" s="5" t="s">
        <v>748</v>
      </c>
      <c r="D246" s="1" t="s">
        <v>304</v>
      </c>
      <c r="E246" s="1">
        <v>65.53</v>
      </c>
      <c r="F246" s="1">
        <v>1</v>
      </c>
      <c r="G246" s="1">
        <v>1</v>
      </c>
      <c r="H246" s="1">
        <v>0</v>
      </c>
      <c r="I246" s="1">
        <v>63</v>
      </c>
      <c r="J246" s="1">
        <v>1</v>
      </c>
      <c r="K246" s="43"/>
      <c r="L246" s="1"/>
      <c r="M246" s="1"/>
      <c r="N246" s="1"/>
      <c r="O246" s="1"/>
      <c r="P246" s="1"/>
      <c r="Q246" s="1"/>
      <c r="R246" s="1"/>
      <c r="S246" s="1"/>
      <c r="T246" s="1"/>
    </row>
    <row r="247" spans="1:20" ht="13" x14ac:dyDescent="0.15">
      <c r="A247" s="1" t="s">
        <v>749</v>
      </c>
      <c r="B247" s="1" t="s">
        <v>750</v>
      </c>
      <c r="C247" s="5" t="s">
        <v>751</v>
      </c>
      <c r="D247" s="1" t="s">
        <v>304</v>
      </c>
      <c r="E247" s="1">
        <v>60.48</v>
      </c>
      <c r="F247" s="1">
        <v>1</v>
      </c>
      <c r="G247" s="1">
        <v>0</v>
      </c>
      <c r="H247" s="1">
        <v>0</v>
      </c>
      <c r="I247" s="1">
        <v>147</v>
      </c>
      <c r="J247" s="1">
        <v>1</v>
      </c>
      <c r="K247" s="43"/>
      <c r="L247" s="1"/>
      <c r="M247" s="1"/>
      <c r="N247" s="1"/>
      <c r="O247" s="1"/>
      <c r="P247" s="1"/>
      <c r="Q247" s="1"/>
      <c r="R247" s="1"/>
      <c r="S247" s="1"/>
      <c r="T247" s="1"/>
    </row>
    <row r="248" spans="1:20" ht="13" x14ac:dyDescent="0.15">
      <c r="A248" s="1" t="s">
        <v>752</v>
      </c>
      <c r="B248" s="1" t="s">
        <v>753</v>
      </c>
      <c r="C248" s="5" t="s">
        <v>754</v>
      </c>
      <c r="D248" s="1" t="s">
        <v>304</v>
      </c>
      <c r="E248" s="1">
        <v>48.47</v>
      </c>
      <c r="F248" s="1">
        <v>1</v>
      </c>
      <c r="G248" s="1">
        <v>0</v>
      </c>
      <c r="H248" s="1">
        <v>0</v>
      </c>
      <c r="I248" s="1">
        <v>827</v>
      </c>
      <c r="J248" s="1">
        <v>0</v>
      </c>
      <c r="K248" s="43"/>
      <c r="L248" s="1"/>
      <c r="M248" s="1"/>
      <c r="N248" s="1"/>
      <c r="O248" s="1"/>
      <c r="P248" s="1"/>
      <c r="Q248" s="1"/>
      <c r="R248" s="1"/>
      <c r="S248" s="1"/>
      <c r="T248" s="1"/>
    </row>
    <row r="249" spans="1:20" ht="13" x14ac:dyDescent="0.15">
      <c r="A249" s="1" t="s">
        <v>755</v>
      </c>
      <c r="B249" s="1" t="s">
        <v>756</v>
      </c>
      <c r="C249" s="5" t="s">
        <v>757</v>
      </c>
      <c r="D249" s="1" t="s">
        <v>304</v>
      </c>
      <c r="E249" s="1">
        <v>71.06</v>
      </c>
      <c r="F249" s="1">
        <v>1</v>
      </c>
      <c r="G249" s="1">
        <v>1</v>
      </c>
      <c r="H249" s="1">
        <v>0</v>
      </c>
      <c r="I249" s="1">
        <v>428</v>
      </c>
      <c r="J249" s="1">
        <v>1</v>
      </c>
      <c r="K249" s="43"/>
      <c r="L249" s="1"/>
      <c r="M249" s="1"/>
      <c r="N249" s="1"/>
      <c r="O249" s="1"/>
      <c r="P249" s="1"/>
      <c r="Q249" s="1"/>
      <c r="R249" s="1"/>
      <c r="S249" s="1"/>
      <c r="T249" s="1"/>
    </row>
    <row r="250" spans="1:20" ht="13" x14ac:dyDescent="0.15">
      <c r="A250" s="1" t="s">
        <v>758</v>
      </c>
      <c r="B250" s="1" t="s">
        <v>759</v>
      </c>
      <c r="C250" s="1" t="s">
        <v>760</v>
      </c>
      <c r="D250" s="1" t="s">
        <v>761</v>
      </c>
      <c r="E250" s="42">
        <f t="shared" ref="E250:E260" si="0">M250/365</f>
        <v>50.586301369863016</v>
      </c>
      <c r="F250" s="1">
        <v>1</v>
      </c>
      <c r="G250" s="1">
        <v>1</v>
      </c>
      <c r="H250" s="1">
        <v>0</v>
      </c>
      <c r="I250" s="1">
        <v>591</v>
      </c>
      <c r="J250" s="43"/>
      <c r="K250" s="46">
        <v>1</v>
      </c>
      <c r="L250" s="1" t="s">
        <v>1480</v>
      </c>
      <c r="M250" s="1">
        <v>18464</v>
      </c>
      <c r="N250" s="1">
        <v>-18464</v>
      </c>
      <c r="O250" s="1">
        <v>1966</v>
      </c>
      <c r="P250" s="1">
        <v>2019</v>
      </c>
      <c r="Q250" s="1">
        <v>550</v>
      </c>
      <c r="R250" s="1">
        <v>591</v>
      </c>
      <c r="S250" s="43" t="s">
        <v>1481</v>
      </c>
      <c r="T250" s="1" t="s">
        <v>1482</v>
      </c>
    </row>
    <row r="251" spans="1:20" ht="13" x14ac:dyDescent="0.15">
      <c r="A251" s="1" t="s">
        <v>762</v>
      </c>
      <c r="B251" s="1" t="s">
        <v>763</v>
      </c>
      <c r="C251" s="1" t="s">
        <v>764</v>
      </c>
      <c r="D251" s="1" t="s">
        <v>761</v>
      </c>
      <c r="E251" s="42">
        <f t="shared" si="0"/>
        <v>43.87945205479452</v>
      </c>
      <c r="F251" s="1">
        <v>1</v>
      </c>
      <c r="G251" s="1">
        <v>1</v>
      </c>
      <c r="H251" s="1">
        <v>1</v>
      </c>
      <c r="I251" s="1">
        <v>738</v>
      </c>
      <c r="J251" s="43"/>
      <c r="K251" s="46">
        <v>1</v>
      </c>
      <c r="L251" s="1" t="s">
        <v>1483</v>
      </c>
      <c r="M251" s="1">
        <v>16016</v>
      </c>
      <c r="N251" s="1">
        <v>-16016</v>
      </c>
      <c r="O251" s="1">
        <v>1973</v>
      </c>
      <c r="P251" s="1">
        <v>2019</v>
      </c>
      <c r="Q251" s="1">
        <v>738</v>
      </c>
      <c r="R251" s="1">
        <v>738</v>
      </c>
      <c r="S251" s="1">
        <v>525</v>
      </c>
      <c r="T251" s="1" t="s">
        <v>1484</v>
      </c>
    </row>
    <row r="252" spans="1:20" ht="13" x14ac:dyDescent="0.15">
      <c r="A252" s="1" t="s">
        <v>765</v>
      </c>
      <c r="B252" s="1" t="s">
        <v>766</v>
      </c>
      <c r="C252" s="1" t="s">
        <v>767</v>
      </c>
      <c r="D252" s="1" t="s">
        <v>761</v>
      </c>
      <c r="E252" s="42">
        <f t="shared" si="0"/>
        <v>47.967123287671235</v>
      </c>
      <c r="F252" s="1">
        <v>1</v>
      </c>
      <c r="G252" s="1">
        <v>0</v>
      </c>
      <c r="H252" s="1">
        <v>0</v>
      </c>
      <c r="I252" s="1">
        <v>363</v>
      </c>
      <c r="J252" s="43"/>
      <c r="K252" s="46">
        <v>1</v>
      </c>
      <c r="L252" s="43" t="s">
        <v>1481</v>
      </c>
      <c r="M252" s="1">
        <v>17508</v>
      </c>
      <c r="N252" s="1">
        <v>-17508</v>
      </c>
      <c r="O252" s="1">
        <v>1969</v>
      </c>
      <c r="P252" s="1">
        <v>2018</v>
      </c>
      <c r="Q252" s="1">
        <v>363</v>
      </c>
      <c r="R252" s="1">
        <v>363</v>
      </c>
      <c r="S252" s="43" t="s">
        <v>1481</v>
      </c>
      <c r="T252" s="1" t="s">
        <v>1484</v>
      </c>
    </row>
    <row r="253" spans="1:20" ht="13" x14ac:dyDescent="0.15">
      <c r="A253" s="1" t="s">
        <v>768</v>
      </c>
      <c r="B253" s="1" t="s">
        <v>769</v>
      </c>
      <c r="C253" s="1" t="s">
        <v>770</v>
      </c>
      <c r="D253" s="1" t="s">
        <v>761</v>
      </c>
      <c r="E253" s="42">
        <f t="shared" si="0"/>
        <v>59.043835616438358</v>
      </c>
      <c r="F253" s="1">
        <v>1</v>
      </c>
      <c r="G253" s="1">
        <v>0</v>
      </c>
      <c r="H253" s="1">
        <v>0</v>
      </c>
      <c r="I253" s="1">
        <v>79</v>
      </c>
      <c r="J253" s="43"/>
      <c r="K253" s="46">
        <v>1</v>
      </c>
      <c r="L253" s="1" t="s">
        <v>1483</v>
      </c>
      <c r="M253" s="1">
        <v>21551</v>
      </c>
      <c r="N253" s="1">
        <v>-21551</v>
      </c>
      <c r="O253" s="1">
        <v>1958</v>
      </c>
      <c r="P253" s="1">
        <v>2017</v>
      </c>
      <c r="Q253" s="1">
        <v>1</v>
      </c>
      <c r="R253" s="1">
        <v>79</v>
      </c>
      <c r="S253" s="43" t="s">
        <v>1481</v>
      </c>
      <c r="T253" s="43" t="s">
        <v>1481</v>
      </c>
    </row>
    <row r="254" spans="1:20" ht="13" x14ac:dyDescent="0.15">
      <c r="A254" s="1" t="s">
        <v>771</v>
      </c>
      <c r="B254" s="1" t="s">
        <v>772</v>
      </c>
      <c r="C254" s="1" t="s">
        <v>773</v>
      </c>
      <c r="D254" s="1" t="s">
        <v>761</v>
      </c>
      <c r="E254" s="42">
        <f t="shared" si="0"/>
        <v>57.531506849315072</v>
      </c>
      <c r="F254" s="1">
        <v>1</v>
      </c>
      <c r="G254" s="1">
        <v>0</v>
      </c>
      <c r="H254" s="1">
        <v>0</v>
      </c>
      <c r="I254" s="1">
        <v>291</v>
      </c>
      <c r="J254" s="43"/>
      <c r="K254" s="46">
        <v>1</v>
      </c>
      <c r="L254" s="1" t="s">
        <v>1485</v>
      </c>
      <c r="M254" s="1">
        <v>20999</v>
      </c>
      <c r="N254" s="1">
        <v>-20999</v>
      </c>
      <c r="O254" s="1">
        <v>1960</v>
      </c>
      <c r="P254" s="1">
        <v>2018</v>
      </c>
      <c r="Q254" s="1">
        <v>182</v>
      </c>
      <c r="R254" s="1">
        <v>291</v>
      </c>
      <c r="S254" s="43" t="s">
        <v>1481</v>
      </c>
      <c r="T254" s="1" t="s">
        <v>1482</v>
      </c>
    </row>
    <row r="255" spans="1:20" ht="13" x14ac:dyDescent="0.15">
      <c r="A255" s="1" t="s">
        <v>774</v>
      </c>
      <c r="B255" s="1" t="s">
        <v>775</v>
      </c>
      <c r="C255" s="1" t="s">
        <v>776</v>
      </c>
      <c r="D255" s="1" t="s">
        <v>761</v>
      </c>
      <c r="E255" s="42">
        <f t="shared" si="0"/>
        <v>71.991780821917814</v>
      </c>
      <c r="F255" s="1">
        <v>1</v>
      </c>
      <c r="G255" s="1">
        <v>1</v>
      </c>
      <c r="H255" s="1">
        <v>0</v>
      </c>
      <c r="I255" s="1">
        <v>873</v>
      </c>
      <c r="J255" s="43"/>
      <c r="K255" s="46">
        <v>1</v>
      </c>
      <c r="L255" s="1" t="s">
        <v>1486</v>
      </c>
      <c r="M255" s="1">
        <v>26277</v>
      </c>
      <c r="N255" s="1">
        <v>-26277</v>
      </c>
      <c r="O255" s="1">
        <v>1945</v>
      </c>
      <c r="P255" s="1">
        <v>2020</v>
      </c>
      <c r="Q255" s="1">
        <v>866</v>
      </c>
      <c r="R255" s="1">
        <v>873</v>
      </c>
      <c r="S255" s="1">
        <v>454</v>
      </c>
      <c r="T255" s="1" t="s">
        <v>1484</v>
      </c>
    </row>
    <row r="256" spans="1:20" ht="13" x14ac:dyDescent="0.15">
      <c r="A256" s="1" t="s">
        <v>777</v>
      </c>
      <c r="B256" s="1" t="s">
        <v>778</v>
      </c>
      <c r="C256" s="1" t="s">
        <v>779</v>
      </c>
      <c r="D256" s="1" t="s">
        <v>761</v>
      </c>
      <c r="E256" s="42">
        <f t="shared" si="0"/>
        <v>39.638356164383559</v>
      </c>
      <c r="F256" s="1">
        <v>1</v>
      </c>
      <c r="G256" s="1">
        <v>1</v>
      </c>
      <c r="H256" s="1">
        <v>1</v>
      </c>
      <c r="I256" s="1">
        <v>1</v>
      </c>
      <c r="J256" s="43"/>
      <c r="K256" s="46">
        <v>1</v>
      </c>
      <c r="L256" s="1" t="s">
        <v>1480</v>
      </c>
      <c r="M256" s="1">
        <v>14468</v>
      </c>
      <c r="N256" s="1">
        <v>-14468</v>
      </c>
      <c r="O256" s="1">
        <v>1977</v>
      </c>
      <c r="P256" s="1">
        <v>2016</v>
      </c>
      <c r="Q256" s="1">
        <v>1</v>
      </c>
      <c r="R256" s="1">
        <v>1</v>
      </c>
      <c r="S256" s="43" t="s">
        <v>1481</v>
      </c>
      <c r="T256" s="1" t="s">
        <v>1482</v>
      </c>
    </row>
    <row r="257" spans="1:20" ht="13" x14ac:dyDescent="0.15">
      <c r="A257" s="1" t="s">
        <v>780</v>
      </c>
      <c r="B257" s="1" t="s">
        <v>781</v>
      </c>
      <c r="C257" s="1" t="s">
        <v>782</v>
      </c>
      <c r="D257" s="1" t="s">
        <v>761</v>
      </c>
      <c r="E257" s="42">
        <f t="shared" si="0"/>
        <v>70.032876712328772</v>
      </c>
      <c r="F257" s="1">
        <v>2</v>
      </c>
      <c r="G257" s="1">
        <v>1</v>
      </c>
      <c r="H257" s="1">
        <v>0</v>
      </c>
      <c r="I257" s="1">
        <v>155</v>
      </c>
      <c r="J257" s="43"/>
      <c r="K257" s="46">
        <v>1</v>
      </c>
      <c r="L257" s="1" t="s">
        <v>1480</v>
      </c>
      <c r="M257" s="1">
        <v>25562</v>
      </c>
      <c r="N257" s="1">
        <v>-25562</v>
      </c>
      <c r="O257" s="1">
        <v>1946</v>
      </c>
      <c r="P257" s="1">
        <v>2017</v>
      </c>
      <c r="Q257" s="1">
        <v>155</v>
      </c>
      <c r="R257" s="1">
        <v>155</v>
      </c>
      <c r="S257" s="43" t="s">
        <v>1481</v>
      </c>
      <c r="T257" s="1" t="s">
        <v>1482</v>
      </c>
    </row>
    <row r="258" spans="1:20" ht="13" x14ac:dyDescent="0.15">
      <c r="A258" s="1" t="s">
        <v>783</v>
      </c>
      <c r="B258" s="1" t="s">
        <v>784</v>
      </c>
      <c r="C258" s="1" t="s">
        <v>785</v>
      </c>
      <c r="D258" s="1" t="s">
        <v>761</v>
      </c>
      <c r="E258" s="42">
        <f t="shared" si="0"/>
        <v>71.498630136986307</v>
      </c>
      <c r="F258" s="1">
        <v>2</v>
      </c>
      <c r="G258" s="1">
        <v>1</v>
      </c>
      <c r="H258" s="1">
        <v>0</v>
      </c>
      <c r="I258" s="1">
        <v>721</v>
      </c>
      <c r="J258" s="43"/>
      <c r="K258" s="46">
        <v>1</v>
      </c>
      <c r="L258" s="1" t="s">
        <v>1483</v>
      </c>
      <c r="M258" s="1">
        <v>26097</v>
      </c>
      <c r="N258" s="1">
        <v>-26097</v>
      </c>
      <c r="O258" s="1">
        <v>1946</v>
      </c>
      <c r="P258" s="1">
        <v>2020</v>
      </c>
      <c r="Q258" s="1">
        <v>613</v>
      </c>
      <c r="R258" s="1">
        <v>721</v>
      </c>
      <c r="S258" s="1">
        <v>457</v>
      </c>
      <c r="T258" s="1" t="s">
        <v>1484</v>
      </c>
    </row>
    <row r="259" spans="1:20" ht="13" x14ac:dyDescent="0.15">
      <c r="A259" s="1" t="s">
        <v>786</v>
      </c>
      <c r="B259" s="1" t="s">
        <v>787</v>
      </c>
      <c r="C259" s="1" t="s">
        <v>788</v>
      </c>
      <c r="D259" s="1" t="s">
        <v>761</v>
      </c>
      <c r="E259" s="42">
        <f t="shared" si="0"/>
        <v>73.542465753424651</v>
      </c>
      <c r="F259" s="1">
        <v>2</v>
      </c>
      <c r="G259" s="1">
        <v>0</v>
      </c>
      <c r="H259" s="1">
        <v>0</v>
      </c>
      <c r="I259" s="1">
        <v>66</v>
      </c>
      <c r="J259" s="43"/>
      <c r="K259" s="46">
        <v>1</v>
      </c>
      <c r="L259" s="1" t="s">
        <v>1485</v>
      </c>
      <c r="M259" s="1">
        <v>26843</v>
      </c>
      <c r="N259" s="1">
        <v>-26843</v>
      </c>
      <c r="O259" s="1">
        <v>1943</v>
      </c>
      <c r="P259" s="1">
        <v>2017</v>
      </c>
      <c r="Q259" s="1">
        <v>0</v>
      </c>
      <c r="R259" s="1">
        <v>66</v>
      </c>
      <c r="S259" s="43" t="s">
        <v>1481</v>
      </c>
      <c r="T259" s="43" t="s">
        <v>1481</v>
      </c>
    </row>
    <row r="260" spans="1:20" ht="13" x14ac:dyDescent="0.15">
      <c r="A260" s="1" t="s">
        <v>789</v>
      </c>
      <c r="B260" s="1" t="s">
        <v>790</v>
      </c>
      <c r="C260" s="1" t="s">
        <v>791</v>
      </c>
      <c r="D260" s="1" t="s">
        <v>761</v>
      </c>
      <c r="E260" s="42">
        <f t="shared" si="0"/>
        <v>74.410958904109592</v>
      </c>
      <c r="F260" s="1">
        <v>1</v>
      </c>
      <c r="G260" s="1">
        <v>1</v>
      </c>
      <c r="H260" s="1">
        <v>0</v>
      </c>
      <c r="I260" s="1">
        <v>646</v>
      </c>
      <c r="J260" s="43"/>
      <c r="K260" s="46">
        <v>1</v>
      </c>
      <c r="L260" s="1" t="s">
        <v>1480</v>
      </c>
      <c r="M260" s="1">
        <v>27160</v>
      </c>
      <c r="N260" s="1">
        <v>-27160</v>
      </c>
      <c r="O260" s="1">
        <v>1942</v>
      </c>
      <c r="P260" s="1">
        <v>2018</v>
      </c>
      <c r="Q260" s="1">
        <v>2</v>
      </c>
      <c r="R260" s="1">
        <v>646</v>
      </c>
      <c r="S260" s="43" t="s">
        <v>1481</v>
      </c>
      <c r="T260" s="1" t="s">
        <v>1481</v>
      </c>
    </row>
    <row r="261" spans="1:20" ht="13" x14ac:dyDescent="0.15">
      <c r="A261" s="1" t="s">
        <v>792</v>
      </c>
      <c r="B261" s="1" t="s">
        <v>793</v>
      </c>
      <c r="C261" s="4" t="s">
        <v>794</v>
      </c>
      <c r="D261" s="1" t="s">
        <v>14</v>
      </c>
      <c r="E261" s="1">
        <v>66</v>
      </c>
      <c r="F261" s="1">
        <v>1</v>
      </c>
      <c r="G261" s="1">
        <v>0</v>
      </c>
      <c r="H261" s="1">
        <v>0</v>
      </c>
      <c r="I261" s="1">
        <v>15</v>
      </c>
      <c r="J261" s="1">
        <v>0</v>
      </c>
      <c r="K261" s="1">
        <v>1</v>
      </c>
      <c r="L261" s="1"/>
      <c r="M261" s="1"/>
      <c r="N261" s="1"/>
      <c r="O261" s="1"/>
      <c r="P261" s="1"/>
      <c r="Q261" s="1"/>
      <c r="R261" s="1"/>
      <c r="S261" s="1"/>
      <c r="T261" s="1"/>
    </row>
    <row r="262" spans="1:20" ht="13" x14ac:dyDescent="0.15">
      <c r="A262" s="1" t="s">
        <v>795</v>
      </c>
      <c r="B262" s="1" t="s">
        <v>796</v>
      </c>
      <c r="C262" s="4" t="s">
        <v>797</v>
      </c>
      <c r="D262" s="1" t="s">
        <v>14</v>
      </c>
      <c r="E262" s="1">
        <v>65</v>
      </c>
      <c r="F262" s="1">
        <v>1</v>
      </c>
      <c r="G262" s="1">
        <v>1</v>
      </c>
      <c r="H262" s="1">
        <v>0</v>
      </c>
      <c r="I262" s="1">
        <v>188</v>
      </c>
      <c r="J262" s="1">
        <v>0</v>
      </c>
      <c r="K262" s="1">
        <v>1</v>
      </c>
      <c r="L262" s="1"/>
      <c r="M262" s="1"/>
      <c r="N262" s="1"/>
      <c r="O262" s="1"/>
      <c r="P262" s="1"/>
      <c r="Q262" s="1"/>
      <c r="R262" s="1"/>
      <c r="S262" s="1"/>
      <c r="T262" s="1"/>
    </row>
    <row r="263" spans="1:20" ht="13" x14ac:dyDescent="0.15">
      <c r="A263" s="1" t="s">
        <v>798</v>
      </c>
      <c r="B263" s="1" t="s">
        <v>799</v>
      </c>
      <c r="C263" s="4" t="s">
        <v>800</v>
      </c>
      <c r="D263" s="1" t="s">
        <v>14</v>
      </c>
      <c r="E263" s="1">
        <v>72</v>
      </c>
      <c r="F263" s="1">
        <v>1</v>
      </c>
      <c r="G263" s="1">
        <v>1</v>
      </c>
      <c r="H263" s="1">
        <v>0</v>
      </c>
      <c r="I263" s="1">
        <v>421</v>
      </c>
      <c r="J263" s="1">
        <v>0</v>
      </c>
      <c r="K263" s="1">
        <v>1</v>
      </c>
      <c r="L263" s="1"/>
      <c r="M263" s="1"/>
      <c r="N263" s="1"/>
      <c r="O263" s="1"/>
      <c r="P263" s="1"/>
      <c r="Q263" s="1"/>
      <c r="R263" s="1"/>
      <c r="S263" s="1"/>
      <c r="T263" s="1"/>
    </row>
    <row r="264" spans="1:20" ht="13" x14ac:dyDescent="0.15">
      <c r="A264" s="1" t="s">
        <v>801</v>
      </c>
      <c r="B264" s="1" t="s">
        <v>802</v>
      </c>
      <c r="C264" s="4" t="s">
        <v>803</v>
      </c>
      <c r="D264" s="1" t="s">
        <v>14</v>
      </c>
      <c r="E264" s="1">
        <v>51</v>
      </c>
      <c r="F264" s="1">
        <v>1</v>
      </c>
      <c r="G264" s="1">
        <v>0</v>
      </c>
      <c r="H264" s="1">
        <v>0</v>
      </c>
      <c r="I264" s="1">
        <v>194</v>
      </c>
      <c r="J264" s="1">
        <v>1</v>
      </c>
      <c r="K264" s="1">
        <v>1</v>
      </c>
      <c r="L264" s="1"/>
      <c r="M264" s="1"/>
      <c r="N264" s="1"/>
      <c r="O264" s="1"/>
      <c r="P264" s="1"/>
      <c r="Q264" s="1"/>
      <c r="R264" s="1"/>
      <c r="S264" s="1"/>
      <c r="T264" s="1"/>
    </row>
    <row r="265" spans="1:20" ht="13" x14ac:dyDescent="0.15">
      <c r="A265" s="1" t="s">
        <v>804</v>
      </c>
      <c r="B265" s="1" t="s">
        <v>805</v>
      </c>
      <c r="C265" s="4" t="s">
        <v>806</v>
      </c>
      <c r="D265" s="1" t="s">
        <v>14</v>
      </c>
      <c r="E265" s="1">
        <v>60</v>
      </c>
      <c r="F265" s="1">
        <v>1</v>
      </c>
      <c r="G265" s="1">
        <v>1</v>
      </c>
      <c r="H265" s="1">
        <v>0</v>
      </c>
      <c r="I265" s="1">
        <v>1196</v>
      </c>
      <c r="J265" s="1">
        <v>0</v>
      </c>
      <c r="K265" s="1">
        <v>0</v>
      </c>
      <c r="L265" s="1"/>
      <c r="M265" s="1"/>
      <c r="N265" s="1"/>
      <c r="O265" s="1"/>
      <c r="P265" s="1"/>
      <c r="Q265" s="1"/>
      <c r="R265" s="1"/>
      <c r="S265" s="1"/>
      <c r="T265" s="1"/>
    </row>
    <row r="266" spans="1:20" ht="13" x14ac:dyDescent="0.15">
      <c r="A266" s="1" t="s">
        <v>807</v>
      </c>
      <c r="B266" s="1" t="s">
        <v>808</v>
      </c>
      <c r="C266" s="4" t="s">
        <v>809</v>
      </c>
      <c r="D266" s="1" t="s">
        <v>14</v>
      </c>
      <c r="E266" s="1">
        <v>75</v>
      </c>
      <c r="F266" s="1">
        <v>1</v>
      </c>
      <c r="G266" s="1">
        <v>1</v>
      </c>
      <c r="H266" s="1">
        <v>0</v>
      </c>
      <c r="I266" s="1">
        <v>1201</v>
      </c>
      <c r="J266" s="1">
        <v>0</v>
      </c>
      <c r="K266" s="1">
        <v>0</v>
      </c>
      <c r="L266" s="1"/>
      <c r="M266" s="1"/>
      <c r="N266" s="1"/>
      <c r="O266" s="1"/>
      <c r="P266" s="1"/>
      <c r="Q266" s="1"/>
      <c r="R266" s="1"/>
      <c r="S266" s="1"/>
      <c r="T266" s="1"/>
    </row>
    <row r="267" spans="1:20" ht="13" x14ac:dyDescent="0.15">
      <c r="A267" s="1" t="s">
        <v>810</v>
      </c>
      <c r="B267" s="1" t="s">
        <v>811</v>
      </c>
      <c r="C267" s="4" t="s">
        <v>812</v>
      </c>
      <c r="D267" s="1" t="s">
        <v>14</v>
      </c>
      <c r="E267" s="1">
        <v>72</v>
      </c>
      <c r="F267" s="1">
        <v>1</v>
      </c>
      <c r="G267" s="1">
        <v>0</v>
      </c>
      <c r="H267" s="1">
        <v>0</v>
      </c>
      <c r="I267" s="1">
        <v>108</v>
      </c>
      <c r="J267" s="1">
        <v>1</v>
      </c>
      <c r="K267" s="1">
        <v>1</v>
      </c>
      <c r="L267" s="1"/>
      <c r="M267" s="1"/>
      <c r="N267" s="1"/>
      <c r="O267" s="1"/>
      <c r="P267" s="1"/>
      <c r="Q267" s="1"/>
      <c r="R267" s="1"/>
      <c r="S267" s="1"/>
      <c r="T267" s="1"/>
    </row>
    <row r="268" spans="1:20" ht="13" x14ac:dyDescent="0.15">
      <c r="A268" s="1" t="s">
        <v>813</v>
      </c>
      <c r="B268" s="1" t="s">
        <v>814</v>
      </c>
      <c r="C268" s="4" t="s">
        <v>815</v>
      </c>
      <c r="D268" s="1" t="s">
        <v>14</v>
      </c>
      <c r="E268" s="1">
        <v>26</v>
      </c>
      <c r="F268" s="1">
        <v>2</v>
      </c>
      <c r="G268" s="1">
        <v>1</v>
      </c>
      <c r="H268" s="1">
        <v>0</v>
      </c>
      <c r="I268" s="1">
        <v>837</v>
      </c>
      <c r="J268" s="1">
        <v>0</v>
      </c>
      <c r="K268" s="1">
        <v>1</v>
      </c>
      <c r="L268" s="1"/>
      <c r="M268" s="1"/>
      <c r="N268" s="1"/>
      <c r="O268" s="1"/>
      <c r="P268" s="1"/>
      <c r="Q268" s="1"/>
      <c r="R268" s="1"/>
      <c r="S268" s="1"/>
      <c r="T268" s="1"/>
    </row>
    <row r="269" spans="1:20" ht="13" x14ac:dyDescent="0.15">
      <c r="A269" s="1" t="s">
        <v>816</v>
      </c>
      <c r="B269" s="1" t="s">
        <v>817</v>
      </c>
      <c r="C269" s="4" t="s">
        <v>818</v>
      </c>
      <c r="D269" s="1" t="s">
        <v>14</v>
      </c>
      <c r="E269" s="1">
        <v>65</v>
      </c>
      <c r="F269" s="1">
        <v>2</v>
      </c>
      <c r="G269" s="1">
        <v>1</v>
      </c>
      <c r="H269" s="1">
        <v>0</v>
      </c>
      <c r="I269" s="1">
        <v>141</v>
      </c>
      <c r="J269" s="1">
        <v>0</v>
      </c>
      <c r="K269" s="1">
        <v>1</v>
      </c>
      <c r="L269" s="1"/>
      <c r="M269" s="1"/>
      <c r="N269" s="1"/>
      <c r="O269" s="1"/>
      <c r="P269" s="1"/>
      <c r="Q269" s="1"/>
      <c r="R269" s="1"/>
      <c r="S269" s="1"/>
      <c r="T269" s="1"/>
    </row>
    <row r="270" spans="1:20" ht="13" x14ac:dyDescent="0.15">
      <c r="A270" s="1" t="s">
        <v>819</v>
      </c>
      <c r="B270" s="1" t="s">
        <v>820</v>
      </c>
      <c r="C270" s="4" t="s">
        <v>821</v>
      </c>
      <c r="D270" s="1" t="s">
        <v>14</v>
      </c>
      <c r="E270" s="1">
        <v>65</v>
      </c>
      <c r="F270" s="1">
        <v>2</v>
      </c>
      <c r="G270" s="1">
        <v>1</v>
      </c>
      <c r="H270" s="1">
        <v>0</v>
      </c>
      <c r="I270" s="1">
        <v>465</v>
      </c>
      <c r="J270" s="1">
        <v>1</v>
      </c>
      <c r="K270" s="1">
        <v>1</v>
      </c>
      <c r="L270" s="1"/>
      <c r="M270" s="1"/>
      <c r="N270" s="1"/>
      <c r="O270" s="1"/>
      <c r="P270" s="1"/>
      <c r="Q270" s="1"/>
      <c r="R270" s="1"/>
      <c r="S270" s="1"/>
      <c r="T270" s="1"/>
    </row>
    <row r="271" spans="1:20" ht="13" x14ac:dyDescent="0.15">
      <c r="A271" s="1" t="s">
        <v>822</v>
      </c>
      <c r="B271" s="1" t="s">
        <v>823</v>
      </c>
      <c r="C271" s="4" t="s">
        <v>824</v>
      </c>
      <c r="D271" s="1" t="s">
        <v>14</v>
      </c>
      <c r="E271" s="1">
        <v>64</v>
      </c>
      <c r="F271" s="1">
        <v>2</v>
      </c>
      <c r="G271" s="1">
        <v>0</v>
      </c>
      <c r="H271" s="1">
        <v>0</v>
      </c>
      <c r="I271" s="1">
        <v>109</v>
      </c>
      <c r="J271" s="1">
        <v>0</v>
      </c>
      <c r="K271" s="1">
        <v>1</v>
      </c>
      <c r="L271" s="1"/>
      <c r="M271" s="1"/>
      <c r="N271" s="1"/>
      <c r="O271" s="1"/>
      <c r="P271" s="1"/>
      <c r="Q271" s="1"/>
      <c r="R271" s="1"/>
      <c r="S271" s="1"/>
      <c r="T271" s="1"/>
    </row>
    <row r="272" spans="1:20" ht="13" x14ac:dyDescent="0.15">
      <c r="A272" s="1" t="s">
        <v>825</v>
      </c>
      <c r="B272" s="1" t="s">
        <v>826</v>
      </c>
      <c r="C272" s="4" t="s">
        <v>827</v>
      </c>
      <c r="D272" s="1" t="s">
        <v>14</v>
      </c>
      <c r="E272" s="1">
        <v>65</v>
      </c>
      <c r="F272" s="1">
        <v>2</v>
      </c>
      <c r="G272" s="1">
        <v>1</v>
      </c>
      <c r="H272" s="1">
        <v>0</v>
      </c>
      <c r="I272" s="1">
        <v>729</v>
      </c>
      <c r="J272" s="1">
        <v>1</v>
      </c>
      <c r="K272" s="1">
        <v>1</v>
      </c>
      <c r="L272" s="1"/>
      <c r="M272" s="1"/>
      <c r="N272" s="1"/>
      <c r="O272" s="1"/>
      <c r="P272" s="1"/>
      <c r="Q272" s="1"/>
      <c r="R272" s="1"/>
      <c r="S272" s="1"/>
      <c r="T272" s="1"/>
    </row>
    <row r="273" spans="1:20" ht="13" x14ac:dyDescent="0.15">
      <c r="A273" s="1" t="s">
        <v>828</v>
      </c>
      <c r="B273" s="1" t="s">
        <v>829</v>
      </c>
      <c r="C273" s="4" t="s">
        <v>830</v>
      </c>
      <c r="D273" s="1" t="s">
        <v>14</v>
      </c>
      <c r="E273" s="1">
        <v>52</v>
      </c>
      <c r="F273" s="1">
        <v>2</v>
      </c>
      <c r="G273" s="1">
        <v>1</v>
      </c>
      <c r="H273" s="1">
        <v>0</v>
      </c>
      <c r="I273" s="1">
        <v>512</v>
      </c>
      <c r="J273" s="1">
        <v>0</v>
      </c>
      <c r="K273" s="1">
        <v>1</v>
      </c>
      <c r="L273" s="1"/>
      <c r="M273" s="1"/>
      <c r="N273" s="1"/>
      <c r="O273" s="1"/>
      <c r="P273" s="1"/>
      <c r="Q273" s="1"/>
      <c r="R273" s="1"/>
      <c r="S273" s="1"/>
      <c r="T273" s="1"/>
    </row>
    <row r="274" spans="1:20" ht="13" x14ac:dyDescent="0.15">
      <c r="A274" s="1" t="s">
        <v>831</v>
      </c>
      <c r="B274" s="1" t="s">
        <v>832</v>
      </c>
      <c r="C274" s="4" t="s">
        <v>833</v>
      </c>
      <c r="D274" s="1" t="s">
        <v>14</v>
      </c>
      <c r="E274" s="1">
        <v>55</v>
      </c>
      <c r="F274" s="1">
        <v>1</v>
      </c>
      <c r="G274" s="1">
        <v>1</v>
      </c>
      <c r="H274" s="1">
        <v>0</v>
      </c>
      <c r="I274" s="1">
        <v>961</v>
      </c>
      <c r="J274" s="1">
        <v>0</v>
      </c>
      <c r="K274" s="1">
        <v>0</v>
      </c>
      <c r="L274" s="1"/>
      <c r="M274" s="1"/>
      <c r="N274" s="1"/>
      <c r="O274" s="1"/>
      <c r="P274" s="1"/>
      <c r="Q274" s="1"/>
      <c r="R274" s="1"/>
      <c r="S274" s="1"/>
      <c r="T274" s="1"/>
    </row>
    <row r="275" spans="1:20" ht="13" x14ac:dyDescent="0.15">
      <c r="A275" s="1" t="s">
        <v>834</v>
      </c>
      <c r="B275" s="1" t="s">
        <v>835</v>
      </c>
      <c r="C275" s="4" t="s">
        <v>836</v>
      </c>
      <c r="D275" s="1" t="s">
        <v>14</v>
      </c>
      <c r="E275" s="1">
        <v>53</v>
      </c>
      <c r="F275" s="1">
        <v>1</v>
      </c>
      <c r="G275" s="1">
        <v>1</v>
      </c>
      <c r="H275" s="1">
        <v>0</v>
      </c>
      <c r="I275" s="1">
        <v>799</v>
      </c>
      <c r="J275" s="1">
        <v>0</v>
      </c>
      <c r="K275" s="1">
        <v>1</v>
      </c>
      <c r="L275" s="1"/>
      <c r="M275" s="1"/>
      <c r="N275" s="1"/>
      <c r="O275" s="1"/>
      <c r="P275" s="1"/>
      <c r="Q275" s="1"/>
      <c r="R275" s="1"/>
      <c r="S275" s="1"/>
      <c r="T275" s="1"/>
    </row>
    <row r="276" spans="1:20" ht="13" x14ac:dyDescent="0.15">
      <c r="A276" s="1" t="s">
        <v>837</v>
      </c>
      <c r="B276" s="1" t="s">
        <v>838</v>
      </c>
      <c r="C276" s="4" t="s">
        <v>839</v>
      </c>
      <c r="D276" s="1" t="s">
        <v>14</v>
      </c>
      <c r="E276" s="1">
        <v>78</v>
      </c>
      <c r="F276" s="1">
        <v>2</v>
      </c>
      <c r="G276" s="1">
        <v>1</v>
      </c>
      <c r="H276" s="1">
        <v>0</v>
      </c>
      <c r="I276" s="1">
        <v>86</v>
      </c>
      <c r="J276" s="1">
        <v>1</v>
      </c>
      <c r="K276" s="1">
        <v>1</v>
      </c>
      <c r="L276" s="1"/>
      <c r="M276" s="1"/>
      <c r="N276" s="1"/>
      <c r="O276" s="1"/>
      <c r="P276" s="1"/>
      <c r="Q276" s="1"/>
      <c r="R276" s="1"/>
      <c r="S276" s="1"/>
      <c r="T276" s="1"/>
    </row>
    <row r="277" spans="1:20" ht="13" x14ac:dyDescent="0.15">
      <c r="A277" s="1" t="s">
        <v>840</v>
      </c>
      <c r="B277" s="1" t="s">
        <v>841</v>
      </c>
      <c r="C277" s="4" t="s">
        <v>842</v>
      </c>
      <c r="D277" s="1" t="s">
        <v>14</v>
      </c>
      <c r="E277" s="1">
        <v>76</v>
      </c>
      <c r="F277" s="1">
        <v>1</v>
      </c>
      <c r="G277" s="1">
        <v>1</v>
      </c>
      <c r="H277" s="1">
        <v>0</v>
      </c>
      <c r="I277" s="1">
        <v>361</v>
      </c>
      <c r="J277" s="1">
        <v>0</v>
      </c>
      <c r="K277" s="1">
        <v>1</v>
      </c>
      <c r="L277" s="1"/>
      <c r="M277" s="1"/>
      <c r="N277" s="1"/>
      <c r="O277" s="1"/>
      <c r="P277" s="1"/>
      <c r="Q277" s="1"/>
      <c r="R277" s="1"/>
      <c r="S277" s="1"/>
      <c r="T277" s="1"/>
    </row>
    <row r="278" spans="1:20" ht="13" x14ac:dyDescent="0.15">
      <c r="A278" s="1" t="s">
        <v>843</v>
      </c>
      <c r="B278" s="1" t="s">
        <v>844</v>
      </c>
      <c r="C278" s="4" t="s">
        <v>845</v>
      </c>
      <c r="D278" s="1" t="s">
        <v>14</v>
      </c>
      <c r="E278" s="1">
        <v>61</v>
      </c>
      <c r="F278" s="1">
        <v>2</v>
      </c>
      <c r="G278" s="1">
        <v>0</v>
      </c>
      <c r="H278" s="1">
        <v>0</v>
      </c>
      <c r="I278" s="1">
        <v>446</v>
      </c>
      <c r="J278" s="1">
        <v>0</v>
      </c>
      <c r="K278" s="1">
        <v>1</v>
      </c>
      <c r="L278" s="1"/>
      <c r="M278" s="1"/>
      <c r="N278" s="1"/>
      <c r="O278" s="1"/>
      <c r="P278" s="1"/>
      <c r="Q278" s="1"/>
      <c r="R278" s="1"/>
      <c r="S278" s="1"/>
      <c r="T278" s="1"/>
    </row>
    <row r="279" spans="1:20" ht="13" x14ac:dyDescent="0.15">
      <c r="A279" s="1" t="s">
        <v>846</v>
      </c>
      <c r="B279" s="1" t="s">
        <v>847</v>
      </c>
      <c r="C279" s="4" t="s">
        <v>848</v>
      </c>
      <c r="D279" s="1" t="s">
        <v>14</v>
      </c>
      <c r="E279" s="1">
        <v>72</v>
      </c>
      <c r="F279" s="1">
        <v>1</v>
      </c>
      <c r="G279" s="1">
        <v>0</v>
      </c>
      <c r="H279" s="1">
        <v>0</v>
      </c>
      <c r="I279" s="1">
        <v>150</v>
      </c>
      <c r="J279" s="1">
        <v>0</v>
      </c>
      <c r="K279" s="1">
        <v>1</v>
      </c>
      <c r="L279" s="1"/>
      <c r="M279" s="1"/>
      <c r="N279" s="1"/>
      <c r="O279" s="1"/>
      <c r="P279" s="1"/>
      <c r="Q279" s="1"/>
      <c r="R279" s="1"/>
      <c r="S279" s="1"/>
      <c r="T279" s="1"/>
    </row>
    <row r="280" spans="1:20" ht="13" x14ac:dyDescent="0.15">
      <c r="A280" s="1" t="s">
        <v>849</v>
      </c>
      <c r="B280" s="1" t="s">
        <v>850</v>
      </c>
      <c r="C280" s="4" t="s">
        <v>851</v>
      </c>
      <c r="D280" s="1" t="s">
        <v>14</v>
      </c>
      <c r="E280" s="1">
        <v>57</v>
      </c>
      <c r="F280" s="1">
        <v>1</v>
      </c>
      <c r="G280" s="1">
        <v>0</v>
      </c>
      <c r="H280" s="1">
        <v>0</v>
      </c>
      <c r="I280" s="1">
        <v>1392</v>
      </c>
      <c r="J280" s="1">
        <v>0</v>
      </c>
      <c r="K280" s="1">
        <v>0</v>
      </c>
      <c r="L280" s="1"/>
      <c r="M280" s="1"/>
      <c r="N280" s="1"/>
      <c r="O280" s="1"/>
      <c r="P280" s="1"/>
      <c r="Q280" s="1"/>
      <c r="R280" s="1"/>
      <c r="S280" s="1"/>
      <c r="T280" s="1"/>
    </row>
    <row r="281" spans="1:20" ht="13" x14ac:dyDescent="0.15">
      <c r="A281" s="1" t="s">
        <v>852</v>
      </c>
      <c r="B281" s="1" t="s">
        <v>853</v>
      </c>
      <c r="C281" s="4" t="s">
        <v>854</v>
      </c>
      <c r="D281" s="1" t="s">
        <v>14</v>
      </c>
      <c r="E281" s="1">
        <v>69</v>
      </c>
      <c r="F281" s="1">
        <v>1</v>
      </c>
      <c r="G281" s="1">
        <v>1</v>
      </c>
      <c r="H281" s="1">
        <v>0</v>
      </c>
      <c r="I281" s="1">
        <v>358</v>
      </c>
      <c r="J281" s="1">
        <v>0</v>
      </c>
      <c r="K281" s="1">
        <v>0</v>
      </c>
      <c r="L281" s="1"/>
      <c r="M281" s="1"/>
      <c r="N281" s="1"/>
      <c r="O281" s="1"/>
      <c r="P281" s="1"/>
      <c r="Q281" s="1"/>
      <c r="R281" s="1"/>
      <c r="S281" s="1"/>
      <c r="T281" s="1"/>
    </row>
    <row r="282" spans="1:20" ht="13" x14ac:dyDescent="0.15">
      <c r="A282" s="1" t="s">
        <v>855</v>
      </c>
      <c r="B282" s="1" t="s">
        <v>856</v>
      </c>
      <c r="C282" s="4" t="s">
        <v>857</v>
      </c>
      <c r="D282" s="1" t="s">
        <v>14</v>
      </c>
      <c r="E282" s="1">
        <v>61</v>
      </c>
      <c r="F282" s="1">
        <v>1</v>
      </c>
      <c r="G282" s="1">
        <v>1</v>
      </c>
      <c r="H282" s="1">
        <v>0</v>
      </c>
      <c r="I282" s="1">
        <v>394</v>
      </c>
      <c r="J282" s="1">
        <v>0</v>
      </c>
      <c r="K282" s="1">
        <v>1</v>
      </c>
      <c r="L282" s="1"/>
      <c r="M282" s="1"/>
      <c r="N282" s="1"/>
      <c r="O282" s="1"/>
      <c r="P282" s="1"/>
      <c r="Q282" s="1"/>
      <c r="R282" s="1"/>
      <c r="S282" s="1"/>
      <c r="T282" s="1"/>
    </row>
    <row r="283" spans="1:20" ht="13" x14ac:dyDescent="0.15">
      <c r="A283" s="1" t="s">
        <v>858</v>
      </c>
      <c r="B283" s="1" t="s">
        <v>859</v>
      </c>
      <c r="C283" s="4" t="s">
        <v>860</v>
      </c>
      <c r="D283" s="1" t="s">
        <v>14</v>
      </c>
      <c r="E283" s="1">
        <v>61</v>
      </c>
      <c r="F283" s="1">
        <v>2</v>
      </c>
      <c r="G283" s="1">
        <v>1</v>
      </c>
      <c r="H283" s="1">
        <v>0</v>
      </c>
      <c r="I283" s="1">
        <v>115</v>
      </c>
      <c r="J283" s="1">
        <v>0</v>
      </c>
      <c r="K283" s="1">
        <v>1</v>
      </c>
      <c r="L283" s="1"/>
      <c r="M283" s="1"/>
      <c r="N283" s="1"/>
      <c r="O283" s="1"/>
      <c r="P283" s="1"/>
      <c r="Q283" s="1"/>
      <c r="R283" s="1"/>
      <c r="S283" s="1"/>
      <c r="T283" s="1"/>
    </row>
    <row r="284" spans="1:20" ht="13" x14ac:dyDescent="0.15">
      <c r="A284" s="1" t="s">
        <v>861</v>
      </c>
      <c r="B284" s="1" t="s">
        <v>862</v>
      </c>
      <c r="C284" s="4" t="s">
        <v>863</v>
      </c>
      <c r="D284" s="1" t="s">
        <v>14</v>
      </c>
      <c r="E284" s="1">
        <v>67</v>
      </c>
      <c r="F284" s="1">
        <v>1</v>
      </c>
      <c r="G284" s="1">
        <v>1</v>
      </c>
      <c r="H284" s="1">
        <v>0</v>
      </c>
      <c r="I284" s="1">
        <v>288</v>
      </c>
      <c r="J284" s="1">
        <v>1</v>
      </c>
      <c r="K284" s="1">
        <v>0</v>
      </c>
      <c r="L284" s="1"/>
      <c r="M284" s="1"/>
      <c r="N284" s="1"/>
      <c r="O284" s="1"/>
      <c r="P284" s="1"/>
      <c r="Q284" s="1"/>
      <c r="R284" s="1"/>
      <c r="S284" s="1"/>
      <c r="T284" s="1"/>
    </row>
    <row r="285" spans="1:20" ht="13" x14ac:dyDescent="0.15">
      <c r="A285" s="1" t="s">
        <v>864</v>
      </c>
      <c r="B285" s="1" t="s">
        <v>865</v>
      </c>
      <c r="C285" s="4" t="s">
        <v>866</v>
      </c>
      <c r="D285" s="1" t="s">
        <v>14</v>
      </c>
      <c r="E285" s="1">
        <v>27</v>
      </c>
      <c r="F285" s="1">
        <v>2</v>
      </c>
      <c r="G285" s="1">
        <v>1</v>
      </c>
      <c r="H285" s="1">
        <v>0</v>
      </c>
      <c r="I285" s="1">
        <v>1035</v>
      </c>
      <c r="J285" s="1">
        <v>0</v>
      </c>
      <c r="K285" s="1">
        <v>0</v>
      </c>
      <c r="L285" s="1"/>
      <c r="M285" s="1"/>
      <c r="N285" s="1"/>
      <c r="O285" s="1"/>
      <c r="P285" s="1"/>
      <c r="Q285" s="1"/>
      <c r="R285" s="1"/>
      <c r="S285" s="1"/>
      <c r="T285" s="1"/>
    </row>
    <row r="286" spans="1:20" ht="13" x14ac:dyDescent="0.15">
      <c r="A286" s="1" t="s">
        <v>867</v>
      </c>
      <c r="B286" s="1" t="s">
        <v>868</v>
      </c>
      <c r="C286" s="4" t="s">
        <v>869</v>
      </c>
      <c r="D286" s="1" t="s">
        <v>14</v>
      </c>
      <c r="E286" s="1">
        <v>60</v>
      </c>
      <c r="F286" s="1">
        <v>2</v>
      </c>
      <c r="G286" s="1">
        <v>1</v>
      </c>
      <c r="H286" s="1">
        <v>0</v>
      </c>
      <c r="I286" s="1">
        <v>902</v>
      </c>
      <c r="J286" s="1">
        <v>0</v>
      </c>
      <c r="K286" s="1">
        <v>0</v>
      </c>
      <c r="L286" s="1"/>
      <c r="M286" s="1"/>
      <c r="N286" s="1"/>
      <c r="O286" s="1"/>
      <c r="P286" s="1"/>
      <c r="Q286" s="1"/>
      <c r="R286" s="1"/>
      <c r="S286" s="1"/>
      <c r="T286" s="1"/>
    </row>
    <row r="287" spans="1:20" ht="13" x14ac:dyDescent="0.15">
      <c r="A287" s="1" t="s">
        <v>870</v>
      </c>
      <c r="B287" s="1" t="s">
        <v>871</v>
      </c>
      <c r="C287" s="4" t="s">
        <v>872</v>
      </c>
      <c r="D287" s="1" t="s">
        <v>14</v>
      </c>
      <c r="E287" s="1">
        <v>51</v>
      </c>
      <c r="F287" s="1">
        <v>1</v>
      </c>
      <c r="G287" s="1">
        <v>1</v>
      </c>
      <c r="H287" s="1">
        <v>0</v>
      </c>
      <c r="I287" s="1">
        <v>1308</v>
      </c>
      <c r="J287" s="1">
        <v>0</v>
      </c>
      <c r="K287" s="1">
        <v>1</v>
      </c>
      <c r="L287" s="1"/>
      <c r="M287" s="1"/>
      <c r="N287" s="1"/>
      <c r="O287" s="1"/>
      <c r="P287" s="1"/>
      <c r="Q287" s="1"/>
      <c r="R287" s="1"/>
      <c r="S287" s="1"/>
      <c r="T287" s="1"/>
    </row>
    <row r="288" spans="1:20" ht="13" x14ac:dyDescent="0.15">
      <c r="A288" s="1" t="s">
        <v>873</v>
      </c>
      <c r="B288" s="1" t="s">
        <v>874</v>
      </c>
      <c r="C288" s="4" t="s">
        <v>875</v>
      </c>
      <c r="D288" s="1" t="s">
        <v>14</v>
      </c>
      <c r="E288" s="1">
        <v>66</v>
      </c>
      <c r="F288" s="1">
        <v>2</v>
      </c>
      <c r="G288" s="1">
        <v>0</v>
      </c>
      <c r="H288" s="1">
        <v>0</v>
      </c>
      <c r="I288" s="1">
        <v>611</v>
      </c>
      <c r="J288" s="1">
        <v>0</v>
      </c>
      <c r="K288" s="1">
        <v>1</v>
      </c>
      <c r="L288" s="1"/>
      <c r="M288" s="1"/>
      <c r="N288" s="1"/>
      <c r="O288" s="1"/>
      <c r="P288" s="1"/>
      <c r="Q288" s="1"/>
      <c r="R288" s="1"/>
      <c r="S288" s="1"/>
      <c r="T288" s="1"/>
    </row>
    <row r="289" spans="1:20" ht="13" x14ac:dyDescent="0.15">
      <c r="A289" s="1" t="s">
        <v>876</v>
      </c>
      <c r="B289" s="1" t="s">
        <v>877</v>
      </c>
      <c r="C289" s="4" t="s">
        <v>878</v>
      </c>
      <c r="D289" s="1" t="s">
        <v>14</v>
      </c>
      <c r="E289" s="1">
        <v>58</v>
      </c>
      <c r="F289" s="1">
        <v>1</v>
      </c>
      <c r="G289" s="1">
        <v>0</v>
      </c>
      <c r="H289" s="1">
        <v>0</v>
      </c>
      <c r="I289" s="1">
        <v>304</v>
      </c>
      <c r="J289" s="1">
        <v>1</v>
      </c>
      <c r="K289" s="1">
        <v>0</v>
      </c>
      <c r="L289" s="1"/>
      <c r="M289" s="1"/>
      <c r="N289" s="1"/>
      <c r="O289" s="1"/>
      <c r="P289" s="1"/>
      <c r="Q289" s="1"/>
      <c r="R289" s="1"/>
      <c r="S289" s="1"/>
      <c r="T289" s="1"/>
    </row>
    <row r="290" spans="1:20" ht="13" x14ac:dyDescent="0.15">
      <c r="A290" s="1" t="s">
        <v>879</v>
      </c>
      <c r="B290" s="1" t="s">
        <v>880</v>
      </c>
      <c r="C290" s="4" t="s">
        <v>881</v>
      </c>
      <c r="D290" s="1" t="s">
        <v>14</v>
      </c>
      <c r="E290" s="1">
        <v>60</v>
      </c>
      <c r="F290" s="1">
        <v>1</v>
      </c>
      <c r="G290" s="1">
        <v>1</v>
      </c>
      <c r="H290" s="1">
        <v>0</v>
      </c>
      <c r="I290" s="1">
        <v>645</v>
      </c>
      <c r="J290" s="1">
        <v>1</v>
      </c>
      <c r="K290" s="1">
        <v>0</v>
      </c>
      <c r="L290" s="1"/>
      <c r="M290" s="1"/>
      <c r="N290" s="1"/>
      <c r="O290" s="1"/>
      <c r="P290" s="1"/>
      <c r="Q290" s="1"/>
      <c r="R290" s="1"/>
      <c r="S290" s="1"/>
      <c r="T290" s="1"/>
    </row>
    <row r="291" spans="1:20" ht="13" x14ac:dyDescent="0.15">
      <c r="A291" s="1" t="s">
        <v>882</v>
      </c>
      <c r="B291" s="1" t="s">
        <v>883</v>
      </c>
      <c r="C291" s="4" t="s">
        <v>884</v>
      </c>
      <c r="D291" s="1" t="s">
        <v>14</v>
      </c>
      <c r="E291" s="1">
        <v>77</v>
      </c>
      <c r="F291" s="1">
        <v>2</v>
      </c>
      <c r="G291" s="1">
        <v>0</v>
      </c>
      <c r="H291" s="1">
        <v>0</v>
      </c>
      <c r="I291" s="1">
        <v>676</v>
      </c>
      <c r="J291" s="1">
        <v>1</v>
      </c>
      <c r="K291" s="1">
        <v>1</v>
      </c>
      <c r="L291" s="1"/>
      <c r="M291" s="1"/>
      <c r="N291" s="1"/>
      <c r="O291" s="1"/>
      <c r="P291" s="1"/>
      <c r="Q291" s="1"/>
      <c r="R291" s="1"/>
      <c r="S291" s="1"/>
      <c r="T291" s="1"/>
    </row>
    <row r="292" spans="1:20" ht="13" x14ac:dyDescent="0.15">
      <c r="A292" s="1" t="s">
        <v>885</v>
      </c>
      <c r="B292" s="1" t="s">
        <v>886</v>
      </c>
      <c r="C292" s="4" t="s">
        <v>887</v>
      </c>
      <c r="D292" s="1" t="s">
        <v>14</v>
      </c>
      <c r="E292" s="1">
        <v>46</v>
      </c>
      <c r="F292" s="1">
        <v>1</v>
      </c>
      <c r="G292" s="1">
        <v>1</v>
      </c>
      <c r="H292" s="1">
        <v>0</v>
      </c>
      <c r="I292" s="1">
        <v>329</v>
      </c>
      <c r="J292" s="1">
        <v>1</v>
      </c>
      <c r="K292" s="1">
        <v>1</v>
      </c>
      <c r="L292" s="1"/>
      <c r="M292" s="1"/>
      <c r="N292" s="1"/>
      <c r="O292" s="1"/>
      <c r="P292" s="1"/>
      <c r="Q292" s="1"/>
      <c r="R292" s="1"/>
      <c r="S292" s="1"/>
      <c r="T292" s="1"/>
    </row>
    <row r="293" spans="1:20" ht="13" x14ac:dyDescent="0.15">
      <c r="A293" s="1" t="s">
        <v>888</v>
      </c>
      <c r="B293" s="1" t="s">
        <v>889</v>
      </c>
      <c r="C293" s="4" t="s">
        <v>890</v>
      </c>
      <c r="D293" s="1" t="s">
        <v>14</v>
      </c>
      <c r="E293" s="1">
        <v>86</v>
      </c>
      <c r="F293" s="1">
        <v>2</v>
      </c>
      <c r="G293" s="1">
        <v>0</v>
      </c>
      <c r="H293" s="1">
        <v>0</v>
      </c>
      <c r="I293" s="1">
        <v>48</v>
      </c>
      <c r="J293" s="1">
        <v>1</v>
      </c>
      <c r="K293" s="1">
        <v>1</v>
      </c>
      <c r="L293" s="1"/>
      <c r="M293" s="1"/>
      <c r="N293" s="1"/>
      <c r="O293" s="1"/>
      <c r="P293" s="1"/>
      <c r="Q293" s="1"/>
      <c r="R293" s="1"/>
      <c r="S293" s="1"/>
      <c r="T293" s="1"/>
    </row>
    <row r="294" spans="1:20" ht="13" x14ac:dyDescent="0.15">
      <c r="A294" s="1" t="s">
        <v>891</v>
      </c>
      <c r="B294" s="1" t="s">
        <v>892</v>
      </c>
      <c r="C294" s="4" t="s">
        <v>893</v>
      </c>
      <c r="D294" s="1" t="s">
        <v>14</v>
      </c>
      <c r="E294" s="1">
        <v>83</v>
      </c>
      <c r="F294" s="1">
        <v>2</v>
      </c>
      <c r="G294" s="1">
        <v>1</v>
      </c>
      <c r="H294" s="1">
        <v>0</v>
      </c>
      <c r="I294" s="1">
        <v>130</v>
      </c>
      <c r="J294" s="1">
        <v>0</v>
      </c>
      <c r="K294" s="1">
        <v>1</v>
      </c>
      <c r="L294" s="1"/>
      <c r="M294" s="1"/>
      <c r="N294" s="1"/>
      <c r="O294" s="1"/>
      <c r="P294" s="1"/>
      <c r="Q294" s="1"/>
      <c r="R294" s="1"/>
      <c r="S294" s="1"/>
      <c r="T294" s="1"/>
    </row>
    <row r="295" spans="1:20" ht="13" x14ac:dyDescent="0.15">
      <c r="A295" s="1" t="s">
        <v>894</v>
      </c>
      <c r="B295" s="1" t="s">
        <v>895</v>
      </c>
      <c r="C295" s="4" t="s">
        <v>896</v>
      </c>
      <c r="D295" s="1" t="s">
        <v>14</v>
      </c>
      <c r="E295" s="1">
        <v>48</v>
      </c>
      <c r="F295" s="1">
        <v>1</v>
      </c>
      <c r="G295" s="1">
        <v>1</v>
      </c>
      <c r="H295" s="1">
        <v>0</v>
      </c>
      <c r="I295" s="1">
        <v>919</v>
      </c>
      <c r="J295" s="1">
        <v>0</v>
      </c>
      <c r="K295" s="1">
        <v>1</v>
      </c>
      <c r="L295" s="1"/>
      <c r="M295" s="1"/>
      <c r="N295" s="1"/>
      <c r="O295" s="1"/>
      <c r="P295" s="1"/>
      <c r="Q295" s="1"/>
      <c r="R295" s="1"/>
      <c r="S295" s="1"/>
      <c r="T295" s="1"/>
    </row>
    <row r="296" spans="1:20" ht="13" x14ac:dyDescent="0.15">
      <c r="A296" s="1" t="s">
        <v>897</v>
      </c>
      <c r="B296" s="1" t="s">
        <v>898</v>
      </c>
      <c r="C296" s="4" t="s">
        <v>899</v>
      </c>
      <c r="D296" s="1" t="s">
        <v>14</v>
      </c>
      <c r="E296" s="1">
        <v>48</v>
      </c>
      <c r="F296" s="1">
        <v>1</v>
      </c>
      <c r="G296" s="1">
        <v>0</v>
      </c>
      <c r="H296" s="1">
        <v>0</v>
      </c>
      <c r="I296" s="1">
        <v>633</v>
      </c>
      <c r="J296" s="1">
        <v>0</v>
      </c>
      <c r="K296" s="1">
        <v>1</v>
      </c>
      <c r="L296" s="1"/>
      <c r="M296" s="1"/>
      <c r="N296" s="1"/>
      <c r="O296" s="1"/>
      <c r="P296" s="1"/>
      <c r="Q296" s="1"/>
      <c r="R296" s="1"/>
      <c r="S296" s="1"/>
      <c r="T296" s="1"/>
    </row>
    <row r="297" spans="1:20" ht="13" x14ac:dyDescent="0.15">
      <c r="A297" s="1" t="s">
        <v>900</v>
      </c>
      <c r="B297" s="1" t="s">
        <v>901</v>
      </c>
      <c r="C297" s="4" t="s">
        <v>902</v>
      </c>
      <c r="D297" s="1" t="s">
        <v>14</v>
      </c>
      <c r="E297" s="1">
        <v>58</v>
      </c>
      <c r="F297" s="1">
        <v>1</v>
      </c>
      <c r="G297" s="1">
        <v>0</v>
      </c>
      <c r="H297" s="1">
        <v>0</v>
      </c>
      <c r="I297" s="1">
        <v>920</v>
      </c>
      <c r="J297" s="1">
        <v>0</v>
      </c>
      <c r="K297" s="1">
        <v>1</v>
      </c>
      <c r="L297" s="1"/>
      <c r="M297" s="1"/>
      <c r="N297" s="1"/>
      <c r="O297" s="1"/>
      <c r="P297" s="1"/>
      <c r="Q297" s="1"/>
      <c r="R297" s="1"/>
      <c r="S297" s="1"/>
      <c r="T297" s="1"/>
    </row>
    <row r="298" spans="1:20" ht="13" x14ac:dyDescent="0.15">
      <c r="A298" s="1" t="s">
        <v>903</v>
      </c>
      <c r="B298" s="1" t="s">
        <v>904</v>
      </c>
      <c r="C298" s="4" t="s">
        <v>905</v>
      </c>
      <c r="D298" s="1" t="s">
        <v>14</v>
      </c>
      <c r="E298" s="1">
        <v>59</v>
      </c>
      <c r="F298" s="1">
        <v>2</v>
      </c>
      <c r="G298" s="1">
        <v>1</v>
      </c>
      <c r="H298" s="1">
        <v>0</v>
      </c>
      <c r="I298" s="1">
        <v>545</v>
      </c>
      <c r="J298" s="1">
        <v>0</v>
      </c>
      <c r="K298" s="1">
        <v>1</v>
      </c>
      <c r="L298" s="1"/>
      <c r="M298" s="1"/>
      <c r="N298" s="1"/>
      <c r="O298" s="1"/>
      <c r="P298" s="1"/>
      <c r="Q298" s="1"/>
      <c r="R298" s="1"/>
      <c r="S298" s="1"/>
      <c r="T298" s="1"/>
    </row>
    <row r="299" spans="1:20" ht="13" x14ac:dyDescent="0.15">
      <c r="A299" s="1" t="s">
        <v>906</v>
      </c>
      <c r="B299" s="1" t="s">
        <v>907</v>
      </c>
      <c r="C299" s="4" t="s">
        <v>908</v>
      </c>
      <c r="D299" s="1" t="s">
        <v>14</v>
      </c>
      <c r="E299" s="1">
        <v>39</v>
      </c>
      <c r="F299" s="1">
        <v>2</v>
      </c>
      <c r="G299" s="1">
        <v>1</v>
      </c>
      <c r="H299" s="1">
        <v>1</v>
      </c>
      <c r="I299" s="1">
        <v>698</v>
      </c>
      <c r="J299" s="1">
        <v>1</v>
      </c>
      <c r="K299" s="1">
        <v>0</v>
      </c>
      <c r="L299" s="1"/>
      <c r="M299" s="1"/>
      <c r="N299" s="1"/>
      <c r="O299" s="1"/>
      <c r="P299" s="1"/>
      <c r="Q299" s="1"/>
      <c r="R299" s="1"/>
      <c r="S299" s="1"/>
      <c r="T299" s="1"/>
    </row>
    <row r="300" spans="1:20" ht="13" x14ac:dyDescent="0.15">
      <c r="A300" s="1" t="s">
        <v>909</v>
      </c>
      <c r="B300" s="1" t="s">
        <v>910</v>
      </c>
      <c r="C300" s="4" t="s">
        <v>911</v>
      </c>
      <c r="D300" s="1" t="s">
        <v>14</v>
      </c>
      <c r="E300" s="1">
        <v>76</v>
      </c>
      <c r="F300" s="1">
        <v>2</v>
      </c>
      <c r="G300" s="1">
        <v>1</v>
      </c>
      <c r="H300" s="1">
        <v>0</v>
      </c>
      <c r="I300" s="1">
        <v>1163</v>
      </c>
      <c r="J300" s="1">
        <v>0</v>
      </c>
      <c r="K300" s="1">
        <v>0</v>
      </c>
      <c r="L300" s="1"/>
      <c r="M300" s="1"/>
      <c r="N300" s="1"/>
      <c r="O300" s="1"/>
      <c r="P300" s="1"/>
      <c r="Q300" s="1"/>
      <c r="R300" s="1"/>
      <c r="S300" s="1"/>
      <c r="T300" s="1"/>
    </row>
    <row r="301" spans="1:20" ht="13" x14ac:dyDescent="0.15">
      <c r="A301" s="1" t="s">
        <v>912</v>
      </c>
      <c r="B301" s="1" t="s">
        <v>913</v>
      </c>
      <c r="C301" s="4" t="s">
        <v>914</v>
      </c>
      <c r="D301" s="1" t="s">
        <v>14</v>
      </c>
      <c r="E301" s="1">
        <v>29</v>
      </c>
      <c r="F301" s="1">
        <v>1</v>
      </c>
      <c r="G301" s="1">
        <v>1</v>
      </c>
      <c r="H301" s="1">
        <v>1</v>
      </c>
      <c r="I301" s="1">
        <v>1139</v>
      </c>
      <c r="J301" s="1">
        <v>1</v>
      </c>
      <c r="K301" s="1">
        <v>0</v>
      </c>
      <c r="L301" s="1"/>
      <c r="M301" s="1"/>
      <c r="N301" s="1"/>
      <c r="O301" s="1"/>
      <c r="P301" s="1"/>
      <c r="Q301" s="1"/>
      <c r="R301" s="1"/>
      <c r="S301" s="1"/>
      <c r="T301" s="1"/>
    </row>
    <row r="302" spans="1:20" ht="13" x14ac:dyDescent="0.15">
      <c r="A302" s="1" t="s">
        <v>915</v>
      </c>
      <c r="B302" s="1" t="s">
        <v>916</v>
      </c>
      <c r="C302" s="4" t="s">
        <v>917</v>
      </c>
      <c r="D302" s="1" t="s">
        <v>14</v>
      </c>
      <c r="E302" s="1">
        <v>35</v>
      </c>
      <c r="F302" s="1">
        <v>1</v>
      </c>
      <c r="G302" s="1">
        <v>1</v>
      </c>
      <c r="H302" s="1">
        <v>0</v>
      </c>
      <c r="I302" s="1">
        <v>1142</v>
      </c>
      <c r="J302" s="1">
        <v>0</v>
      </c>
      <c r="K302" s="1">
        <v>0</v>
      </c>
      <c r="L302" s="1"/>
      <c r="M302" s="1"/>
      <c r="N302" s="1"/>
      <c r="O302" s="1"/>
      <c r="P302" s="1"/>
      <c r="Q302" s="1"/>
      <c r="R302" s="1"/>
      <c r="S302" s="1"/>
      <c r="T302" s="1"/>
    </row>
    <row r="303" spans="1:20" ht="13" x14ac:dyDescent="0.15">
      <c r="A303" s="1" t="s">
        <v>918</v>
      </c>
      <c r="B303" s="1" t="s">
        <v>919</v>
      </c>
      <c r="C303" s="4" t="s">
        <v>920</v>
      </c>
      <c r="D303" s="1" t="s">
        <v>14</v>
      </c>
      <c r="E303" s="1">
        <v>26</v>
      </c>
      <c r="F303" s="1">
        <v>1</v>
      </c>
      <c r="G303" s="1">
        <v>1</v>
      </c>
      <c r="H303" s="1">
        <v>1</v>
      </c>
      <c r="I303" s="1">
        <v>376</v>
      </c>
      <c r="J303" s="1">
        <v>1</v>
      </c>
      <c r="K303" s="1">
        <v>1</v>
      </c>
      <c r="L303" s="1"/>
      <c r="M303" s="1"/>
      <c r="N303" s="1"/>
      <c r="O303" s="1"/>
      <c r="P303" s="1"/>
      <c r="Q303" s="1"/>
      <c r="R303" s="1"/>
      <c r="S303" s="1"/>
      <c r="T303" s="1"/>
    </row>
    <row r="304" spans="1:20" ht="13" x14ac:dyDescent="0.15">
      <c r="A304" s="1" t="s">
        <v>921</v>
      </c>
      <c r="B304" s="1" t="s">
        <v>922</v>
      </c>
      <c r="C304" s="4" t="s">
        <v>923</v>
      </c>
      <c r="D304" s="1" t="s">
        <v>14</v>
      </c>
      <c r="E304" s="1">
        <v>60</v>
      </c>
      <c r="F304" s="1">
        <v>1</v>
      </c>
      <c r="G304" s="1">
        <v>1</v>
      </c>
      <c r="H304" s="1">
        <v>0</v>
      </c>
      <c r="I304" s="1">
        <v>1440</v>
      </c>
      <c r="J304" s="1">
        <v>0</v>
      </c>
      <c r="K304" s="1">
        <v>0</v>
      </c>
      <c r="L304" s="1"/>
      <c r="M304" s="1"/>
      <c r="N304" s="1"/>
      <c r="O304" s="1"/>
      <c r="P304" s="1"/>
      <c r="Q304" s="1"/>
      <c r="R304" s="1"/>
      <c r="S304" s="1"/>
      <c r="T304" s="1"/>
    </row>
    <row r="305" spans="1:20" ht="13" x14ac:dyDescent="0.15">
      <c r="A305" s="1" t="s">
        <v>924</v>
      </c>
      <c r="B305" s="1" t="s">
        <v>925</v>
      </c>
      <c r="C305" s="4" t="s">
        <v>926</v>
      </c>
      <c r="D305" s="1" t="s">
        <v>14</v>
      </c>
      <c r="E305" s="1">
        <v>17</v>
      </c>
      <c r="F305" s="1">
        <v>1</v>
      </c>
      <c r="G305" s="1">
        <v>0</v>
      </c>
      <c r="H305" s="1">
        <v>1</v>
      </c>
      <c r="I305" s="1">
        <v>1299</v>
      </c>
      <c r="J305" s="1">
        <v>1</v>
      </c>
      <c r="K305" s="1">
        <v>0</v>
      </c>
      <c r="L305" s="1"/>
      <c r="M305" s="1"/>
      <c r="N305" s="1"/>
      <c r="O305" s="1"/>
      <c r="P305" s="1"/>
      <c r="Q305" s="1"/>
      <c r="R305" s="1"/>
      <c r="S305" s="1"/>
      <c r="T305" s="1"/>
    </row>
    <row r="306" spans="1:20" ht="13" x14ac:dyDescent="0.15">
      <c r="A306" s="1" t="s">
        <v>927</v>
      </c>
      <c r="B306" s="1" t="s">
        <v>928</v>
      </c>
      <c r="C306" s="4" t="s">
        <v>929</v>
      </c>
      <c r="D306" s="1" t="s">
        <v>14</v>
      </c>
      <c r="E306" s="1">
        <v>58</v>
      </c>
      <c r="F306" s="1">
        <v>1</v>
      </c>
      <c r="G306" s="1">
        <v>1</v>
      </c>
      <c r="H306" s="1">
        <v>1</v>
      </c>
      <c r="I306" s="1">
        <v>482</v>
      </c>
      <c r="J306" s="1">
        <v>1</v>
      </c>
      <c r="K306" s="1">
        <v>1</v>
      </c>
      <c r="L306" s="1"/>
      <c r="M306" s="1"/>
      <c r="N306" s="1"/>
      <c r="O306" s="1"/>
      <c r="P306" s="1"/>
      <c r="Q306" s="1"/>
      <c r="R306" s="1"/>
      <c r="S306" s="1"/>
      <c r="T306" s="1"/>
    </row>
    <row r="307" spans="1:20" ht="13" x14ac:dyDescent="0.15">
      <c r="A307" s="1" t="s">
        <v>930</v>
      </c>
      <c r="B307" s="1" t="s">
        <v>931</v>
      </c>
      <c r="C307" s="4" t="s">
        <v>932</v>
      </c>
      <c r="D307" s="1" t="s">
        <v>14</v>
      </c>
      <c r="E307" s="1">
        <v>49</v>
      </c>
      <c r="F307" s="1">
        <v>1</v>
      </c>
      <c r="G307" s="1">
        <v>0</v>
      </c>
      <c r="H307" s="1">
        <v>0</v>
      </c>
      <c r="I307" s="1">
        <v>418</v>
      </c>
      <c r="J307" s="1">
        <v>0</v>
      </c>
      <c r="K307" s="1">
        <v>1</v>
      </c>
      <c r="L307" s="1"/>
      <c r="M307" s="1"/>
      <c r="N307" s="1"/>
      <c r="O307" s="1"/>
      <c r="P307" s="1"/>
      <c r="Q307" s="1"/>
      <c r="R307" s="1"/>
      <c r="S307" s="1"/>
      <c r="T307" s="1"/>
    </row>
    <row r="308" spans="1:20" ht="13" x14ac:dyDescent="0.15">
      <c r="A308" s="1" t="s">
        <v>933</v>
      </c>
      <c r="B308" s="1" t="s">
        <v>934</v>
      </c>
      <c r="C308" s="4" t="s">
        <v>935</v>
      </c>
      <c r="D308" s="1" t="s">
        <v>14</v>
      </c>
      <c r="E308" s="1">
        <v>42</v>
      </c>
      <c r="F308" s="1">
        <v>1</v>
      </c>
      <c r="G308" s="1">
        <v>1</v>
      </c>
      <c r="H308" s="1">
        <v>0</v>
      </c>
      <c r="I308" s="1">
        <v>418</v>
      </c>
      <c r="J308" s="1">
        <v>1</v>
      </c>
      <c r="K308" s="1">
        <v>1</v>
      </c>
      <c r="L308" s="1"/>
      <c r="M308" s="1"/>
      <c r="N308" s="1"/>
      <c r="O308" s="1"/>
      <c r="P308" s="1"/>
      <c r="Q308" s="1"/>
      <c r="R308" s="1"/>
      <c r="S308" s="1"/>
      <c r="T308" s="1"/>
    </row>
    <row r="309" spans="1:20" ht="13" x14ac:dyDescent="0.15">
      <c r="A309" s="1" t="s">
        <v>936</v>
      </c>
      <c r="B309" s="1" t="s">
        <v>937</v>
      </c>
      <c r="C309" s="4" t="s">
        <v>938</v>
      </c>
      <c r="D309" s="1" t="s">
        <v>14</v>
      </c>
      <c r="E309" s="1">
        <v>36</v>
      </c>
      <c r="F309" s="1">
        <v>1</v>
      </c>
      <c r="G309" s="1">
        <v>0</v>
      </c>
      <c r="H309" s="1">
        <v>0</v>
      </c>
      <c r="I309" s="1">
        <v>1084</v>
      </c>
      <c r="J309" s="1">
        <v>1</v>
      </c>
      <c r="K309" s="1">
        <v>1</v>
      </c>
      <c r="L309" s="1"/>
      <c r="M309" s="1"/>
      <c r="N309" s="1"/>
      <c r="O309" s="1"/>
      <c r="P309" s="1"/>
      <c r="Q309" s="1"/>
      <c r="R309" s="1"/>
      <c r="S309" s="1"/>
      <c r="T309" s="1"/>
    </row>
    <row r="310" spans="1:20" ht="13" x14ac:dyDescent="0.15">
      <c r="A310" s="1" t="s">
        <v>939</v>
      </c>
      <c r="B310" s="1" t="s">
        <v>940</v>
      </c>
      <c r="C310" s="4" t="s">
        <v>941</v>
      </c>
      <c r="D310" s="1" t="s">
        <v>14</v>
      </c>
      <c r="E310" s="1">
        <v>56</v>
      </c>
      <c r="F310" s="1">
        <v>2</v>
      </c>
      <c r="G310" s="1">
        <v>1</v>
      </c>
      <c r="H310" s="1">
        <v>0</v>
      </c>
      <c r="I310" s="1">
        <v>1167</v>
      </c>
      <c r="J310" s="1">
        <v>0</v>
      </c>
      <c r="K310" s="1">
        <v>0</v>
      </c>
      <c r="L310" s="1"/>
      <c r="M310" s="1"/>
      <c r="N310" s="1"/>
      <c r="O310" s="1"/>
      <c r="P310" s="1"/>
      <c r="Q310" s="1"/>
      <c r="R310" s="1"/>
      <c r="S310" s="1"/>
      <c r="T310" s="1"/>
    </row>
    <row r="311" spans="1:20" ht="13" x14ac:dyDescent="0.15">
      <c r="A311" s="1" t="s">
        <v>942</v>
      </c>
      <c r="B311" s="1" t="s">
        <v>943</v>
      </c>
      <c r="C311" s="4" t="s">
        <v>944</v>
      </c>
      <c r="D311" s="1" t="s">
        <v>14</v>
      </c>
      <c r="E311" s="1">
        <v>81</v>
      </c>
      <c r="F311" s="1">
        <v>1</v>
      </c>
      <c r="G311" s="1">
        <v>0</v>
      </c>
      <c r="H311" s="1">
        <v>0</v>
      </c>
      <c r="I311" s="1">
        <v>421</v>
      </c>
      <c r="J311" s="1">
        <v>0</v>
      </c>
      <c r="K311" s="1">
        <v>0</v>
      </c>
      <c r="L311" s="1"/>
      <c r="M311" s="1"/>
      <c r="N311" s="1"/>
      <c r="O311" s="1"/>
      <c r="P311" s="1"/>
      <c r="Q311" s="1"/>
      <c r="R311" s="1"/>
      <c r="S311" s="1"/>
      <c r="T311" s="1"/>
    </row>
    <row r="312" spans="1:20" ht="13" x14ac:dyDescent="0.15">
      <c r="A312" s="1" t="s">
        <v>945</v>
      </c>
      <c r="B312" s="1" t="s">
        <v>946</v>
      </c>
      <c r="C312" s="4" t="s">
        <v>947</v>
      </c>
      <c r="D312" s="1" t="s">
        <v>14</v>
      </c>
      <c r="E312" s="1">
        <v>71</v>
      </c>
      <c r="F312" s="1">
        <v>1</v>
      </c>
      <c r="G312" s="1">
        <v>1</v>
      </c>
      <c r="H312" s="1">
        <v>0</v>
      </c>
      <c r="I312" s="1">
        <v>809</v>
      </c>
      <c r="J312" s="1">
        <v>0</v>
      </c>
      <c r="K312" s="1">
        <v>1</v>
      </c>
      <c r="L312" s="1"/>
      <c r="M312" s="1"/>
      <c r="N312" s="1"/>
      <c r="O312" s="1"/>
      <c r="P312" s="1"/>
      <c r="Q312" s="1"/>
      <c r="R312" s="1"/>
      <c r="S312" s="1"/>
      <c r="T312" s="1"/>
    </row>
    <row r="313" spans="1:20" ht="13" x14ac:dyDescent="0.15">
      <c r="A313" s="1" t="s">
        <v>948</v>
      </c>
      <c r="B313" s="1" t="s">
        <v>949</v>
      </c>
      <c r="C313" s="4" t="s">
        <v>950</v>
      </c>
      <c r="D313" s="1" t="s">
        <v>14</v>
      </c>
      <c r="E313" s="1">
        <v>33</v>
      </c>
      <c r="F313" s="1">
        <v>1</v>
      </c>
      <c r="G313" s="1">
        <v>1</v>
      </c>
      <c r="H313" s="1">
        <v>1</v>
      </c>
      <c r="I313" s="1">
        <v>1366</v>
      </c>
      <c r="J313" s="1">
        <v>1</v>
      </c>
      <c r="K313" s="1">
        <v>0</v>
      </c>
      <c r="L313" s="1"/>
      <c r="M313" s="1"/>
      <c r="N313" s="1"/>
      <c r="O313" s="1"/>
      <c r="P313" s="1"/>
      <c r="Q313" s="1"/>
      <c r="R313" s="1"/>
      <c r="S313" s="1"/>
      <c r="T313" s="1"/>
    </row>
    <row r="314" spans="1:20" ht="13" x14ac:dyDescent="0.15">
      <c r="A314" s="1" t="s">
        <v>951</v>
      </c>
      <c r="B314" s="1" t="s">
        <v>952</v>
      </c>
      <c r="C314" s="4" t="s">
        <v>953</v>
      </c>
      <c r="D314" s="1" t="s">
        <v>14</v>
      </c>
      <c r="E314" s="1">
        <v>47</v>
      </c>
      <c r="F314" s="1">
        <v>1</v>
      </c>
      <c r="G314" s="1">
        <v>1</v>
      </c>
      <c r="H314" s="1">
        <v>0</v>
      </c>
      <c r="I314" s="1">
        <v>483</v>
      </c>
      <c r="J314" s="1">
        <v>0</v>
      </c>
      <c r="K314" s="1">
        <v>0</v>
      </c>
      <c r="L314" s="1"/>
      <c r="M314" s="1"/>
      <c r="N314" s="1"/>
      <c r="O314" s="1"/>
      <c r="P314" s="1"/>
      <c r="Q314" s="1"/>
      <c r="R314" s="1"/>
      <c r="S314" s="1"/>
      <c r="T314" s="1"/>
    </row>
    <row r="315" spans="1:20" ht="13" x14ac:dyDescent="0.15">
      <c r="A315" s="1" t="s">
        <v>954</v>
      </c>
      <c r="B315" s="1" t="s">
        <v>955</v>
      </c>
      <c r="C315" s="4" t="s">
        <v>956</v>
      </c>
      <c r="D315" s="1" t="s">
        <v>14</v>
      </c>
      <c r="E315" s="1">
        <v>71</v>
      </c>
      <c r="F315" s="1">
        <v>1</v>
      </c>
      <c r="G315" s="1">
        <v>0</v>
      </c>
      <c r="H315" s="1">
        <v>0</v>
      </c>
      <c r="I315" s="1">
        <v>494</v>
      </c>
      <c r="J315" s="1">
        <v>0</v>
      </c>
      <c r="K315" s="1">
        <v>1</v>
      </c>
      <c r="L315" s="1"/>
      <c r="M315" s="1"/>
      <c r="N315" s="1"/>
      <c r="O315" s="1"/>
      <c r="P315" s="1"/>
      <c r="Q315" s="1"/>
      <c r="R315" s="1"/>
      <c r="S315" s="1"/>
      <c r="T315" s="1"/>
    </row>
    <row r="316" spans="1:20" ht="13" x14ac:dyDescent="0.15">
      <c r="A316" s="1" t="s">
        <v>957</v>
      </c>
      <c r="B316" s="1" t="s">
        <v>958</v>
      </c>
      <c r="C316" s="4" t="s">
        <v>959</v>
      </c>
      <c r="D316" s="1" t="s">
        <v>14</v>
      </c>
      <c r="E316" s="1">
        <v>76</v>
      </c>
      <c r="F316" s="1">
        <v>1</v>
      </c>
      <c r="G316" s="1">
        <v>0</v>
      </c>
      <c r="H316" s="1">
        <v>0</v>
      </c>
      <c r="I316" s="1">
        <v>410</v>
      </c>
      <c r="J316" s="1">
        <v>0</v>
      </c>
      <c r="K316" s="1">
        <v>0</v>
      </c>
      <c r="L316" s="1"/>
      <c r="M316" s="1"/>
      <c r="N316" s="1"/>
      <c r="O316" s="1"/>
      <c r="P316" s="1"/>
      <c r="Q316" s="1"/>
      <c r="R316" s="1"/>
      <c r="S316" s="1"/>
      <c r="T316" s="1"/>
    </row>
    <row r="317" spans="1:20" ht="13" x14ac:dyDescent="0.15">
      <c r="A317" s="1" t="s">
        <v>960</v>
      </c>
      <c r="B317" s="1" t="s">
        <v>961</v>
      </c>
      <c r="C317" s="4" t="s">
        <v>962</v>
      </c>
      <c r="D317" s="1" t="s">
        <v>14</v>
      </c>
      <c r="E317" s="1">
        <v>53</v>
      </c>
      <c r="F317" s="1">
        <v>1</v>
      </c>
      <c r="G317" s="1">
        <v>1</v>
      </c>
      <c r="H317" s="1">
        <v>0</v>
      </c>
      <c r="I317" s="1">
        <v>1296</v>
      </c>
      <c r="J317" s="1">
        <v>0</v>
      </c>
      <c r="K317" s="1">
        <v>0</v>
      </c>
      <c r="L317" s="1"/>
      <c r="M317" s="1"/>
      <c r="N317" s="1"/>
      <c r="O317" s="1"/>
      <c r="P317" s="1"/>
      <c r="Q317" s="1"/>
      <c r="R317" s="1"/>
      <c r="S317" s="1"/>
      <c r="T317" s="1"/>
    </row>
    <row r="318" spans="1:20" ht="13" x14ac:dyDescent="0.15">
      <c r="A318" s="1" t="s">
        <v>963</v>
      </c>
      <c r="B318" s="1" t="s">
        <v>964</v>
      </c>
      <c r="C318" s="4" t="s">
        <v>965</v>
      </c>
      <c r="D318" s="1" t="s">
        <v>14</v>
      </c>
      <c r="E318" s="1">
        <v>36</v>
      </c>
      <c r="F318" s="1">
        <v>2</v>
      </c>
      <c r="G318" s="1">
        <v>1</v>
      </c>
      <c r="H318" s="1">
        <v>0</v>
      </c>
      <c r="I318" s="1">
        <v>868</v>
      </c>
      <c r="J318" s="1">
        <v>0</v>
      </c>
      <c r="K318" s="1">
        <v>1</v>
      </c>
      <c r="L318" s="1"/>
      <c r="M318" s="1"/>
      <c r="N318" s="1"/>
      <c r="O318" s="1"/>
      <c r="P318" s="1"/>
      <c r="Q318" s="1"/>
      <c r="R318" s="1"/>
      <c r="S318" s="1"/>
      <c r="T318" s="1"/>
    </row>
    <row r="319" spans="1:20" ht="13" x14ac:dyDescent="0.15">
      <c r="A319" s="1" t="s">
        <v>966</v>
      </c>
      <c r="B319" s="1" t="s">
        <v>967</v>
      </c>
      <c r="C319" s="4" t="s">
        <v>968</v>
      </c>
      <c r="D319" s="1" t="s">
        <v>14</v>
      </c>
      <c r="E319" s="1">
        <v>62</v>
      </c>
      <c r="F319" s="1">
        <v>2</v>
      </c>
      <c r="G319" s="1">
        <v>1</v>
      </c>
      <c r="H319" s="1">
        <v>0</v>
      </c>
      <c r="I319" s="1">
        <v>416</v>
      </c>
      <c r="J319" s="1">
        <v>1</v>
      </c>
      <c r="K319" s="1">
        <v>0</v>
      </c>
      <c r="L319" s="1"/>
      <c r="M319" s="1"/>
      <c r="N319" s="1"/>
      <c r="O319" s="1"/>
      <c r="P319" s="1"/>
      <c r="Q319" s="1"/>
      <c r="R319" s="1"/>
      <c r="S319" s="1"/>
      <c r="T319" s="1"/>
    </row>
    <row r="320" spans="1:20" ht="13" x14ac:dyDescent="0.15">
      <c r="A320" s="1" t="s">
        <v>969</v>
      </c>
      <c r="B320" s="1" t="s">
        <v>970</v>
      </c>
      <c r="C320" s="4" t="s">
        <v>971</v>
      </c>
      <c r="D320" s="1" t="s">
        <v>14</v>
      </c>
      <c r="E320" s="1">
        <v>80</v>
      </c>
      <c r="F320" s="1">
        <v>1</v>
      </c>
      <c r="G320" s="1">
        <v>1</v>
      </c>
      <c r="H320" s="1">
        <v>0</v>
      </c>
      <c r="I320" s="1">
        <v>72</v>
      </c>
      <c r="J320" s="1">
        <v>0</v>
      </c>
      <c r="K320" s="1">
        <v>1</v>
      </c>
      <c r="L320" s="1"/>
      <c r="M320" s="1"/>
      <c r="N320" s="1"/>
      <c r="O320" s="1"/>
      <c r="P320" s="1"/>
      <c r="Q320" s="1"/>
      <c r="R320" s="1"/>
      <c r="S320" s="1"/>
      <c r="T320" s="1"/>
    </row>
    <row r="321" spans="1:20" ht="13" x14ac:dyDescent="0.15">
      <c r="A321" s="1" t="s">
        <v>972</v>
      </c>
      <c r="B321" s="1" t="s">
        <v>973</v>
      </c>
      <c r="C321" s="4" t="s">
        <v>974</v>
      </c>
      <c r="D321" s="1" t="s">
        <v>14</v>
      </c>
      <c r="E321" s="1">
        <v>81</v>
      </c>
      <c r="F321" s="1">
        <v>1</v>
      </c>
      <c r="G321" s="1">
        <v>1</v>
      </c>
      <c r="H321" s="1">
        <v>0</v>
      </c>
      <c r="I321" s="1">
        <v>91</v>
      </c>
      <c r="J321" s="1">
        <v>1</v>
      </c>
      <c r="K321" s="1">
        <v>1</v>
      </c>
      <c r="L321" s="1"/>
      <c r="M321" s="1"/>
      <c r="N321" s="1"/>
      <c r="O321" s="1"/>
      <c r="P321" s="1"/>
      <c r="Q321" s="1"/>
      <c r="R321" s="1"/>
      <c r="S321" s="1"/>
      <c r="T321" s="1"/>
    </row>
    <row r="322" spans="1:20" ht="13" x14ac:dyDescent="0.15">
      <c r="A322" s="1" t="s">
        <v>975</v>
      </c>
      <c r="B322" s="1" t="s">
        <v>976</v>
      </c>
      <c r="C322" s="4" t="s">
        <v>977</v>
      </c>
      <c r="D322" s="1" t="s">
        <v>14</v>
      </c>
      <c r="E322" s="1">
        <v>76</v>
      </c>
      <c r="F322" s="1">
        <v>1</v>
      </c>
      <c r="G322" s="1">
        <v>1</v>
      </c>
      <c r="H322" s="1">
        <v>0</v>
      </c>
      <c r="I322" s="1">
        <v>39</v>
      </c>
      <c r="J322" s="1">
        <v>0</v>
      </c>
      <c r="K322" s="1">
        <v>1</v>
      </c>
      <c r="L322" s="1"/>
      <c r="M322" s="1"/>
      <c r="N322" s="1"/>
      <c r="O322" s="1"/>
      <c r="P322" s="1"/>
      <c r="Q322" s="1"/>
      <c r="R322" s="1"/>
      <c r="S322" s="1"/>
      <c r="T322" s="1"/>
    </row>
    <row r="323" spans="1:20" ht="13" x14ac:dyDescent="0.15">
      <c r="A323" s="1" t="s">
        <v>978</v>
      </c>
      <c r="B323" s="1" t="s">
        <v>979</v>
      </c>
      <c r="C323" s="4" t="s">
        <v>980</v>
      </c>
      <c r="D323" s="1" t="s">
        <v>14</v>
      </c>
      <c r="E323" s="1">
        <v>89</v>
      </c>
      <c r="F323" s="1">
        <v>2</v>
      </c>
      <c r="G323" s="1">
        <v>0</v>
      </c>
      <c r="H323" s="1">
        <v>0</v>
      </c>
      <c r="I323" s="1">
        <v>203</v>
      </c>
      <c r="J323" s="1">
        <v>1</v>
      </c>
      <c r="K323" s="1">
        <v>1</v>
      </c>
      <c r="L323" s="1"/>
      <c r="M323" s="1"/>
      <c r="N323" s="1"/>
      <c r="O323" s="1"/>
      <c r="P323" s="1"/>
      <c r="Q323" s="1"/>
      <c r="R323" s="1"/>
      <c r="S323" s="1"/>
      <c r="T323" s="1"/>
    </row>
    <row r="324" spans="1:20" ht="13" x14ac:dyDescent="0.15">
      <c r="A324" s="1" t="s">
        <v>981</v>
      </c>
      <c r="B324" s="1" t="s">
        <v>982</v>
      </c>
      <c r="C324" s="4" t="s">
        <v>983</v>
      </c>
      <c r="D324" s="1" t="s">
        <v>14</v>
      </c>
      <c r="E324" s="1">
        <v>58</v>
      </c>
      <c r="F324" s="1">
        <v>2</v>
      </c>
      <c r="G324" s="1">
        <v>1</v>
      </c>
      <c r="H324" s="1">
        <v>0</v>
      </c>
      <c r="I324" s="1">
        <v>624</v>
      </c>
      <c r="J324" s="1">
        <v>0</v>
      </c>
      <c r="K324" s="1">
        <v>1</v>
      </c>
      <c r="L324" s="1"/>
      <c r="M324" s="1"/>
      <c r="N324" s="1"/>
      <c r="O324" s="1"/>
      <c r="P324" s="1"/>
      <c r="Q324" s="1"/>
      <c r="R324" s="1"/>
      <c r="S324" s="1"/>
      <c r="T324" s="1"/>
    </row>
    <row r="325" spans="1:20" ht="13" x14ac:dyDescent="0.15">
      <c r="A325" s="1" t="s">
        <v>984</v>
      </c>
      <c r="B325" s="1" t="s">
        <v>985</v>
      </c>
      <c r="C325" s="4" t="s">
        <v>986</v>
      </c>
      <c r="D325" s="1" t="s">
        <v>14</v>
      </c>
      <c r="E325" s="1">
        <v>60</v>
      </c>
      <c r="F325" s="1">
        <v>1</v>
      </c>
      <c r="G325" s="1">
        <v>1</v>
      </c>
      <c r="H325" s="1">
        <v>0</v>
      </c>
      <c r="I325" s="1">
        <v>230</v>
      </c>
      <c r="J325" s="1">
        <v>0</v>
      </c>
      <c r="K325" s="1">
        <v>1</v>
      </c>
      <c r="L325" s="1"/>
      <c r="M325" s="1"/>
      <c r="N325" s="1"/>
      <c r="O325" s="1"/>
      <c r="P325" s="1"/>
      <c r="Q325" s="1"/>
      <c r="R325" s="1"/>
      <c r="S325" s="1"/>
      <c r="T325" s="1"/>
    </row>
    <row r="326" spans="1:20" ht="13" x14ac:dyDescent="0.15">
      <c r="A326" s="1" t="s">
        <v>987</v>
      </c>
      <c r="B326" s="1" t="s">
        <v>988</v>
      </c>
      <c r="C326" s="4" t="s">
        <v>989</v>
      </c>
      <c r="D326" s="1" t="s">
        <v>14</v>
      </c>
      <c r="E326" s="1">
        <v>57</v>
      </c>
      <c r="F326" s="1">
        <v>1</v>
      </c>
      <c r="G326" s="1">
        <v>1</v>
      </c>
      <c r="H326" s="1">
        <v>0</v>
      </c>
      <c r="I326" s="1">
        <v>142</v>
      </c>
      <c r="J326" s="1">
        <v>1</v>
      </c>
      <c r="K326" s="1">
        <v>1</v>
      </c>
      <c r="L326" s="1"/>
      <c r="M326" s="1"/>
      <c r="N326" s="1"/>
      <c r="O326" s="1"/>
      <c r="P326" s="1"/>
      <c r="Q326" s="1"/>
      <c r="R326" s="1"/>
      <c r="S326" s="1"/>
      <c r="T326" s="1"/>
    </row>
    <row r="327" spans="1:20" ht="13" x14ac:dyDescent="0.15">
      <c r="A327" s="1" t="s">
        <v>990</v>
      </c>
      <c r="B327" s="1" t="s">
        <v>991</v>
      </c>
      <c r="C327" s="4" t="s">
        <v>992</v>
      </c>
      <c r="D327" s="1" t="s">
        <v>14</v>
      </c>
      <c r="E327" s="1">
        <v>74</v>
      </c>
      <c r="F327" s="1">
        <v>1</v>
      </c>
      <c r="G327" s="1">
        <v>0</v>
      </c>
      <c r="H327" s="1">
        <v>0</v>
      </c>
      <c r="I327" s="1">
        <v>126</v>
      </c>
      <c r="J327" s="1">
        <v>0</v>
      </c>
      <c r="K327" s="1">
        <v>0</v>
      </c>
      <c r="L327" s="1"/>
      <c r="M327" s="1"/>
      <c r="N327" s="1"/>
      <c r="O327" s="1"/>
      <c r="P327" s="1"/>
      <c r="Q327" s="1"/>
      <c r="R327" s="1"/>
      <c r="S327" s="1"/>
      <c r="T327" s="1"/>
    </row>
    <row r="328" spans="1:20" ht="13" x14ac:dyDescent="0.15">
      <c r="A328" s="1" t="s">
        <v>993</v>
      </c>
      <c r="B328" s="1" t="s">
        <v>994</v>
      </c>
      <c r="C328" s="4" t="s">
        <v>995</v>
      </c>
      <c r="D328" s="1" t="s">
        <v>14</v>
      </c>
      <c r="E328" s="1">
        <v>75</v>
      </c>
      <c r="F328" s="1">
        <v>2</v>
      </c>
      <c r="G328" s="1">
        <v>1</v>
      </c>
      <c r="H328" s="1">
        <v>0</v>
      </c>
      <c r="I328" s="1">
        <v>10</v>
      </c>
      <c r="J328" s="1">
        <v>1</v>
      </c>
      <c r="K328" s="1">
        <v>0</v>
      </c>
      <c r="L328" s="1"/>
      <c r="M328" s="1"/>
      <c r="N328" s="1"/>
      <c r="O328" s="1"/>
      <c r="P328" s="1"/>
      <c r="Q328" s="1"/>
      <c r="R328" s="1"/>
      <c r="S328" s="1"/>
      <c r="T328" s="1"/>
    </row>
    <row r="329" spans="1:20" ht="13" x14ac:dyDescent="0.15">
      <c r="A329" s="1" t="s">
        <v>996</v>
      </c>
      <c r="B329" s="1" t="s">
        <v>997</v>
      </c>
      <c r="C329" s="4" t="s">
        <v>998</v>
      </c>
      <c r="D329" s="1" t="s">
        <v>14</v>
      </c>
      <c r="E329" s="1">
        <v>34</v>
      </c>
      <c r="F329" s="1">
        <v>1</v>
      </c>
      <c r="G329" s="1">
        <v>1</v>
      </c>
      <c r="H329" s="1">
        <v>1</v>
      </c>
      <c r="I329" s="1">
        <v>112</v>
      </c>
      <c r="J329" s="1">
        <v>0</v>
      </c>
      <c r="K329" s="1">
        <v>0</v>
      </c>
      <c r="L329" s="1"/>
      <c r="M329" s="1"/>
      <c r="N329" s="1"/>
      <c r="O329" s="1"/>
      <c r="P329" s="1"/>
      <c r="Q329" s="1"/>
      <c r="R329" s="1"/>
      <c r="S329" s="1"/>
      <c r="T329" s="1"/>
    </row>
    <row r="330" spans="1:20" ht="13" x14ac:dyDescent="0.15">
      <c r="A330" s="1" t="s">
        <v>999</v>
      </c>
      <c r="B330" s="1" t="s">
        <v>1000</v>
      </c>
      <c r="C330" s="4" t="s">
        <v>1001</v>
      </c>
      <c r="D330" s="1" t="s">
        <v>14</v>
      </c>
      <c r="E330" s="1">
        <v>63</v>
      </c>
      <c r="F330" s="1">
        <v>2</v>
      </c>
      <c r="G330" s="1">
        <v>0</v>
      </c>
      <c r="H330" s="1">
        <v>0</v>
      </c>
      <c r="I330" s="1">
        <v>262</v>
      </c>
      <c r="J330" s="1">
        <v>0</v>
      </c>
      <c r="K330" s="1">
        <v>0</v>
      </c>
      <c r="L330" s="1"/>
      <c r="M330" s="1"/>
      <c r="N330" s="1"/>
      <c r="O330" s="1"/>
      <c r="P330" s="1"/>
      <c r="Q330" s="1"/>
      <c r="R330" s="1"/>
      <c r="S330" s="1"/>
      <c r="T330" s="1"/>
    </row>
    <row r="331" spans="1:20" ht="13" x14ac:dyDescent="0.15">
      <c r="A331" s="1" t="s">
        <v>1002</v>
      </c>
      <c r="B331" s="1" t="s">
        <v>1003</v>
      </c>
      <c r="C331" s="4" t="s">
        <v>1004</v>
      </c>
      <c r="D331" s="1" t="s">
        <v>14</v>
      </c>
      <c r="E331" s="1">
        <v>75</v>
      </c>
      <c r="F331" s="1">
        <v>1</v>
      </c>
      <c r="G331" s="1">
        <v>1</v>
      </c>
      <c r="H331" s="1">
        <v>0</v>
      </c>
      <c r="I331" s="1">
        <v>96</v>
      </c>
      <c r="J331" s="1">
        <v>1</v>
      </c>
      <c r="K331" s="1">
        <v>1</v>
      </c>
      <c r="L331" s="1"/>
      <c r="M331" s="1"/>
      <c r="N331" s="1"/>
      <c r="O331" s="1"/>
      <c r="P331" s="1"/>
      <c r="Q331" s="1"/>
      <c r="R331" s="1"/>
      <c r="S331" s="1"/>
      <c r="T331" s="1"/>
    </row>
    <row r="332" spans="1:20" ht="13" x14ac:dyDescent="0.15">
      <c r="A332" s="1" t="s">
        <v>1005</v>
      </c>
      <c r="B332" s="1" t="s">
        <v>1006</v>
      </c>
      <c r="C332" s="4" t="s">
        <v>1007</v>
      </c>
      <c r="D332" s="1" t="s">
        <v>14</v>
      </c>
      <c r="E332" s="1">
        <v>75</v>
      </c>
      <c r="F332" s="1">
        <v>1</v>
      </c>
      <c r="G332" s="1">
        <v>1</v>
      </c>
      <c r="H332" s="1">
        <v>0</v>
      </c>
      <c r="I332" s="1">
        <v>169</v>
      </c>
      <c r="J332" s="1">
        <v>1</v>
      </c>
      <c r="K332" s="1">
        <v>1</v>
      </c>
      <c r="L332" s="1"/>
      <c r="M332" s="1"/>
      <c r="N332" s="1"/>
      <c r="O332" s="1"/>
      <c r="P332" s="1"/>
      <c r="Q332" s="1"/>
      <c r="R332" s="1"/>
      <c r="S332" s="1"/>
      <c r="T332" s="1"/>
    </row>
    <row r="333" spans="1:20" ht="13" x14ac:dyDescent="0.15">
      <c r="A333" s="1" t="s">
        <v>1008</v>
      </c>
      <c r="B333" s="1" t="s">
        <v>1009</v>
      </c>
      <c r="C333" s="4" t="s">
        <v>1010</v>
      </c>
      <c r="D333" s="1" t="s">
        <v>14</v>
      </c>
      <c r="E333" s="1">
        <v>65</v>
      </c>
      <c r="F333" s="1">
        <v>1</v>
      </c>
      <c r="G333" s="1">
        <v>1</v>
      </c>
      <c r="H333" s="1">
        <v>0</v>
      </c>
      <c r="I333" s="1">
        <v>249</v>
      </c>
      <c r="J333" s="1">
        <v>1</v>
      </c>
      <c r="K333" s="1">
        <v>0</v>
      </c>
      <c r="L333" s="1"/>
      <c r="M333" s="1"/>
      <c r="N333" s="1"/>
      <c r="O333" s="1"/>
      <c r="P333" s="1"/>
      <c r="Q333" s="1"/>
      <c r="R333" s="1"/>
      <c r="S333" s="1"/>
      <c r="T333" s="1"/>
    </row>
    <row r="334" spans="1:20" ht="13" x14ac:dyDescent="0.15">
      <c r="A334" s="1" t="s">
        <v>1011</v>
      </c>
      <c r="B334" s="1" t="s">
        <v>1012</v>
      </c>
      <c r="C334" s="4" t="s">
        <v>1013</v>
      </c>
      <c r="D334" s="1" t="s">
        <v>14</v>
      </c>
      <c r="E334" s="1">
        <v>52</v>
      </c>
      <c r="F334" s="1">
        <v>1</v>
      </c>
      <c r="G334" s="1">
        <v>1</v>
      </c>
      <c r="H334" s="1">
        <v>0</v>
      </c>
      <c r="I334" s="1">
        <v>657</v>
      </c>
      <c r="J334" s="1">
        <v>1</v>
      </c>
      <c r="K334" s="1">
        <v>1</v>
      </c>
      <c r="L334" s="1"/>
      <c r="M334" s="1"/>
      <c r="N334" s="1"/>
      <c r="O334" s="1"/>
      <c r="P334" s="1"/>
      <c r="Q334" s="1"/>
      <c r="R334" s="1"/>
      <c r="S334" s="1"/>
      <c r="T334" s="1"/>
    </row>
    <row r="335" spans="1:20" ht="13" x14ac:dyDescent="0.15">
      <c r="A335" s="1" t="s">
        <v>1014</v>
      </c>
      <c r="B335" s="1" t="s">
        <v>1015</v>
      </c>
      <c r="C335" s="4" t="s">
        <v>1016</v>
      </c>
      <c r="D335" s="1" t="s">
        <v>14</v>
      </c>
      <c r="E335" s="1">
        <v>68</v>
      </c>
      <c r="F335" s="1">
        <v>2</v>
      </c>
      <c r="G335" s="1">
        <v>1</v>
      </c>
      <c r="H335" s="1">
        <v>0</v>
      </c>
      <c r="I335" s="1">
        <v>92</v>
      </c>
      <c r="J335" s="1">
        <v>0</v>
      </c>
      <c r="K335" s="1">
        <v>0</v>
      </c>
      <c r="L335" s="1"/>
      <c r="M335" s="1"/>
      <c r="N335" s="1"/>
      <c r="O335" s="1"/>
      <c r="P335" s="1"/>
      <c r="Q335" s="1"/>
      <c r="R335" s="1"/>
      <c r="S335" s="1"/>
      <c r="T335" s="1"/>
    </row>
    <row r="336" spans="1:20" ht="13" x14ac:dyDescent="0.15">
      <c r="A336" s="1" t="s">
        <v>1017</v>
      </c>
      <c r="B336" s="1" t="s">
        <v>1018</v>
      </c>
      <c r="C336" s="4" t="s">
        <v>1019</v>
      </c>
      <c r="D336" s="1" t="s">
        <v>14</v>
      </c>
      <c r="E336" s="1">
        <v>36</v>
      </c>
      <c r="F336" s="1">
        <v>1</v>
      </c>
      <c r="G336" s="1">
        <v>1</v>
      </c>
      <c r="H336" s="1">
        <v>1</v>
      </c>
      <c r="I336" s="1">
        <v>21</v>
      </c>
      <c r="J336" s="1">
        <v>1</v>
      </c>
      <c r="K336" s="1">
        <v>0</v>
      </c>
      <c r="L336" s="1"/>
      <c r="M336" s="1"/>
      <c r="N336" s="1"/>
      <c r="O336" s="1"/>
      <c r="P336" s="1"/>
      <c r="Q336" s="1"/>
      <c r="R336" s="1"/>
      <c r="S336" s="1"/>
      <c r="T336" s="1"/>
    </row>
    <row r="337" spans="1:20" ht="13" x14ac:dyDescent="0.15">
      <c r="A337" s="1" t="s">
        <v>1020</v>
      </c>
      <c r="B337" s="1" t="s">
        <v>1021</v>
      </c>
      <c r="C337" s="4" t="s">
        <v>1022</v>
      </c>
      <c r="D337" s="1" t="s">
        <v>14</v>
      </c>
      <c r="E337" s="1">
        <v>76</v>
      </c>
      <c r="F337" s="1">
        <v>2</v>
      </c>
      <c r="G337" s="1">
        <v>1</v>
      </c>
      <c r="H337" s="1">
        <v>0</v>
      </c>
      <c r="I337" s="1">
        <v>38</v>
      </c>
      <c r="J337" s="1">
        <v>1</v>
      </c>
      <c r="K337" s="1">
        <v>1</v>
      </c>
      <c r="L337" s="1"/>
      <c r="M337" s="1"/>
      <c r="N337" s="1"/>
      <c r="O337" s="1"/>
      <c r="P337" s="1"/>
      <c r="Q337" s="1"/>
      <c r="R337" s="1"/>
      <c r="S337" s="1"/>
      <c r="T337" s="1"/>
    </row>
    <row r="338" spans="1:20" ht="13" x14ac:dyDescent="0.15">
      <c r="A338" s="1" t="s">
        <v>1023</v>
      </c>
      <c r="B338" s="1" t="s">
        <v>1024</v>
      </c>
      <c r="C338" s="4" t="s">
        <v>1025</v>
      </c>
      <c r="D338" s="1" t="s">
        <v>14</v>
      </c>
      <c r="E338" s="1">
        <v>80</v>
      </c>
      <c r="F338" s="1">
        <v>1</v>
      </c>
      <c r="G338" s="1">
        <v>1</v>
      </c>
      <c r="H338" s="1">
        <v>0</v>
      </c>
      <c r="I338" s="1">
        <v>518</v>
      </c>
      <c r="J338" s="1">
        <v>0</v>
      </c>
      <c r="K338" s="1">
        <v>0</v>
      </c>
      <c r="L338" s="1"/>
      <c r="M338" s="1"/>
      <c r="N338" s="1"/>
      <c r="O338" s="1"/>
      <c r="P338" s="1"/>
      <c r="Q338" s="1"/>
      <c r="R338" s="1"/>
      <c r="S338" s="1"/>
      <c r="T338" s="1"/>
    </row>
    <row r="339" spans="1:20" ht="13" x14ac:dyDescent="0.15">
      <c r="A339" s="1" t="s">
        <v>1026</v>
      </c>
      <c r="B339" s="1" t="s">
        <v>1027</v>
      </c>
      <c r="C339" s="4" t="s">
        <v>1028</v>
      </c>
      <c r="D339" s="1" t="s">
        <v>14</v>
      </c>
      <c r="E339" s="1">
        <v>57</v>
      </c>
      <c r="F339" s="1">
        <v>1</v>
      </c>
      <c r="G339" s="1">
        <v>0</v>
      </c>
      <c r="H339" s="1">
        <v>0</v>
      </c>
      <c r="I339" s="1">
        <v>483</v>
      </c>
      <c r="J339" s="1">
        <v>0</v>
      </c>
      <c r="K339" s="1">
        <v>0</v>
      </c>
      <c r="L339" s="1"/>
      <c r="M339" s="1"/>
      <c r="N339" s="1"/>
      <c r="O339" s="1"/>
      <c r="P339" s="1"/>
      <c r="Q339" s="1"/>
      <c r="R339" s="1"/>
      <c r="S339" s="1"/>
      <c r="T339" s="1"/>
    </row>
    <row r="340" spans="1:20" ht="13" x14ac:dyDescent="0.15">
      <c r="A340" s="1" t="s">
        <v>1029</v>
      </c>
      <c r="B340" s="1" t="s">
        <v>1030</v>
      </c>
      <c r="C340" s="4" t="s">
        <v>1031</v>
      </c>
      <c r="D340" s="1" t="s">
        <v>14</v>
      </c>
      <c r="E340" s="1">
        <v>83</v>
      </c>
      <c r="F340" s="1">
        <v>1</v>
      </c>
      <c r="G340" s="1">
        <v>1</v>
      </c>
      <c r="H340" s="1">
        <v>0</v>
      </c>
      <c r="I340" s="1">
        <v>84</v>
      </c>
      <c r="J340" s="1">
        <v>0</v>
      </c>
      <c r="K340" s="1">
        <v>1</v>
      </c>
      <c r="L340" s="1"/>
      <c r="M340" s="1"/>
      <c r="N340" s="1"/>
      <c r="O340" s="1"/>
      <c r="P340" s="1"/>
      <c r="Q340" s="1"/>
      <c r="R340" s="1"/>
      <c r="S340" s="1"/>
      <c r="T340" s="1"/>
    </row>
    <row r="341" spans="1:20" ht="13" x14ac:dyDescent="0.15">
      <c r="A341" s="1" t="s">
        <v>1032</v>
      </c>
      <c r="B341" s="1" t="s">
        <v>1033</v>
      </c>
      <c r="C341" s="4" t="s">
        <v>1034</v>
      </c>
      <c r="D341" s="1" t="s">
        <v>14</v>
      </c>
      <c r="E341" s="1">
        <v>67</v>
      </c>
      <c r="F341" s="1">
        <v>1</v>
      </c>
      <c r="G341" s="1">
        <v>0</v>
      </c>
      <c r="H341" s="1">
        <v>0</v>
      </c>
      <c r="I341" s="1">
        <v>475</v>
      </c>
      <c r="J341" s="1">
        <v>1</v>
      </c>
      <c r="K341" s="1">
        <v>1</v>
      </c>
      <c r="L341" s="1"/>
      <c r="M341" s="1"/>
      <c r="N341" s="1"/>
      <c r="O341" s="1"/>
      <c r="P341" s="1"/>
      <c r="Q341" s="1"/>
      <c r="R341" s="1"/>
      <c r="S341" s="1"/>
      <c r="T341" s="1"/>
    </row>
    <row r="342" spans="1:20" ht="13" x14ac:dyDescent="0.15">
      <c r="A342" s="1" t="s">
        <v>1035</v>
      </c>
      <c r="B342" s="1" t="s">
        <v>1036</v>
      </c>
      <c r="C342" s="4" t="s">
        <v>1037</v>
      </c>
      <c r="D342" s="1" t="s">
        <v>14</v>
      </c>
      <c r="E342" s="1">
        <v>73</v>
      </c>
      <c r="F342" s="1">
        <v>2</v>
      </c>
      <c r="G342" s="1">
        <v>0</v>
      </c>
      <c r="H342" s="1">
        <v>0</v>
      </c>
      <c r="I342" s="1">
        <v>204</v>
      </c>
      <c r="J342" s="1">
        <v>0</v>
      </c>
      <c r="K342" s="1">
        <v>0</v>
      </c>
      <c r="L342" s="1"/>
      <c r="M342" s="1"/>
      <c r="N342" s="1"/>
      <c r="O342" s="1"/>
      <c r="P342" s="1"/>
      <c r="Q342" s="1"/>
      <c r="R342" s="1"/>
      <c r="S342" s="1"/>
      <c r="T342" s="1"/>
    </row>
    <row r="343" spans="1:20" ht="13" x14ac:dyDescent="0.15">
      <c r="A343" s="1" t="s">
        <v>1038</v>
      </c>
      <c r="B343" s="1" t="s">
        <v>1039</v>
      </c>
      <c r="C343" s="4" t="s">
        <v>1040</v>
      </c>
      <c r="D343" s="1" t="s">
        <v>14</v>
      </c>
      <c r="E343" s="1">
        <v>71</v>
      </c>
      <c r="F343" s="1">
        <v>1</v>
      </c>
      <c r="G343" s="1">
        <v>1</v>
      </c>
      <c r="H343" s="1">
        <v>0</v>
      </c>
      <c r="I343" s="1">
        <v>55</v>
      </c>
      <c r="J343" s="1">
        <v>1</v>
      </c>
      <c r="K343" s="1">
        <v>0</v>
      </c>
      <c r="L343" s="1"/>
      <c r="M343" s="1"/>
      <c r="N343" s="1"/>
      <c r="O343" s="1"/>
      <c r="P343" s="1"/>
      <c r="Q343" s="1"/>
      <c r="R343" s="1"/>
      <c r="S343" s="1"/>
      <c r="T343" s="1"/>
    </row>
    <row r="344" spans="1:20" ht="13" x14ac:dyDescent="0.15">
      <c r="A344" s="1" t="s">
        <v>1041</v>
      </c>
      <c r="B344" s="1" t="s">
        <v>1042</v>
      </c>
      <c r="C344" s="4" t="s">
        <v>1043</v>
      </c>
      <c r="D344" s="1" t="s">
        <v>14</v>
      </c>
      <c r="E344" s="1">
        <v>55</v>
      </c>
      <c r="F344" s="1">
        <v>2</v>
      </c>
      <c r="G344" s="1">
        <v>1</v>
      </c>
      <c r="H344" s="1">
        <v>0</v>
      </c>
      <c r="I344" s="1">
        <v>316</v>
      </c>
      <c r="J344" s="1">
        <v>0</v>
      </c>
      <c r="K344" s="1">
        <v>0</v>
      </c>
      <c r="L344" s="1"/>
      <c r="M344" s="1"/>
      <c r="N344" s="1"/>
      <c r="O344" s="1"/>
      <c r="P344" s="1"/>
      <c r="Q344" s="1"/>
      <c r="R344" s="1"/>
      <c r="S344" s="1"/>
      <c r="T344" s="1"/>
    </row>
    <row r="345" spans="1:20" ht="13" x14ac:dyDescent="0.15">
      <c r="A345" s="1" t="s">
        <v>1044</v>
      </c>
      <c r="B345" s="1" t="s">
        <v>1045</v>
      </c>
      <c r="C345" s="4" t="s">
        <v>1046</v>
      </c>
      <c r="D345" s="1" t="s">
        <v>14</v>
      </c>
      <c r="E345" s="1">
        <v>54</v>
      </c>
      <c r="F345" s="1">
        <v>2</v>
      </c>
      <c r="G345" s="1">
        <v>0</v>
      </c>
      <c r="H345" s="1">
        <v>0</v>
      </c>
      <c r="I345" s="1">
        <v>375</v>
      </c>
      <c r="J345" s="1">
        <v>1</v>
      </c>
      <c r="K345" s="1">
        <v>0</v>
      </c>
      <c r="L345" s="1"/>
      <c r="M345" s="1"/>
      <c r="N345" s="1"/>
      <c r="O345" s="1"/>
      <c r="P345" s="1"/>
      <c r="Q345" s="1"/>
      <c r="R345" s="1"/>
      <c r="S345" s="1"/>
      <c r="T345" s="1"/>
    </row>
    <row r="346" spans="1:20" ht="13" x14ac:dyDescent="0.15">
      <c r="A346" s="1" t="s">
        <v>1047</v>
      </c>
      <c r="B346" s="1" t="s">
        <v>1048</v>
      </c>
      <c r="C346" s="4" t="s">
        <v>1049</v>
      </c>
      <c r="D346" s="1" t="s">
        <v>14</v>
      </c>
      <c r="E346" s="1">
        <v>67</v>
      </c>
      <c r="F346" s="1">
        <v>1</v>
      </c>
      <c r="G346" s="1">
        <v>0</v>
      </c>
      <c r="H346" s="1">
        <v>0</v>
      </c>
      <c r="I346" s="1">
        <v>134</v>
      </c>
      <c r="J346" s="1">
        <v>1</v>
      </c>
      <c r="K346" s="1">
        <v>1</v>
      </c>
      <c r="L346" s="1"/>
      <c r="M346" s="1"/>
      <c r="N346" s="1"/>
      <c r="O346" s="1"/>
      <c r="P346" s="1"/>
      <c r="Q346" s="1"/>
      <c r="R346" s="1"/>
      <c r="S346" s="1"/>
      <c r="T346" s="1"/>
    </row>
    <row r="347" spans="1:20" ht="13" x14ac:dyDescent="0.15">
      <c r="A347" s="1" t="s">
        <v>1050</v>
      </c>
      <c r="B347" s="1" t="s">
        <v>1051</v>
      </c>
      <c r="C347" s="4" t="s">
        <v>1052</v>
      </c>
      <c r="D347" s="1" t="s">
        <v>14</v>
      </c>
      <c r="E347" s="1">
        <v>68</v>
      </c>
      <c r="F347" s="1">
        <v>1</v>
      </c>
      <c r="G347" s="1">
        <v>1</v>
      </c>
      <c r="H347" s="1">
        <v>0</v>
      </c>
      <c r="I347" s="1">
        <v>334</v>
      </c>
      <c r="J347" s="1">
        <v>0</v>
      </c>
      <c r="K347" s="1">
        <v>1</v>
      </c>
      <c r="L347" s="1"/>
      <c r="M347" s="1"/>
      <c r="N347" s="1"/>
      <c r="O347" s="1"/>
      <c r="P347" s="1"/>
      <c r="Q347" s="1"/>
      <c r="R347" s="1"/>
      <c r="S347" s="1"/>
      <c r="T347" s="1"/>
    </row>
    <row r="348" spans="1:20" ht="13" x14ac:dyDescent="0.15">
      <c r="A348" s="1" t="s">
        <v>1053</v>
      </c>
      <c r="B348" s="1" t="s">
        <v>1054</v>
      </c>
      <c r="C348" s="4" t="s">
        <v>1055</v>
      </c>
      <c r="D348" s="1" t="s">
        <v>14</v>
      </c>
      <c r="E348" s="1">
        <v>65</v>
      </c>
      <c r="F348" s="1">
        <v>1</v>
      </c>
      <c r="G348" s="1">
        <v>1</v>
      </c>
      <c r="H348" s="1">
        <v>0</v>
      </c>
      <c r="I348" s="1">
        <v>205</v>
      </c>
      <c r="J348" s="1">
        <v>0</v>
      </c>
      <c r="K348" s="1">
        <v>1</v>
      </c>
      <c r="L348" s="1"/>
      <c r="M348" s="1"/>
      <c r="N348" s="1"/>
      <c r="O348" s="1"/>
      <c r="P348" s="1"/>
      <c r="Q348" s="1"/>
      <c r="R348" s="1"/>
      <c r="S348" s="1"/>
      <c r="T348" s="1"/>
    </row>
    <row r="349" spans="1:20" ht="13" x14ac:dyDescent="0.15">
      <c r="A349" s="1" t="s">
        <v>1056</v>
      </c>
      <c r="B349" s="1" t="s">
        <v>1057</v>
      </c>
      <c r="C349" s="4" t="s">
        <v>1058</v>
      </c>
      <c r="D349" s="1" t="s">
        <v>14</v>
      </c>
      <c r="E349" s="1">
        <v>47</v>
      </c>
      <c r="F349" s="1">
        <v>1</v>
      </c>
      <c r="G349" s="1">
        <v>1</v>
      </c>
      <c r="H349" s="1">
        <v>0</v>
      </c>
      <c r="I349" s="1">
        <v>680</v>
      </c>
      <c r="J349" s="1">
        <v>1</v>
      </c>
      <c r="K349" s="1">
        <v>0</v>
      </c>
      <c r="L349" s="1"/>
      <c r="M349" s="1"/>
      <c r="N349" s="1"/>
      <c r="O349" s="1"/>
      <c r="P349" s="1"/>
      <c r="Q349" s="1"/>
      <c r="R349" s="1"/>
      <c r="S349" s="1"/>
      <c r="T349" s="1"/>
    </row>
    <row r="350" spans="1:20" ht="13" x14ac:dyDescent="0.15">
      <c r="A350" s="1" t="s">
        <v>1059</v>
      </c>
      <c r="B350" s="1" t="s">
        <v>1060</v>
      </c>
      <c r="C350" s="4" t="s">
        <v>1061</v>
      </c>
      <c r="D350" s="1" t="s">
        <v>14</v>
      </c>
      <c r="E350" s="1">
        <v>62</v>
      </c>
      <c r="F350" s="1">
        <v>2</v>
      </c>
      <c r="G350" s="1">
        <v>0</v>
      </c>
      <c r="H350" s="1">
        <v>0</v>
      </c>
      <c r="I350" s="1">
        <v>37</v>
      </c>
      <c r="J350" s="1">
        <v>1</v>
      </c>
      <c r="K350" s="1">
        <v>0</v>
      </c>
      <c r="L350" s="1"/>
      <c r="M350" s="1"/>
      <c r="N350" s="1"/>
      <c r="O350" s="1"/>
      <c r="P350" s="1"/>
      <c r="Q350" s="1"/>
      <c r="R350" s="1"/>
      <c r="S350" s="1"/>
      <c r="T350" s="1"/>
    </row>
    <row r="351" spans="1:20" ht="13" x14ac:dyDescent="0.15">
      <c r="A351" s="1" t="s">
        <v>1062</v>
      </c>
      <c r="B351" s="1" t="s">
        <v>1063</v>
      </c>
      <c r="C351" s="4" t="s">
        <v>1064</v>
      </c>
      <c r="D351" s="1" t="s">
        <v>14</v>
      </c>
      <c r="E351" s="1">
        <v>62</v>
      </c>
      <c r="F351" s="1">
        <v>1</v>
      </c>
      <c r="G351" s="1">
        <v>1</v>
      </c>
      <c r="H351" s="1">
        <v>0</v>
      </c>
      <c r="I351" s="1">
        <v>306</v>
      </c>
      <c r="J351" s="1">
        <v>0</v>
      </c>
      <c r="K351" s="1">
        <v>0</v>
      </c>
      <c r="L351" s="1"/>
      <c r="M351" s="1"/>
      <c r="N351" s="1"/>
      <c r="O351" s="1"/>
      <c r="P351" s="1"/>
      <c r="Q351" s="1"/>
      <c r="R351" s="1"/>
      <c r="S351" s="1"/>
      <c r="T351" s="1"/>
    </row>
    <row r="352" spans="1:20" ht="13" x14ac:dyDescent="0.15">
      <c r="A352" s="1" t="s">
        <v>1065</v>
      </c>
      <c r="B352" s="1" t="s">
        <v>1066</v>
      </c>
      <c r="C352" s="4" t="s">
        <v>1067</v>
      </c>
      <c r="D352" s="1" t="s">
        <v>14</v>
      </c>
      <c r="E352" s="1">
        <v>42</v>
      </c>
      <c r="F352" s="1">
        <v>1</v>
      </c>
      <c r="G352" s="1">
        <v>0</v>
      </c>
      <c r="H352" s="1">
        <v>0</v>
      </c>
      <c r="I352" s="1">
        <v>422</v>
      </c>
      <c r="J352" s="1">
        <v>0</v>
      </c>
      <c r="K352" s="1">
        <v>1</v>
      </c>
      <c r="L352" s="1"/>
      <c r="M352" s="1"/>
      <c r="N352" s="1"/>
      <c r="O352" s="1"/>
      <c r="P352" s="1"/>
      <c r="Q352" s="1"/>
      <c r="R352" s="1"/>
      <c r="S352" s="1"/>
      <c r="T352" s="1"/>
    </row>
    <row r="353" spans="1:20" ht="13" x14ac:dyDescent="0.15">
      <c r="A353" s="1" t="s">
        <v>1068</v>
      </c>
      <c r="B353" s="1" t="s">
        <v>1069</v>
      </c>
      <c r="C353" s="4" t="s">
        <v>1070</v>
      </c>
      <c r="D353" s="1" t="s">
        <v>14</v>
      </c>
      <c r="E353" s="1">
        <v>71</v>
      </c>
      <c r="F353" s="1">
        <v>2</v>
      </c>
      <c r="G353" s="1">
        <v>1</v>
      </c>
      <c r="H353" s="1">
        <v>0</v>
      </c>
      <c r="I353" s="1">
        <v>28</v>
      </c>
      <c r="J353" s="1">
        <v>1</v>
      </c>
      <c r="K353" s="1">
        <v>1</v>
      </c>
      <c r="L353" s="1"/>
      <c r="M353" s="1"/>
      <c r="N353" s="1"/>
      <c r="O353" s="1"/>
      <c r="P353" s="1"/>
      <c r="Q353" s="1"/>
      <c r="R353" s="1"/>
      <c r="S353" s="1"/>
      <c r="T353" s="1"/>
    </row>
    <row r="354" spans="1:20" ht="13" x14ac:dyDescent="0.15">
      <c r="A354" s="1" t="s">
        <v>1071</v>
      </c>
      <c r="B354" s="1" t="s">
        <v>1072</v>
      </c>
      <c r="C354" s="4" t="s">
        <v>1073</v>
      </c>
      <c r="D354" s="1" t="s">
        <v>14</v>
      </c>
      <c r="E354" s="1">
        <v>58</v>
      </c>
      <c r="F354" s="1">
        <v>2</v>
      </c>
      <c r="G354" s="1">
        <v>1</v>
      </c>
      <c r="H354" s="1">
        <v>0</v>
      </c>
      <c r="I354" s="1">
        <v>624</v>
      </c>
      <c r="J354" s="1">
        <v>0</v>
      </c>
      <c r="K354" s="1">
        <v>1</v>
      </c>
      <c r="L354" s="1"/>
      <c r="M354" s="1"/>
      <c r="N354" s="1"/>
      <c r="O354" s="1"/>
      <c r="P354" s="1"/>
      <c r="Q354" s="1"/>
      <c r="R354" s="1"/>
      <c r="S354" s="1"/>
      <c r="T354" s="1"/>
    </row>
    <row r="355" spans="1:20" ht="13" x14ac:dyDescent="0.15">
      <c r="A355" s="1" t="s">
        <v>1074</v>
      </c>
      <c r="B355" s="1" t="s">
        <v>1075</v>
      </c>
      <c r="C355" s="4" t="s">
        <v>1076</v>
      </c>
      <c r="D355" s="1" t="s">
        <v>14</v>
      </c>
      <c r="E355" s="1">
        <v>58</v>
      </c>
      <c r="F355" s="1">
        <v>2</v>
      </c>
      <c r="G355" s="1">
        <v>1</v>
      </c>
      <c r="H355" s="1">
        <v>0</v>
      </c>
      <c r="I355" s="1">
        <v>150</v>
      </c>
      <c r="J355" s="1">
        <v>0</v>
      </c>
      <c r="K355" s="1">
        <v>0</v>
      </c>
      <c r="L355" s="1"/>
      <c r="M355" s="1"/>
      <c r="N355" s="1"/>
      <c r="O355" s="1"/>
      <c r="P355" s="1"/>
      <c r="Q355" s="1"/>
      <c r="R355" s="1"/>
      <c r="S355" s="1"/>
      <c r="T355" s="1"/>
    </row>
    <row r="356" spans="1:20" ht="13" x14ac:dyDescent="0.15">
      <c r="A356" s="1" t="s">
        <v>1077</v>
      </c>
      <c r="B356" s="1" t="s">
        <v>1078</v>
      </c>
      <c r="C356" s="4" t="s">
        <v>1079</v>
      </c>
      <c r="D356" s="1" t="s">
        <v>14</v>
      </c>
      <c r="E356" s="1">
        <v>78</v>
      </c>
      <c r="F356" s="1">
        <v>1</v>
      </c>
      <c r="G356" s="1">
        <v>0</v>
      </c>
      <c r="H356" s="1">
        <v>0</v>
      </c>
      <c r="I356" s="1">
        <v>78</v>
      </c>
      <c r="J356" s="1">
        <v>1</v>
      </c>
      <c r="K356" s="1">
        <v>0</v>
      </c>
      <c r="L356" s="1"/>
      <c r="M356" s="1"/>
      <c r="N356" s="1"/>
      <c r="O356" s="1"/>
      <c r="P356" s="1"/>
      <c r="Q356" s="1"/>
      <c r="R356" s="1"/>
      <c r="S356" s="1"/>
      <c r="T356" s="1"/>
    </row>
    <row r="357" spans="1:20" ht="13" x14ac:dyDescent="0.15">
      <c r="A357" s="1" t="s">
        <v>1080</v>
      </c>
      <c r="B357" s="1" t="s">
        <v>1081</v>
      </c>
      <c r="C357" s="4" t="s">
        <v>1082</v>
      </c>
      <c r="D357" s="1" t="s">
        <v>14</v>
      </c>
      <c r="E357" s="1">
        <v>79</v>
      </c>
      <c r="F357" s="1">
        <v>1</v>
      </c>
      <c r="G357" s="1">
        <v>0</v>
      </c>
      <c r="H357" s="1">
        <v>0</v>
      </c>
      <c r="I357" s="1">
        <v>406</v>
      </c>
      <c r="J357" s="1">
        <v>0</v>
      </c>
      <c r="K357" s="1">
        <v>1</v>
      </c>
      <c r="L357" s="1"/>
      <c r="M357" s="1"/>
      <c r="N357" s="1"/>
      <c r="O357" s="1"/>
      <c r="P357" s="1"/>
      <c r="Q357" s="1"/>
      <c r="R357" s="1"/>
      <c r="S357" s="1"/>
      <c r="T357" s="1"/>
    </row>
    <row r="358" spans="1:20" ht="13" x14ac:dyDescent="0.15">
      <c r="A358" s="1" t="s">
        <v>1083</v>
      </c>
      <c r="B358" s="1" t="s">
        <v>1084</v>
      </c>
      <c r="C358" s="4" t="s">
        <v>1085</v>
      </c>
      <c r="D358" s="1" t="s">
        <v>14</v>
      </c>
      <c r="E358" s="1">
        <v>61</v>
      </c>
      <c r="F358" s="1">
        <v>2</v>
      </c>
      <c r="G358" s="1">
        <v>0</v>
      </c>
      <c r="H358" s="1">
        <v>0</v>
      </c>
      <c r="I358" s="1">
        <v>35</v>
      </c>
      <c r="J358" s="1">
        <v>0</v>
      </c>
      <c r="K358" s="1">
        <v>0</v>
      </c>
      <c r="L358" s="1"/>
      <c r="M358" s="1"/>
      <c r="N358" s="1"/>
      <c r="O358" s="1"/>
      <c r="P358" s="1"/>
      <c r="Q358" s="1"/>
      <c r="R358" s="1"/>
      <c r="S358" s="1"/>
      <c r="T358" s="1"/>
    </row>
    <row r="359" spans="1:20" ht="13" x14ac:dyDescent="0.15">
      <c r="A359" s="1" t="s">
        <v>1086</v>
      </c>
      <c r="B359" s="1" t="s">
        <v>1087</v>
      </c>
      <c r="C359" s="4" t="s">
        <v>1088</v>
      </c>
      <c r="D359" s="1" t="s">
        <v>14</v>
      </c>
      <c r="E359" s="1">
        <v>77</v>
      </c>
      <c r="F359" s="1">
        <v>1</v>
      </c>
      <c r="G359" s="1">
        <v>1</v>
      </c>
      <c r="H359" s="1">
        <v>0</v>
      </c>
      <c r="I359" s="1">
        <v>142</v>
      </c>
      <c r="J359" s="1">
        <v>0</v>
      </c>
      <c r="K359" s="1">
        <v>0</v>
      </c>
      <c r="L359" s="1"/>
      <c r="M359" s="1"/>
      <c r="N359" s="1"/>
      <c r="O359" s="1"/>
      <c r="P359" s="1"/>
      <c r="Q359" s="1"/>
      <c r="R359" s="1"/>
      <c r="S359" s="1"/>
      <c r="T359" s="1"/>
    </row>
    <row r="360" spans="1:20" ht="13" x14ac:dyDescent="0.15">
      <c r="A360" s="1" t="s">
        <v>1089</v>
      </c>
      <c r="B360" s="1" t="s">
        <v>1090</v>
      </c>
      <c r="C360" s="4" t="s">
        <v>1091</v>
      </c>
      <c r="D360" s="1" t="s">
        <v>14</v>
      </c>
      <c r="E360" s="1">
        <v>80</v>
      </c>
      <c r="F360" s="1">
        <v>2</v>
      </c>
      <c r="G360" s="1">
        <v>0</v>
      </c>
      <c r="H360" s="1">
        <v>0</v>
      </c>
      <c r="I360" s="1">
        <v>303</v>
      </c>
      <c r="J360" s="1">
        <v>0</v>
      </c>
      <c r="K360" s="1">
        <v>1</v>
      </c>
      <c r="L360" s="1"/>
      <c r="M360" s="1"/>
      <c r="N360" s="1"/>
      <c r="O360" s="1"/>
      <c r="P360" s="1"/>
      <c r="Q360" s="1"/>
      <c r="R360" s="1"/>
      <c r="S360" s="1"/>
      <c r="T360" s="1"/>
    </row>
    <row r="361" spans="1:20" ht="13" x14ac:dyDescent="0.15">
      <c r="A361" s="1" t="s">
        <v>1092</v>
      </c>
      <c r="B361" s="1" t="s">
        <v>1093</v>
      </c>
      <c r="C361" s="4" t="s">
        <v>1094</v>
      </c>
      <c r="D361" s="1" t="s">
        <v>14</v>
      </c>
      <c r="E361" s="1">
        <v>71</v>
      </c>
      <c r="F361" s="1">
        <v>1</v>
      </c>
      <c r="G361" s="1">
        <v>1</v>
      </c>
      <c r="H361" s="1">
        <v>0</v>
      </c>
      <c r="I361" s="1">
        <v>70</v>
      </c>
      <c r="J361" s="1">
        <v>1</v>
      </c>
      <c r="K361" s="1">
        <v>1</v>
      </c>
      <c r="L361" s="1"/>
      <c r="M361" s="1"/>
      <c r="N361" s="1"/>
      <c r="O361" s="1"/>
      <c r="P361" s="1"/>
      <c r="Q361" s="1"/>
      <c r="R361" s="1"/>
      <c r="S361" s="1"/>
      <c r="T361" s="1"/>
    </row>
    <row r="362" spans="1:20" ht="13" x14ac:dyDescent="0.15">
      <c r="A362" s="1" t="s">
        <v>1095</v>
      </c>
      <c r="B362" s="1" t="s">
        <v>1096</v>
      </c>
      <c r="C362" s="4" t="s">
        <v>1097</v>
      </c>
      <c r="D362" s="1" t="s">
        <v>14</v>
      </c>
      <c r="E362" s="1">
        <v>42</v>
      </c>
      <c r="F362" s="1">
        <v>1</v>
      </c>
      <c r="G362" s="1">
        <v>0</v>
      </c>
      <c r="H362" s="1">
        <v>0</v>
      </c>
      <c r="I362" s="1">
        <v>504</v>
      </c>
      <c r="J362" s="1">
        <v>0</v>
      </c>
      <c r="K362" s="1">
        <v>0</v>
      </c>
      <c r="L362" s="1"/>
      <c r="M362" s="1"/>
      <c r="N362" s="1"/>
      <c r="O362" s="1"/>
      <c r="P362" s="1"/>
      <c r="Q362" s="1"/>
      <c r="R362" s="1"/>
      <c r="S362" s="1"/>
      <c r="T362" s="1"/>
    </row>
    <row r="363" spans="1:20" ht="13" x14ac:dyDescent="0.15">
      <c r="A363" s="1" t="s">
        <v>1098</v>
      </c>
      <c r="B363" s="1" t="s">
        <v>1099</v>
      </c>
      <c r="C363" s="4" t="s">
        <v>1100</v>
      </c>
      <c r="D363" s="1" t="s">
        <v>14</v>
      </c>
      <c r="E363" s="1">
        <v>31</v>
      </c>
      <c r="F363" s="1">
        <v>2</v>
      </c>
      <c r="G363" s="1">
        <v>1</v>
      </c>
      <c r="H363" s="1">
        <v>0</v>
      </c>
      <c r="I363" s="1">
        <v>292</v>
      </c>
      <c r="J363" s="1">
        <v>0</v>
      </c>
      <c r="K363" s="1">
        <v>0</v>
      </c>
      <c r="L363" s="1"/>
      <c r="M363" s="1"/>
      <c r="N363" s="1"/>
      <c r="O363" s="1"/>
      <c r="P363" s="1"/>
      <c r="Q363" s="1"/>
      <c r="R363" s="1"/>
      <c r="S363" s="1"/>
      <c r="T363" s="1"/>
    </row>
    <row r="364" spans="1:20" ht="13" x14ac:dyDescent="0.15">
      <c r="A364" s="1" t="s">
        <v>1101</v>
      </c>
      <c r="B364" s="1" t="s">
        <v>1102</v>
      </c>
      <c r="C364" s="4" t="s">
        <v>1103</v>
      </c>
      <c r="D364" s="1" t="s">
        <v>14</v>
      </c>
      <c r="E364" s="1">
        <v>82</v>
      </c>
      <c r="F364" s="1">
        <v>2</v>
      </c>
      <c r="G364" s="1">
        <v>0</v>
      </c>
      <c r="H364" s="1">
        <v>0</v>
      </c>
      <c r="I364" s="1">
        <v>45</v>
      </c>
      <c r="J364" s="1">
        <v>0</v>
      </c>
      <c r="K364" s="1">
        <v>1</v>
      </c>
      <c r="L364" s="1"/>
      <c r="M364" s="1"/>
      <c r="N364" s="1"/>
      <c r="O364" s="1"/>
      <c r="P364" s="1"/>
      <c r="Q364" s="1"/>
      <c r="R364" s="1"/>
      <c r="S364" s="1"/>
      <c r="T364" s="1"/>
    </row>
    <row r="365" spans="1:20" ht="13" x14ac:dyDescent="0.15">
      <c r="A365" s="1" t="s">
        <v>1104</v>
      </c>
      <c r="B365" s="1" t="s">
        <v>1105</v>
      </c>
      <c r="C365" s="4" t="s">
        <v>1106</v>
      </c>
      <c r="D365" s="1" t="s">
        <v>14</v>
      </c>
      <c r="E365" s="1">
        <v>70</v>
      </c>
      <c r="F365" s="1">
        <v>1</v>
      </c>
      <c r="G365" s="1">
        <v>1</v>
      </c>
      <c r="H365" s="1">
        <v>0</v>
      </c>
      <c r="I365" s="1">
        <v>373</v>
      </c>
      <c r="J365" s="1">
        <v>0</v>
      </c>
      <c r="K365" s="1">
        <v>0</v>
      </c>
      <c r="L365" s="1"/>
      <c r="M365" s="1"/>
      <c r="N365" s="1"/>
      <c r="O365" s="1"/>
      <c r="P365" s="1"/>
      <c r="Q365" s="1"/>
      <c r="R365" s="1"/>
      <c r="S365" s="1"/>
      <c r="T365" s="1"/>
    </row>
    <row r="366" spans="1:20" ht="13" x14ac:dyDescent="0.15">
      <c r="A366" s="1" t="s">
        <v>1107</v>
      </c>
      <c r="B366" s="1" t="s">
        <v>1108</v>
      </c>
      <c r="C366" s="4" t="s">
        <v>1109</v>
      </c>
      <c r="D366" s="1" t="s">
        <v>14</v>
      </c>
      <c r="E366" s="1">
        <v>51</v>
      </c>
      <c r="F366" s="1">
        <v>1</v>
      </c>
      <c r="G366" s="1">
        <v>1</v>
      </c>
      <c r="H366" s="1">
        <v>1</v>
      </c>
      <c r="I366" s="1">
        <v>222</v>
      </c>
      <c r="J366" s="1">
        <v>0</v>
      </c>
      <c r="K366" s="1">
        <v>0</v>
      </c>
      <c r="L366" s="1"/>
      <c r="M366" s="1"/>
      <c r="N366" s="1"/>
      <c r="O366" s="1"/>
      <c r="P366" s="1"/>
      <c r="Q366" s="1"/>
      <c r="R366" s="1"/>
      <c r="S366" s="1"/>
      <c r="T366" s="1"/>
    </row>
    <row r="367" spans="1:20" ht="13" x14ac:dyDescent="0.15">
      <c r="A367" s="1" t="s">
        <v>1110</v>
      </c>
      <c r="B367" s="1" t="s">
        <v>1111</v>
      </c>
      <c r="C367" s="4" t="s">
        <v>1112</v>
      </c>
      <c r="D367" s="1" t="s">
        <v>14</v>
      </c>
      <c r="E367" s="1">
        <v>32</v>
      </c>
      <c r="F367" s="1">
        <v>1</v>
      </c>
      <c r="G367" s="1">
        <v>0</v>
      </c>
      <c r="H367" s="1">
        <v>0</v>
      </c>
      <c r="I367" s="1">
        <v>369</v>
      </c>
      <c r="J367" s="1">
        <v>0</v>
      </c>
      <c r="K367" s="1">
        <v>0</v>
      </c>
      <c r="L367" s="1"/>
      <c r="M367" s="1"/>
      <c r="N367" s="1"/>
      <c r="O367" s="1"/>
      <c r="P367" s="1"/>
      <c r="Q367" s="1"/>
      <c r="R367" s="1"/>
      <c r="S367" s="1"/>
      <c r="T367" s="1"/>
    </row>
    <row r="368" spans="1:20" ht="13" x14ac:dyDescent="0.15">
      <c r="A368" s="1" t="s">
        <v>1113</v>
      </c>
      <c r="B368" s="1" t="s">
        <v>1114</v>
      </c>
      <c r="C368" s="4" t="s">
        <v>1115</v>
      </c>
      <c r="D368" s="1" t="s">
        <v>14</v>
      </c>
      <c r="E368" s="1">
        <v>54</v>
      </c>
      <c r="F368" s="1">
        <v>1</v>
      </c>
      <c r="G368" s="1">
        <v>1</v>
      </c>
      <c r="H368" s="1">
        <v>0</v>
      </c>
      <c r="I368" s="1">
        <v>605</v>
      </c>
      <c r="J368" s="1">
        <v>0</v>
      </c>
      <c r="K368" s="1">
        <v>1</v>
      </c>
      <c r="L368" s="1"/>
      <c r="M368" s="1"/>
      <c r="N368" s="1"/>
      <c r="O368" s="1"/>
      <c r="P368" s="1"/>
      <c r="Q368" s="1"/>
      <c r="R368" s="1"/>
      <c r="S368" s="1"/>
      <c r="T368" s="1"/>
    </row>
    <row r="369" spans="1:20" ht="13" x14ac:dyDescent="0.15">
      <c r="A369" s="1" t="s">
        <v>1116</v>
      </c>
      <c r="B369" s="1" t="s">
        <v>1117</v>
      </c>
      <c r="C369" s="4" t="s">
        <v>1118</v>
      </c>
      <c r="D369" s="1" t="s">
        <v>14</v>
      </c>
      <c r="E369" s="1">
        <v>68</v>
      </c>
      <c r="F369" s="1">
        <v>2</v>
      </c>
      <c r="G369" s="1">
        <v>1</v>
      </c>
      <c r="H369" s="1">
        <v>0</v>
      </c>
      <c r="I369" s="1">
        <v>267</v>
      </c>
      <c r="J369" s="1">
        <v>0</v>
      </c>
      <c r="K369" s="1">
        <v>0</v>
      </c>
      <c r="L369" s="1"/>
      <c r="M369" s="1"/>
      <c r="N369" s="1"/>
      <c r="O369" s="1"/>
      <c r="P369" s="1"/>
      <c r="Q369" s="1"/>
      <c r="R369" s="1"/>
      <c r="S369" s="1"/>
      <c r="T369" s="1"/>
    </row>
    <row r="370" spans="1:20" ht="13" x14ac:dyDescent="0.15">
      <c r="A370" s="1" t="s">
        <v>1119</v>
      </c>
      <c r="B370" s="1" t="s">
        <v>1120</v>
      </c>
      <c r="C370" s="4" t="s">
        <v>1121</v>
      </c>
      <c r="D370" s="1" t="s">
        <v>14</v>
      </c>
      <c r="E370" s="1">
        <v>65</v>
      </c>
      <c r="F370" s="1">
        <v>2</v>
      </c>
      <c r="G370" s="1">
        <v>1</v>
      </c>
      <c r="H370" s="1">
        <v>0</v>
      </c>
      <c r="I370" s="1">
        <v>156</v>
      </c>
      <c r="J370" s="1">
        <v>0</v>
      </c>
      <c r="K370" s="1">
        <v>0</v>
      </c>
      <c r="L370" s="1"/>
      <c r="M370" s="1"/>
      <c r="N370" s="1"/>
      <c r="O370" s="1"/>
      <c r="P370" s="1"/>
      <c r="Q370" s="1"/>
      <c r="R370" s="1"/>
      <c r="S370" s="1"/>
      <c r="T370" s="1"/>
    </row>
    <row r="371" spans="1:20" ht="13" x14ac:dyDescent="0.15">
      <c r="A371" s="1" t="s">
        <v>1122</v>
      </c>
      <c r="B371" s="1" t="s">
        <v>1123</v>
      </c>
      <c r="C371" s="4" t="s">
        <v>1124</v>
      </c>
      <c r="D371" s="1" t="s">
        <v>14</v>
      </c>
      <c r="E371" s="1">
        <v>74</v>
      </c>
      <c r="F371" s="1">
        <v>1</v>
      </c>
      <c r="G371" s="1">
        <v>0</v>
      </c>
      <c r="H371" s="1">
        <v>0</v>
      </c>
      <c r="I371" s="1">
        <v>114</v>
      </c>
      <c r="J371" s="1">
        <v>0</v>
      </c>
      <c r="K371" s="1">
        <v>0</v>
      </c>
      <c r="L371" s="1"/>
      <c r="M371" s="1"/>
      <c r="N371" s="1"/>
      <c r="O371" s="1"/>
      <c r="P371" s="1"/>
      <c r="Q371" s="1"/>
      <c r="R371" s="1"/>
      <c r="S371" s="1"/>
      <c r="T371" s="1"/>
    </row>
    <row r="372" spans="1:20" ht="13" x14ac:dyDescent="0.15">
      <c r="A372" s="1" t="s">
        <v>1125</v>
      </c>
      <c r="B372" s="1" t="s">
        <v>1126</v>
      </c>
      <c r="C372" s="4" t="s">
        <v>1127</v>
      </c>
      <c r="D372" s="1" t="s">
        <v>14</v>
      </c>
      <c r="E372" s="1">
        <v>43</v>
      </c>
      <c r="F372" s="1">
        <v>1</v>
      </c>
      <c r="G372" s="1">
        <v>0</v>
      </c>
      <c r="H372" s="1">
        <v>0</v>
      </c>
      <c r="I372" s="1">
        <v>512</v>
      </c>
      <c r="J372" s="1">
        <v>0</v>
      </c>
      <c r="K372" s="1">
        <v>0</v>
      </c>
      <c r="L372" s="1"/>
      <c r="M372" s="1"/>
      <c r="N372" s="1"/>
      <c r="O372" s="1"/>
      <c r="P372" s="1"/>
      <c r="Q372" s="1"/>
      <c r="R372" s="1"/>
      <c r="S372" s="1"/>
      <c r="T372" s="1"/>
    </row>
    <row r="373" spans="1:20" ht="13" x14ac:dyDescent="0.15">
      <c r="A373" s="1" t="s">
        <v>1128</v>
      </c>
      <c r="B373" s="1" t="s">
        <v>1129</v>
      </c>
      <c r="C373" s="4" t="s">
        <v>1130</v>
      </c>
      <c r="D373" s="1" t="s">
        <v>14</v>
      </c>
      <c r="E373" s="1">
        <v>72</v>
      </c>
      <c r="F373" s="1">
        <v>2</v>
      </c>
      <c r="G373" s="1">
        <v>0</v>
      </c>
      <c r="H373" s="1">
        <v>0</v>
      </c>
      <c r="I373" s="1">
        <v>287</v>
      </c>
      <c r="J373" s="1">
        <v>1</v>
      </c>
      <c r="K373" s="1">
        <v>1</v>
      </c>
      <c r="L373" s="1"/>
      <c r="M373" s="1"/>
      <c r="N373" s="1"/>
      <c r="O373" s="1"/>
      <c r="P373" s="1"/>
      <c r="Q373" s="1"/>
      <c r="R373" s="1"/>
      <c r="S373" s="1"/>
      <c r="T373" s="1"/>
    </row>
    <row r="374" spans="1:20" ht="13" x14ac:dyDescent="0.15">
      <c r="A374" s="1" t="s">
        <v>1131</v>
      </c>
      <c r="B374" s="1" t="s">
        <v>1132</v>
      </c>
      <c r="C374" s="4" t="s">
        <v>1133</v>
      </c>
      <c r="D374" s="1" t="s">
        <v>14</v>
      </c>
      <c r="E374" s="1">
        <v>64</v>
      </c>
      <c r="F374" s="1">
        <v>1</v>
      </c>
      <c r="G374" s="1">
        <v>1</v>
      </c>
      <c r="H374" s="1">
        <v>0</v>
      </c>
      <c r="I374" s="1">
        <v>285</v>
      </c>
      <c r="J374" s="1">
        <v>1</v>
      </c>
      <c r="K374" s="1">
        <v>0</v>
      </c>
      <c r="L374" s="1"/>
      <c r="M374" s="1"/>
      <c r="N374" s="1"/>
      <c r="O374" s="1"/>
      <c r="P374" s="1"/>
      <c r="Q374" s="1"/>
      <c r="R374" s="1"/>
      <c r="S374" s="1"/>
      <c r="T374" s="1"/>
    </row>
    <row r="375" spans="1:20" ht="13" x14ac:dyDescent="0.15">
      <c r="A375" s="1" t="s">
        <v>1134</v>
      </c>
      <c r="B375" s="1" t="s">
        <v>1135</v>
      </c>
      <c r="C375" s="4" t="s">
        <v>1136</v>
      </c>
      <c r="D375" s="1" t="s">
        <v>14</v>
      </c>
      <c r="E375" s="1">
        <v>77</v>
      </c>
      <c r="F375" s="1">
        <v>1</v>
      </c>
      <c r="G375" s="1">
        <v>1</v>
      </c>
      <c r="H375" s="1">
        <v>0</v>
      </c>
      <c r="I375" s="1">
        <v>307</v>
      </c>
      <c r="J375" s="1">
        <v>0</v>
      </c>
      <c r="K375" s="1">
        <v>0</v>
      </c>
      <c r="L375" s="1"/>
      <c r="M375" s="1"/>
      <c r="N375" s="1"/>
      <c r="O375" s="1"/>
      <c r="P375" s="1"/>
      <c r="Q375" s="1"/>
      <c r="R375" s="1"/>
      <c r="S375" s="1"/>
      <c r="T375" s="1"/>
    </row>
    <row r="376" spans="1:20" ht="13" x14ac:dyDescent="0.15">
      <c r="A376" s="1" t="s">
        <v>1137</v>
      </c>
      <c r="B376" s="1" t="s">
        <v>1138</v>
      </c>
      <c r="C376" s="4" t="s">
        <v>1139</v>
      </c>
      <c r="D376" s="1" t="s">
        <v>14</v>
      </c>
      <c r="E376" s="1">
        <v>52</v>
      </c>
      <c r="F376" s="1">
        <v>1</v>
      </c>
      <c r="G376" s="1">
        <v>1</v>
      </c>
      <c r="H376" s="1">
        <v>0</v>
      </c>
      <c r="I376" s="1">
        <v>602</v>
      </c>
      <c r="J376" s="1">
        <v>1</v>
      </c>
      <c r="K376" s="1">
        <v>0</v>
      </c>
      <c r="L376" s="1"/>
      <c r="M376" s="1"/>
      <c r="N376" s="1"/>
      <c r="O376" s="1"/>
      <c r="P376" s="1"/>
      <c r="Q376" s="1"/>
      <c r="R376" s="1"/>
      <c r="S376" s="1"/>
      <c r="T376" s="1"/>
    </row>
    <row r="377" spans="1:20" ht="13" x14ac:dyDescent="0.15">
      <c r="A377" s="1" t="s">
        <v>1140</v>
      </c>
      <c r="B377" s="1" t="s">
        <v>1141</v>
      </c>
      <c r="C377" s="4" t="s">
        <v>1142</v>
      </c>
      <c r="D377" s="1" t="s">
        <v>14</v>
      </c>
      <c r="E377" s="1">
        <v>62</v>
      </c>
      <c r="F377" s="1">
        <v>1</v>
      </c>
      <c r="G377" s="1">
        <v>1</v>
      </c>
      <c r="H377" s="1">
        <v>0</v>
      </c>
      <c r="I377" s="1">
        <v>252</v>
      </c>
      <c r="J377" s="1">
        <v>0</v>
      </c>
      <c r="K377" s="1">
        <v>0</v>
      </c>
      <c r="L377" s="1"/>
      <c r="M377" s="1"/>
      <c r="N377" s="1"/>
      <c r="O377" s="1"/>
      <c r="P377" s="1"/>
      <c r="Q377" s="1"/>
      <c r="R377" s="1"/>
      <c r="S377" s="1"/>
      <c r="T377" s="1"/>
    </row>
    <row r="378" spans="1:20" ht="13" x14ac:dyDescent="0.15">
      <c r="A378" s="1" t="s">
        <v>1143</v>
      </c>
      <c r="B378" s="1" t="s">
        <v>1144</v>
      </c>
      <c r="C378" s="4" t="s">
        <v>1145</v>
      </c>
      <c r="D378" s="1" t="s">
        <v>14</v>
      </c>
      <c r="E378" s="1">
        <v>94</v>
      </c>
      <c r="F378" s="1">
        <v>1</v>
      </c>
      <c r="G378" s="1">
        <v>1</v>
      </c>
      <c r="H378" s="1">
        <v>0</v>
      </c>
      <c r="I378" s="1">
        <v>54</v>
      </c>
      <c r="J378" s="1">
        <v>0</v>
      </c>
      <c r="K378" s="1">
        <v>1</v>
      </c>
      <c r="L378" s="1"/>
      <c r="M378" s="1"/>
      <c r="N378" s="1"/>
      <c r="O378" s="1"/>
      <c r="P378" s="1"/>
      <c r="Q378" s="1"/>
      <c r="R378" s="1"/>
      <c r="S378" s="1"/>
      <c r="T378" s="1"/>
    </row>
    <row r="379" spans="1:20" ht="13" x14ac:dyDescent="0.15">
      <c r="A379" s="1" t="s">
        <v>1146</v>
      </c>
      <c r="B379" s="1" t="s">
        <v>1147</v>
      </c>
      <c r="C379" s="4" t="s">
        <v>1148</v>
      </c>
      <c r="D379" s="1" t="s">
        <v>14</v>
      </c>
      <c r="E379" s="1">
        <v>37</v>
      </c>
      <c r="F379" s="1">
        <v>1</v>
      </c>
      <c r="G379" s="1">
        <v>1</v>
      </c>
      <c r="H379" s="1">
        <v>1</v>
      </c>
      <c r="I379" s="1">
        <v>15</v>
      </c>
      <c r="J379" s="1">
        <v>1</v>
      </c>
      <c r="K379" s="1">
        <v>0</v>
      </c>
      <c r="L379" s="1"/>
      <c r="M379" s="1"/>
      <c r="N379" s="1"/>
      <c r="O379" s="1"/>
      <c r="P379" s="1"/>
      <c r="Q379" s="1"/>
      <c r="R379" s="1"/>
      <c r="S379" s="1"/>
      <c r="T379" s="1"/>
    </row>
    <row r="380" spans="1:20" ht="13" x14ac:dyDescent="0.15">
      <c r="A380" s="1" t="s">
        <v>1149</v>
      </c>
      <c r="B380" s="1" t="s">
        <v>1150</v>
      </c>
      <c r="C380" s="4" t="s">
        <v>1151</v>
      </c>
      <c r="D380" s="1" t="s">
        <v>14</v>
      </c>
      <c r="E380" s="1">
        <v>60</v>
      </c>
      <c r="F380" s="1">
        <v>1</v>
      </c>
      <c r="G380" s="1">
        <v>0</v>
      </c>
      <c r="H380" s="1">
        <v>0</v>
      </c>
      <c r="I380" s="1">
        <v>300</v>
      </c>
      <c r="J380" s="1">
        <v>0</v>
      </c>
      <c r="K380" s="1">
        <v>1</v>
      </c>
      <c r="L380" s="1"/>
      <c r="M380" s="1"/>
      <c r="N380" s="1"/>
      <c r="O380" s="1"/>
      <c r="P380" s="1"/>
      <c r="Q380" s="1"/>
      <c r="R380" s="1"/>
      <c r="S380" s="1"/>
      <c r="T380" s="1"/>
    </row>
    <row r="381" spans="1:20" ht="13" x14ac:dyDescent="0.15">
      <c r="A381" s="1" t="s">
        <v>1152</v>
      </c>
      <c r="B381" s="1" t="s">
        <v>1153</v>
      </c>
      <c r="C381" s="4" t="s">
        <v>1154</v>
      </c>
      <c r="D381" s="1" t="s">
        <v>14</v>
      </c>
      <c r="E381" s="1">
        <v>69</v>
      </c>
      <c r="F381" s="1">
        <v>1</v>
      </c>
      <c r="G381" s="1">
        <v>0</v>
      </c>
      <c r="H381" s="1">
        <v>0</v>
      </c>
      <c r="I381" s="1">
        <v>191</v>
      </c>
      <c r="J381" s="1">
        <v>0</v>
      </c>
      <c r="K381" s="1">
        <v>0</v>
      </c>
      <c r="L381" s="1"/>
      <c r="M381" s="1"/>
      <c r="N381" s="1"/>
      <c r="O381" s="1"/>
      <c r="P381" s="1"/>
      <c r="Q381" s="1"/>
      <c r="R381" s="1"/>
      <c r="S381" s="1"/>
      <c r="T381" s="1"/>
    </row>
    <row r="382" spans="1:20" ht="13" x14ac:dyDescent="0.15">
      <c r="A382" s="1" t="s">
        <v>1155</v>
      </c>
      <c r="B382" s="1" t="s">
        <v>1156</v>
      </c>
      <c r="C382" s="4" t="s">
        <v>1157</v>
      </c>
      <c r="D382" s="1" t="s">
        <v>14</v>
      </c>
      <c r="E382" s="1">
        <v>63</v>
      </c>
      <c r="F382" s="1">
        <v>2</v>
      </c>
      <c r="G382" s="1">
        <v>0</v>
      </c>
      <c r="H382" s="1">
        <v>0</v>
      </c>
      <c r="I382" s="1">
        <v>566</v>
      </c>
      <c r="J382" s="1">
        <v>0</v>
      </c>
      <c r="K382" s="1">
        <v>0</v>
      </c>
      <c r="L382" s="1"/>
      <c r="M382" s="1"/>
      <c r="N382" s="1"/>
      <c r="O382" s="1"/>
      <c r="P382" s="1"/>
      <c r="Q382" s="1"/>
      <c r="R382" s="1"/>
      <c r="S382" s="1"/>
      <c r="T382" s="1"/>
    </row>
    <row r="383" spans="1:20" ht="13" x14ac:dyDescent="0.15">
      <c r="A383" s="1" t="s">
        <v>1158</v>
      </c>
      <c r="B383" s="1" t="s">
        <v>1159</v>
      </c>
      <c r="C383" s="4" t="s">
        <v>1160</v>
      </c>
      <c r="D383" s="1" t="s">
        <v>14</v>
      </c>
      <c r="E383" s="1">
        <v>66</v>
      </c>
      <c r="F383" s="1">
        <v>1</v>
      </c>
      <c r="G383" s="1">
        <v>0</v>
      </c>
      <c r="H383" s="1">
        <v>0</v>
      </c>
      <c r="I383" s="1">
        <v>375</v>
      </c>
      <c r="J383" s="1">
        <v>1</v>
      </c>
      <c r="K383" s="1">
        <v>0</v>
      </c>
      <c r="L383" s="1"/>
      <c r="M383" s="1"/>
      <c r="N383" s="1"/>
      <c r="O383" s="1"/>
      <c r="P383" s="1"/>
      <c r="Q383" s="1"/>
      <c r="R383" s="1"/>
      <c r="S383" s="1"/>
      <c r="T383" s="1"/>
    </row>
    <row r="384" spans="1:20" ht="13" x14ac:dyDescent="0.15">
      <c r="A384" s="1" t="s">
        <v>1161</v>
      </c>
      <c r="B384" s="1" t="s">
        <v>1162</v>
      </c>
      <c r="C384" s="4" t="s">
        <v>1163</v>
      </c>
      <c r="D384" s="1" t="s">
        <v>14</v>
      </c>
      <c r="E384" s="1">
        <v>62</v>
      </c>
      <c r="F384" s="1">
        <v>1</v>
      </c>
      <c r="G384" s="1">
        <v>0</v>
      </c>
      <c r="H384" s="1">
        <v>0</v>
      </c>
      <c r="I384" s="1">
        <v>356</v>
      </c>
      <c r="J384" s="1">
        <v>0</v>
      </c>
      <c r="K384" s="1">
        <v>1</v>
      </c>
      <c r="L384" s="1"/>
      <c r="M384" s="1"/>
      <c r="N384" s="1"/>
      <c r="O384" s="1"/>
      <c r="P384" s="1"/>
      <c r="Q384" s="1"/>
      <c r="R384" s="1"/>
      <c r="S384" s="1"/>
      <c r="T384" s="1"/>
    </row>
    <row r="385" spans="1:20" ht="13" x14ac:dyDescent="0.15">
      <c r="A385" s="1" t="s">
        <v>1164</v>
      </c>
      <c r="B385" s="1" t="s">
        <v>1165</v>
      </c>
      <c r="C385" s="4" t="s">
        <v>1166</v>
      </c>
      <c r="D385" s="1" t="s">
        <v>14</v>
      </c>
      <c r="E385" s="1">
        <v>75</v>
      </c>
      <c r="F385" s="1">
        <v>2</v>
      </c>
      <c r="G385" s="1">
        <v>0</v>
      </c>
      <c r="H385" s="1">
        <v>0</v>
      </c>
      <c r="I385" s="1">
        <v>364</v>
      </c>
      <c r="J385" s="1">
        <v>0</v>
      </c>
      <c r="K385" s="1">
        <v>1</v>
      </c>
      <c r="L385" s="1"/>
      <c r="M385" s="1"/>
      <c r="N385" s="1"/>
      <c r="O385" s="1"/>
      <c r="P385" s="1"/>
      <c r="Q385" s="1"/>
      <c r="R385" s="1"/>
      <c r="S385" s="1"/>
      <c r="T385" s="1"/>
    </row>
    <row r="386" spans="1:20" ht="13" x14ac:dyDescent="0.15">
      <c r="A386" s="1" t="s">
        <v>1167</v>
      </c>
      <c r="B386" s="1" t="s">
        <v>1168</v>
      </c>
      <c r="C386" s="4" t="s">
        <v>1169</v>
      </c>
      <c r="D386" s="1" t="s">
        <v>14</v>
      </c>
      <c r="E386" s="1">
        <v>58</v>
      </c>
      <c r="F386" s="1">
        <v>2</v>
      </c>
      <c r="G386" s="1">
        <v>0</v>
      </c>
      <c r="H386" s="1">
        <v>0</v>
      </c>
      <c r="I386" s="1">
        <v>499</v>
      </c>
      <c r="J386" s="1">
        <v>0</v>
      </c>
      <c r="K386" s="1">
        <v>1</v>
      </c>
      <c r="L386" s="1"/>
      <c r="M386" s="1"/>
      <c r="N386" s="1"/>
      <c r="O386" s="1"/>
      <c r="P386" s="1"/>
      <c r="Q386" s="1"/>
      <c r="R386" s="1"/>
      <c r="S386" s="1"/>
      <c r="T386" s="1"/>
    </row>
    <row r="387" spans="1:20" ht="13" x14ac:dyDescent="0.15">
      <c r="A387" s="1" t="s">
        <v>1170</v>
      </c>
      <c r="B387" s="1" t="s">
        <v>1171</v>
      </c>
      <c r="C387" s="4" t="s">
        <v>1172</v>
      </c>
      <c r="D387" s="1" t="s">
        <v>14</v>
      </c>
      <c r="E387" s="1">
        <v>62</v>
      </c>
      <c r="F387" s="1">
        <v>2</v>
      </c>
      <c r="G387" s="1">
        <v>1</v>
      </c>
      <c r="H387" s="1">
        <v>0</v>
      </c>
      <c r="I387" s="1">
        <v>777</v>
      </c>
      <c r="J387" s="1">
        <v>0</v>
      </c>
      <c r="K387" s="1">
        <v>0</v>
      </c>
      <c r="L387" s="1"/>
      <c r="M387" s="1"/>
      <c r="N387" s="1"/>
      <c r="O387" s="1"/>
      <c r="P387" s="1"/>
      <c r="Q387" s="1"/>
      <c r="R387" s="1"/>
      <c r="S387" s="1"/>
      <c r="T387" s="1"/>
    </row>
    <row r="388" spans="1:20" ht="13" x14ac:dyDescent="0.15">
      <c r="A388" s="1" t="s">
        <v>1173</v>
      </c>
      <c r="B388" s="1" t="s">
        <v>1174</v>
      </c>
      <c r="C388" s="4" t="s">
        <v>1175</v>
      </c>
      <c r="D388" s="1" t="s">
        <v>14</v>
      </c>
      <c r="E388" s="1">
        <v>81</v>
      </c>
      <c r="F388" s="1">
        <v>1</v>
      </c>
      <c r="G388" s="1">
        <v>1</v>
      </c>
      <c r="H388" s="1">
        <v>0</v>
      </c>
      <c r="I388" s="1">
        <v>19</v>
      </c>
      <c r="J388" s="1">
        <v>0</v>
      </c>
      <c r="K388" s="1">
        <v>1</v>
      </c>
      <c r="L388" s="1"/>
      <c r="M388" s="1"/>
      <c r="N388" s="1"/>
      <c r="O388" s="1"/>
      <c r="P388" s="1"/>
      <c r="Q388" s="1"/>
      <c r="R388" s="1"/>
      <c r="S388" s="1"/>
      <c r="T388" s="1"/>
    </row>
    <row r="389" spans="1:20" ht="13" x14ac:dyDescent="0.15">
      <c r="A389" s="1" t="s">
        <v>1176</v>
      </c>
      <c r="B389" s="1" t="s">
        <v>1177</v>
      </c>
      <c r="C389" s="4" t="s">
        <v>1178</v>
      </c>
      <c r="D389" s="1" t="s">
        <v>14</v>
      </c>
      <c r="E389" s="1">
        <v>63</v>
      </c>
      <c r="F389" s="1">
        <v>2</v>
      </c>
      <c r="G389" s="1">
        <v>1</v>
      </c>
      <c r="H389" s="1">
        <v>0</v>
      </c>
      <c r="I389" s="1">
        <v>280</v>
      </c>
      <c r="J389" s="1">
        <v>1</v>
      </c>
      <c r="K389" s="1">
        <v>0</v>
      </c>
      <c r="L389" s="1"/>
      <c r="M389" s="1"/>
      <c r="N389" s="1"/>
      <c r="O389" s="1"/>
      <c r="P389" s="1"/>
      <c r="Q389" s="1"/>
      <c r="R389" s="1"/>
      <c r="S389" s="1"/>
      <c r="T389" s="1"/>
    </row>
    <row r="390" spans="1:20" ht="13" x14ac:dyDescent="0.15">
      <c r="A390" s="1" t="s">
        <v>1179</v>
      </c>
      <c r="B390" s="1" t="s">
        <v>1180</v>
      </c>
      <c r="C390" s="4" t="s">
        <v>1181</v>
      </c>
      <c r="D390" s="1" t="s">
        <v>14</v>
      </c>
      <c r="E390" s="1">
        <v>64</v>
      </c>
      <c r="F390" s="1">
        <v>1</v>
      </c>
      <c r="G390" s="1">
        <v>1</v>
      </c>
      <c r="H390" s="1">
        <v>0</v>
      </c>
      <c r="I390" s="1">
        <v>491</v>
      </c>
      <c r="J390" s="1">
        <v>0</v>
      </c>
      <c r="K390" s="1">
        <v>1</v>
      </c>
      <c r="L390" s="1"/>
      <c r="M390" s="1"/>
      <c r="N390" s="1"/>
      <c r="O390" s="1"/>
      <c r="P390" s="1"/>
      <c r="Q390" s="1"/>
      <c r="R390" s="1"/>
      <c r="S390" s="1"/>
      <c r="T390" s="1"/>
    </row>
    <row r="391" spans="1:20" ht="13" x14ac:dyDescent="0.15">
      <c r="A391" s="1" t="s">
        <v>1182</v>
      </c>
      <c r="B391" s="1" t="s">
        <v>1183</v>
      </c>
      <c r="C391" s="4" t="s">
        <v>1184</v>
      </c>
      <c r="D391" s="1" t="s">
        <v>14</v>
      </c>
      <c r="E391" s="1">
        <v>54</v>
      </c>
      <c r="F391" s="1">
        <v>2</v>
      </c>
      <c r="G391" s="1">
        <v>1</v>
      </c>
      <c r="H391" s="1">
        <v>0</v>
      </c>
      <c r="I391" s="1">
        <v>1333</v>
      </c>
      <c r="J391" s="1">
        <v>0</v>
      </c>
      <c r="K391" s="1">
        <v>0</v>
      </c>
      <c r="L391" s="1"/>
      <c r="M391" s="1"/>
      <c r="N391" s="1"/>
      <c r="O391" s="1"/>
      <c r="P391" s="1"/>
      <c r="Q391" s="1"/>
      <c r="R391" s="1"/>
      <c r="S391" s="1"/>
      <c r="T391" s="1"/>
    </row>
    <row r="392" spans="1:20" ht="13" x14ac:dyDescent="0.15">
      <c r="A392" s="1" t="s">
        <v>1185</v>
      </c>
      <c r="B392" s="1" t="s">
        <v>1186</v>
      </c>
      <c r="C392" s="4" t="s">
        <v>1187</v>
      </c>
      <c r="D392" s="1" t="s">
        <v>14</v>
      </c>
      <c r="E392" s="1">
        <v>59</v>
      </c>
      <c r="F392" s="1">
        <v>2</v>
      </c>
      <c r="G392" s="1">
        <v>1</v>
      </c>
      <c r="H392" s="1">
        <v>0</v>
      </c>
      <c r="I392" s="1">
        <v>435</v>
      </c>
      <c r="J392" s="1">
        <v>1</v>
      </c>
      <c r="K392" s="1">
        <v>1</v>
      </c>
      <c r="L392" s="1"/>
      <c r="M392" s="1"/>
      <c r="N392" s="1"/>
      <c r="O392" s="1"/>
      <c r="P392" s="1"/>
      <c r="Q392" s="1"/>
      <c r="R392" s="1"/>
      <c r="S392" s="1"/>
      <c r="T392" s="1"/>
    </row>
    <row r="393" spans="1:20" ht="13" x14ac:dyDescent="0.15">
      <c r="A393" s="1" t="s">
        <v>1188</v>
      </c>
      <c r="B393" s="1" t="s">
        <v>1189</v>
      </c>
      <c r="C393" s="4" t="s">
        <v>1190</v>
      </c>
      <c r="D393" s="1" t="s">
        <v>14</v>
      </c>
      <c r="E393" s="1">
        <v>83</v>
      </c>
      <c r="F393" s="1">
        <v>2</v>
      </c>
      <c r="G393" s="1">
        <v>1</v>
      </c>
      <c r="H393" s="1">
        <v>0</v>
      </c>
      <c r="I393" s="1">
        <v>275</v>
      </c>
      <c r="J393" s="1">
        <v>0</v>
      </c>
      <c r="K393" s="1">
        <v>0</v>
      </c>
      <c r="L393" s="1"/>
      <c r="M393" s="1"/>
      <c r="N393" s="1"/>
      <c r="O393" s="1"/>
      <c r="P393" s="1"/>
      <c r="Q393" s="1"/>
      <c r="R393" s="1"/>
      <c r="S393" s="1"/>
      <c r="T393" s="1"/>
    </row>
    <row r="394" spans="1:20" ht="13" x14ac:dyDescent="0.15">
      <c r="A394" s="1" t="s">
        <v>1191</v>
      </c>
      <c r="B394" s="1" t="s">
        <v>1192</v>
      </c>
      <c r="C394" s="4" t="s">
        <v>1193</v>
      </c>
      <c r="D394" s="1" t="s">
        <v>14</v>
      </c>
      <c r="E394" s="1">
        <v>76</v>
      </c>
      <c r="F394" s="1">
        <v>1</v>
      </c>
      <c r="G394" s="1">
        <v>1</v>
      </c>
      <c r="H394" s="1">
        <v>0</v>
      </c>
      <c r="I394" s="1">
        <v>332</v>
      </c>
      <c r="J394" s="1">
        <v>0</v>
      </c>
      <c r="K394" s="1">
        <v>1</v>
      </c>
      <c r="L394" s="1"/>
      <c r="M394" s="1"/>
      <c r="N394" s="1"/>
      <c r="O394" s="1"/>
      <c r="P394" s="1"/>
      <c r="Q394" s="1"/>
      <c r="R394" s="1"/>
      <c r="S394" s="1"/>
      <c r="T394" s="1"/>
    </row>
    <row r="395" spans="1:20" ht="13" x14ac:dyDescent="0.15">
      <c r="A395" s="1" t="s">
        <v>1194</v>
      </c>
      <c r="B395" s="1" t="s">
        <v>1195</v>
      </c>
      <c r="C395" s="4" t="s">
        <v>1196</v>
      </c>
      <c r="D395" s="1" t="s">
        <v>14</v>
      </c>
      <c r="E395" s="1">
        <v>57</v>
      </c>
      <c r="F395" s="1">
        <v>1</v>
      </c>
      <c r="G395" s="1">
        <v>0</v>
      </c>
      <c r="H395" s="1">
        <v>0</v>
      </c>
      <c r="I395" s="1">
        <v>319</v>
      </c>
      <c r="J395" s="1">
        <v>1</v>
      </c>
      <c r="K395" s="1">
        <v>1</v>
      </c>
      <c r="L395" s="1"/>
      <c r="M395" s="1"/>
      <c r="N395" s="1"/>
      <c r="O395" s="1"/>
      <c r="P395" s="1"/>
      <c r="Q395" s="1"/>
      <c r="R395" s="1"/>
      <c r="S395" s="1"/>
      <c r="T395" s="1"/>
    </row>
    <row r="396" spans="1:20" ht="13" x14ac:dyDescent="0.15">
      <c r="A396" s="1" t="s">
        <v>1197</v>
      </c>
      <c r="B396" s="1" t="s">
        <v>1198</v>
      </c>
      <c r="C396" s="4" t="s">
        <v>1199</v>
      </c>
      <c r="D396" s="1" t="s">
        <v>14</v>
      </c>
      <c r="E396" s="1">
        <v>48</v>
      </c>
      <c r="F396" s="1">
        <v>2</v>
      </c>
      <c r="G396" s="1">
        <v>1</v>
      </c>
      <c r="H396" s="1">
        <v>0</v>
      </c>
      <c r="I396" s="1">
        <v>183</v>
      </c>
      <c r="J396" s="1">
        <v>1</v>
      </c>
      <c r="K396" s="1">
        <v>1</v>
      </c>
      <c r="L396" s="1"/>
      <c r="M396" s="1"/>
      <c r="N396" s="1"/>
      <c r="O396" s="1"/>
      <c r="P396" s="1"/>
      <c r="Q396" s="1"/>
      <c r="R396" s="1"/>
      <c r="S396" s="1"/>
      <c r="T396" s="1"/>
    </row>
    <row r="397" spans="1:20" ht="13" x14ac:dyDescent="0.15">
      <c r="A397" s="1" t="s">
        <v>1200</v>
      </c>
      <c r="B397" s="1" t="s">
        <v>1201</v>
      </c>
      <c r="C397" s="4" t="s">
        <v>1202</v>
      </c>
      <c r="D397" s="1" t="s">
        <v>14</v>
      </c>
      <c r="E397" s="1">
        <v>30</v>
      </c>
      <c r="F397" s="1">
        <v>1</v>
      </c>
      <c r="G397" s="1">
        <v>1</v>
      </c>
      <c r="H397" s="1">
        <v>1</v>
      </c>
      <c r="I397" s="1">
        <v>1320</v>
      </c>
      <c r="J397" s="1">
        <v>0</v>
      </c>
      <c r="K397" s="1">
        <v>0</v>
      </c>
      <c r="L397" s="1"/>
      <c r="M397" s="1"/>
      <c r="N397" s="1"/>
      <c r="O397" s="1"/>
      <c r="P397" s="1"/>
      <c r="Q397" s="1"/>
      <c r="R397" s="1"/>
      <c r="S397" s="1"/>
      <c r="T397" s="1"/>
    </row>
    <row r="398" spans="1:20" ht="13" x14ac:dyDescent="0.15">
      <c r="A398" s="1" t="s">
        <v>1203</v>
      </c>
      <c r="B398" s="1" t="s">
        <v>1204</v>
      </c>
      <c r="C398" s="4" t="s">
        <v>1205</v>
      </c>
      <c r="D398" s="1" t="s">
        <v>14</v>
      </c>
      <c r="E398" s="1">
        <v>57</v>
      </c>
      <c r="F398" s="1">
        <v>1</v>
      </c>
      <c r="G398" s="1">
        <v>0</v>
      </c>
      <c r="H398" s="1">
        <v>0</v>
      </c>
      <c r="I398" s="1">
        <v>405</v>
      </c>
      <c r="J398" s="1">
        <v>0</v>
      </c>
      <c r="K398" s="1">
        <v>0</v>
      </c>
      <c r="L398" s="1"/>
      <c r="M398" s="1"/>
      <c r="N398" s="1"/>
      <c r="O398" s="1"/>
      <c r="P398" s="1"/>
      <c r="Q398" s="1"/>
      <c r="R398" s="1"/>
      <c r="S398" s="1"/>
      <c r="T398" s="1"/>
    </row>
    <row r="399" spans="1:20" ht="13" x14ac:dyDescent="0.15">
      <c r="A399" s="1" t="s">
        <v>1206</v>
      </c>
      <c r="B399" s="1" t="s">
        <v>1207</v>
      </c>
      <c r="C399" s="4" t="s">
        <v>1208</v>
      </c>
      <c r="D399" s="1" t="s">
        <v>14</v>
      </c>
      <c r="E399" s="1">
        <v>56</v>
      </c>
      <c r="F399" s="1">
        <v>2</v>
      </c>
      <c r="G399" s="1">
        <v>1</v>
      </c>
      <c r="H399" s="1">
        <v>0</v>
      </c>
      <c r="I399" s="1">
        <v>2144</v>
      </c>
      <c r="J399" s="1">
        <v>0</v>
      </c>
      <c r="K399" s="1">
        <v>1</v>
      </c>
      <c r="L399" s="1"/>
      <c r="M399" s="1"/>
      <c r="N399" s="1"/>
      <c r="O399" s="1"/>
      <c r="P399" s="1"/>
      <c r="Q399" s="1"/>
      <c r="R399" s="1"/>
      <c r="S399" s="1"/>
      <c r="T399" s="1"/>
    </row>
    <row r="400" spans="1:20" ht="13" x14ac:dyDescent="0.15">
      <c r="A400" s="1" t="s">
        <v>1209</v>
      </c>
      <c r="B400" s="1" t="s">
        <v>1210</v>
      </c>
      <c r="C400" s="4" t="s">
        <v>1211</v>
      </c>
      <c r="D400" s="1" t="s">
        <v>14</v>
      </c>
      <c r="E400" s="1">
        <v>69</v>
      </c>
      <c r="F400" s="1">
        <v>2</v>
      </c>
      <c r="G400" s="1">
        <v>1</v>
      </c>
      <c r="H400" s="1">
        <v>0</v>
      </c>
      <c r="I400" s="1">
        <v>1347</v>
      </c>
      <c r="J400" s="1">
        <v>0</v>
      </c>
      <c r="K400" s="1">
        <v>0</v>
      </c>
      <c r="L400" s="1"/>
      <c r="M400" s="1"/>
      <c r="N400" s="1"/>
      <c r="O400" s="1"/>
      <c r="P400" s="1"/>
      <c r="Q400" s="1"/>
      <c r="R400" s="1"/>
      <c r="S400" s="1"/>
      <c r="T400" s="1"/>
    </row>
    <row r="401" spans="1:20" ht="13" x14ac:dyDescent="0.15">
      <c r="A401" s="1" t="s">
        <v>1212</v>
      </c>
      <c r="B401" s="1" t="s">
        <v>1213</v>
      </c>
      <c r="C401" s="4" t="s">
        <v>1214</v>
      </c>
      <c r="D401" s="1" t="s">
        <v>14</v>
      </c>
      <c r="E401" s="1">
        <v>69</v>
      </c>
      <c r="F401" s="1">
        <v>2</v>
      </c>
      <c r="G401" s="1">
        <v>0</v>
      </c>
      <c r="H401" s="1">
        <v>0</v>
      </c>
      <c r="I401" s="1">
        <v>681</v>
      </c>
      <c r="J401" s="1">
        <v>0</v>
      </c>
      <c r="K401" s="1">
        <v>1</v>
      </c>
      <c r="L401" s="1"/>
      <c r="M401" s="1"/>
      <c r="N401" s="1"/>
      <c r="O401" s="1"/>
      <c r="P401" s="1"/>
      <c r="Q401" s="1"/>
      <c r="R401" s="1"/>
      <c r="S401" s="1"/>
      <c r="T401" s="1"/>
    </row>
    <row r="402" spans="1:20" ht="13" x14ac:dyDescent="0.15">
      <c r="A402" s="1" t="s">
        <v>1215</v>
      </c>
      <c r="B402" s="1" t="s">
        <v>1216</v>
      </c>
      <c r="C402" s="4" t="s">
        <v>1217</v>
      </c>
      <c r="D402" s="1" t="s">
        <v>14</v>
      </c>
      <c r="E402" s="1">
        <v>72</v>
      </c>
      <c r="F402" s="1">
        <v>2</v>
      </c>
      <c r="G402" s="1">
        <v>1</v>
      </c>
      <c r="H402" s="1">
        <v>0</v>
      </c>
      <c r="I402" s="1">
        <v>384</v>
      </c>
      <c r="J402" s="1">
        <v>0</v>
      </c>
      <c r="K402" s="1">
        <v>1</v>
      </c>
      <c r="L402" s="1"/>
      <c r="M402" s="1"/>
      <c r="N402" s="1"/>
      <c r="O402" s="1"/>
      <c r="P402" s="1"/>
      <c r="Q402" s="1"/>
      <c r="R402" s="1"/>
      <c r="S402" s="1"/>
      <c r="T402" s="1"/>
    </row>
    <row r="403" spans="1:20" ht="13" x14ac:dyDescent="0.15">
      <c r="A403" s="1" t="s">
        <v>1218</v>
      </c>
      <c r="B403" s="1" t="s">
        <v>1219</v>
      </c>
      <c r="C403" s="4" t="s">
        <v>1220</v>
      </c>
      <c r="D403" s="1" t="s">
        <v>14</v>
      </c>
      <c r="E403" s="1">
        <v>44</v>
      </c>
      <c r="F403" s="1">
        <v>1</v>
      </c>
      <c r="G403" s="1">
        <v>1</v>
      </c>
      <c r="H403" s="1">
        <v>0</v>
      </c>
      <c r="I403" s="1">
        <v>643</v>
      </c>
      <c r="J403" s="1">
        <v>1</v>
      </c>
      <c r="K403" s="1">
        <v>1</v>
      </c>
      <c r="L403" s="1"/>
      <c r="M403" s="1"/>
      <c r="N403" s="1"/>
      <c r="O403" s="1"/>
      <c r="P403" s="1"/>
      <c r="Q403" s="1"/>
      <c r="R403" s="1"/>
      <c r="S403" s="1"/>
      <c r="T403" s="1"/>
    </row>
    <row r="404" spans="1:20" ht="13" x14ac:dyDescent="0.15">
      <c r="A404" s="1" t="s">
        <v>1221</v>
      </c>
      <c r="B404" s="1" t="s">
        <v>1222</v>
      </c>
      <c r="C404" s="4" t="s">
        <v>1223</v>
      </c>
      <c r="D404" s="1" t="s">
        <v>14</v>
      </c>
      <c r="E404" s="1">
        <v>59</v>
      </c>
      <c r="F404" s="1">
        <v>2</v>
      </c>
      <c r="G404" s="1">
        <v>1</v>
      </c>
      <c r="H404" s="1">
        <v>0</v>
      </c>
      <c r="I404" s="1">
        <v>711</v>
      </c>
      <c r="J404" s="1">
        <v>1</v>
      </c>
      <c r="K404" s="1">
        <v>0</v>
      </c>
      <c r="L404" s="1"/>
      <c r="M404" s="1"/>
      <c r="N404" s="1"/>
      <c r="O404" s="1"/>
      <c r="P404" s="1"/>
      <c r="Q404" s="1"/>
      <c r="R404" s="1"/>
      <c r="S404" s="1"/>
      <c r="T404" s="1"/>
    </row>
    <row r="405" spans="1:20" ht="13" x14ac:dyDescent="0.15">
      <c r="A405" s="1" t="s">
        <v>1224</v>
      </c>
      <c r="B405" s="1" t="s">
        <v>1225</v>
      </c>
      <c r="C405" s="4" t="s">
        <v>1226</v>
      </c>
      <c r="D405" s="1" t="s">
        <v>14</v>
      </c>
      <c r="E405" s="1">
        <v>45</v>
      </c>
      <c r="F405" s="1">
        <v>1</v>
      </c>
      <c r="G405" s="1">
        <v>1</v>
      </c>
      <c r="H405" s="1">
        <v>0</v>
      </c>
      <c r="I405" s="1">
        <v>319</v>
      </c>
      <c r="J405" s="1">
        <v>0</v>
      </c>
      <c r="K405" s="1">
        <v>0</v>
      </c>
      <c r="L405" s="1"/>
      <c r="M405" s="1"/>
      <c r="N405" s="1"/>
      <c r="O405" s="1"/>
      <c r="P405" s="1"/>
      <c r="Q405" s="1"/>
      <c r="R405" s="1"/>
      <c r="S405" s="1"/>
      <c r="T405" s="1"/>
    </row>
    <row r="406" spans="1:20" ht="13" x14ac:dyDescent="0.15">
      <c r="A406" s="1" t="s">
        <v>1227</v>
      </c>
      <c r="B406" s="1" t="s">
        <v>1228</v>
      </c>
      <c r="C406" s="4" t="s">
        <v>1229</v>
      </c>
      <c r="D406" s="1" t="s">
        <v>14</v>
      </c>
      <c r="E406" s="1">
        <v>54</v>
      </c>
      <c r="F406" s="1">
        <v>1</v>
      </c>
      <c r="G406" s="1">
        <v>0</v>
      </c>
      <c r="H406" s="1">
        <v>0</v>
      </c>
      <c r="I406" s="1">
        <v>292</v>
      </c>
      <c r="J406" s="1">
        <v>0</v>
      </c>
      <c r="K406" s="1">
        <v>0</v>
      </c>
      <c r="L406" s="1"/>
      <c r="M406" s="1"/>
      <c r="N406" s="1"/>
      <c r="O406" s="1"/>
      <c r="P406" s="1"/>
      <c r="Q406" s="1"/>
      <c r="R406" s="1"/>
      <c r="S406" s="1"/>
      <c r="T406" s="1"/>
    </row>
    <row r="407" spans="1:20" ht="13" x14ac:dyDescent="0.15">
      <c r="A407" s="1" t="s">
        <v>1230</v>
      </c>
      <c r="B407" s="1" t="s">
        <v>1231</v>
      </c>
      <c r="C407" s="4" t="s">
        <v>1232</v>
      </c>
      <c r="D407" s="1" t="s">
        <v>14</v>
      </c>
      <c r="E407" s="1">
        <v>66</v>
      </c>
      <c r="F407" s="1">
        <v>1</v>
      </c>
      <c r="G407" s="1">
        <v>0</v>
      </c>
      <c r="H407" s="1">
        <v>0</v>
      </c>
      <c r="I407" s="1">
        <v>363</v>
      </c>
      <c r="J407" s="1">
        <v>1</v>
      </c>
      <c r="K407" s="1">
        <v>1</v>
      </c>
      <c r="L407" s="1"/>
      <c r="M407" s="1"/>
      <c r="N407" s="1"/>
      <c r="O407" s="1"/>
      <c r="P407" s="1"/>
      <c r="Q407" s="1"/>
      <c r="R407" s="1"/>
      <c r="S407" s="1"/>
      <c r="T407" s="1"/>
    </row>
    <row r="408" spans="1:20" ht="13" x14ac:dyDescent="0.15">
      <c r="A408" s="1" t="s">
        <v>1233</v>
      </c>
      <c r="B408" s="1" t="s">
        <v>1234</v>
      </c>
      <c r="C408" s="4" t="s">
        <v>1235</v>
      </c>
      <c r="D408" s="1" t="s">
        <v>14</v>
      </c>
      <c r="E408" s="1">
        <v>71</v>
      </c>
      <c r="F408" s="1">
        <v>2</v>
      </c>
      <c r="G408" s="1">
        <v>1</v>
      </c>
      <c r="H408" s="1">
        <v>0</v>
      </c>
      <c r="I408" s="1">
        <v>396</v>
      </c>
      <c r="J408" s="1">
        <v>1</v>
      </c>
      <c r="K408" s="1">
        <v>1</v>
      </c>
      <c r="L408" s="1"/>
      <c r="M408" s="1"/>
      <c r="N408" s="1"/>
      <c r="O408" s="1"/>
      <c r="P408" s="1"/>
      <c r="Q408" s="1"/>
      <c r="R408" s="1"/>
      <c r="S408" s="1"/>
      <c r="T408" s="1"/>
    </row>
    <row r="409" spans="1:20" ht="13" x14ac:dyDescent="0.15">
      <c r="A409" s="1" t="s">
        <v>1236</v>
      </c>
      <c r="B409" s="1" t="s">
        <v>1237</v>
      </c>
      <c r="C409" s="4" t="s">
        <v>1238</v>
      </c>
      <c r="D409" s="1" t="s">
        <v>14</v>
      </c>
      <c r="E409" s="1">
        <v>71</v>
      </c>
      <c r="F409" s="1">
        <v>1</v>
      </c>
      <c r="G409" s="1">
        <v>0</v>
      </c>
      <c r="H409" s="1">
        <v>0</v>
      </c>
      <c r="I409" s="1">
        <v>618</v>
      </c>
      <c r="J409" s="1">
        <v>0</v>
      </c>
      <c r="K409" s="1">
        <v>0</v>
      </c>
      <c r="L409" s="1"/>
      <c r="M409" s="1"/>
      <c r="N409" s="1"/>
      <c r="O409" s="1"/>
      <c r="P409" s="1"/>
      <c r="Q409" s="1"/>
      <c r="R409" s="1"/>
      <c r="S409" s="1"/>
      <c r="T409" s="1"/>
    </row>
    <row r="410" spans="1:20" ht="13" x14ac:dyDescent="0.15">
      <c r="A410" s="1" t="s">
        <v>1239</v>
      </c>
      <c r="B410" s="1" t="s">
        <v>1240</v>
      </c>
      <c r="C410" s="4" t="s">
        <v>1241</v>
      </c>
      <c r="D410" s="1" t="s">
        <v>14</v>
      </c>
      <c r="E410" s="1">
        <v>69</v>
      </c>
      <c r="F410" s="1">
        <v>1</v>
      </c>
      <c r="G410" s="1">
        <v>0</v>
      </c>
      <c r="H410" s="1">
        <v>0</v>
      </c>
      <c r="I410" s="1">
        <v>677</v>
      </c>
      <c r="J410" s="1">
        <v>0</v>
      </c>
      <c r="K410" s="1">
        <v>0</v>
      </c>
      <c r="L410" s="1"/>
      <c r="M410" s="1"/>
      <c r="N410" s="1"/>
      <c r="O410" s="1"/>
      <c r="P410" s="1"/>
      <c r="Q410" s="1"/>
      <c r="R410" s="1"/>
      <c r="S410" s="1"/>
      <c r="T410" s="1"/>
    </row>
    <row r="411" spans="1:20" ht="13" x14ac:dyDescent="0.15">
      <c r="A411" s="1" t="s">
        <v>1242</v>
      </c>
      <c r="B411" s="1" t="s">
        <v>1243</v>
      </c>
      <c r="C411" s="4" t="s">
        <v>1244</v>
      </c>
      <c r="D411" s="1" t="s">
        <v>14</v>
      </c>
      <c r="E411" s="1">
        <v>59</v>
      </c>
      <c r="F411" s="1">
        <v>2</v>
      </c>
      <c r="G411" s="1">
        <v>0</v>
      </c>
      <c r="H411" s="1">
        <v>0</v>
      </c>
      <c r="I411" s="1">
        <v>561</v>
      </c>
      <c r="J411" s="1">
        <v>0</v>
      </c>
      <c r="K411" s="1">
        <v>1</v>
      </c>
      <c r="L411" s="1"/>
      <c r="M411" s="1"/>
      <c r="N411" s="1"/>
      <c r="O411" s="1"/>
      <c r="P411" s="1"/>
      <c r="Q411" s="1"/>
      <c r="R411" s="1"/>
      <c r="S411" s="1"/>
      <c r="T411" s="1"/>
    </row>
    <row r="412" spans="1:20" ht="13" x14ac:dyDescent="0.15">
      <c r="A412" s="1" t="s">
        <v>1245</v>
      </c>
      <c r="B412" s="1" t="s">
        <v>1246</v>
      </c>
      <c r="C412" s="4" t="s">
        <v>1247</v>
      </c>
      <c r="D412" s="1" t="s">
        <v>14</v>
      </c>
      <c r="E412" s="1">
        <v>68</v>
      </c>
      <c r="F412" s="1">
        <v>1</v>
      </c>
      <c r="G412" s="1">
        <v>0</v>
      </c>
      <c r="H412" s="1">
        <v>0</v>
      </c>
      <c r="I412" s="1">
        <v>19</v>
      </c>
      <c r="J412" s="1">
        <v>1</v>
      </c>
      <c r="K412" s="1">
        <v>1</v>
      </c>
      <c r="L412" s="1"/>
      <c r="M412" s="1"/>
      <c r="N412" s="1"/>
      <c r="O412" s="1"/>
      <c r="P412" s="1"/>
      <c r="Q412" s="1"/>
      <c r="R412" s="1"/>
      <c r="S412" s="1"/>
      <c r="T412" s="1"/>
    </row>
    <row r="413" spans="1:20" ht="13" x14ac:dyDescent="0.15">
      <c r="A413" s="1" t="s">
        <v>1248</v>
      </c>
      <c r="B413" s="1" t="s">
        <v>1249</v>
      </c>
      <c r="C413" s="4" t="s">
        <v>1250</v>
      </c>
      <c r="D413" s="1" t="s">
        <v>14</v>
      </c>
      <c r="E413" s="1">
        <v>46</v>
      </c>
      <c r="F413" s="1">
        <v>2</v>
      </c>
      <c r="G413" s="1">
        <v>1</v>
      </c>
      <c r="H413" s="1">
        <v>0</v>
      </c>
      <c r="I413" s="1">
        <v>743</v>
      </c>
      <c r="J413" s="1">
        <v>0</v>
      </c>
      <c r="K413" s="1">
        <v>1</v>
      </c>
      <c r="L413" s="1"/>
      <c r="M413" s="1"/>
      <c r="N413" s="1"/>
      <c r="O413" s="1"/>
      <c r="P413" s="1"/>
      <c r="Q413" s="1"/>
      <c r="R413" s="1"/>
      <c r="S413" s="1"/>
      <c r="T413" s="1"/>
    </row>
    <row r="414" spans="1:20" ht="13" x14ac:dyDescent="0.15">
      <c r="A414" s="1" t="s">
        <v>1251</v>
      </c>
      <c r="B414" s="1" t="s">
        <v>1252</v>
      </c>
      <c r="C414" s="4" t="s">
        <v>1253</v>
      </c>
      <c r="D414" s="1" t="s">
        <v>14</v>
      </c>
      <c r="E414" s="1">
        <v>66</v>
      </c>
      <c r="F414" s="1">
        <v>2</v>
      </c>
      <c r="G414" s="1">
        <v>1</v>
      </c>
      <c r="H414" s="1">
        <v>0</v>
      </c>
      <c r="I414" s="1">
        <v>1248</v>
      </c>
      <c r="J414" s="1">
        <v>0</v>
      </c>
      <c r="K414" s="1">
        <v>1</v>
      </c>
      <c r="L414" s="1"/>
      <c r="M414" s="1"/>
      <c r="N414" s="1"/>
      <c r="O414" s="1"/>
      <c r="P414" s="1"/>
      <c r="Q414" s="1"/>
      <c r="R414" s="1"/>
      <c r="S414" s="1"/>
      <c r="T414" s="1"/>
    </row>
    <row r="415" spans="1:20" ht="13" x14ac:dyDescent="0.15">
      <c r="A415" s="1" t="s">
        <v>1254</v>
      </c>
      <c r="B415" s="1" t="s">
        <v>1255</v>
      </c>
      <c r="C415" s="4" t="s">
        <v>1256</v>
      </c>
      <c r="D415" s="1" t="s">
        <v>14</v>
      </c>
      <c r="E415" s="1">
        <v>47</v>
      </c>
      <c r="F415" s="1">
        <v>1</v>
      </c>
      <c r="G415" s="1">
        <v>0</v>
      </c>
      <c r="H415" s="1">
        <v>0</v>
      </c>
      <c r="I415" s="1">
        <v>740</v>
      </c>
      <c r="J415" s="1">
        <v>0</v>
      </c>
      <c r="K415" s="1">
        <v>0</v>
      </c>
      <c r="L415" s="1"/>
      <c r="M415" s="1"/>
      <c r="N415" s="1"/>
      <c r="O415" s="1"/>
      <c r="P415" s="1"/>
      <c r="Q415" s="1"/>
      <c r="R415" s="1"/>
      <c r="S415" s="1"/>
      <c r="T415" s="1"/>
    </row>
    <row r="416" spans="1:20" ht="13" x14ac:dyDescent="0.15">
      <c r="A416" s="1" t="s">
        <v>1257</v>
      </c>
      <c r="B416" s="1" t="s">
        <v>1258</v>
      </c>
      <c r="C416" s="4" t="s">
        <v>1259</v>
      </c>
      <c r="D416" s="1" t="s">
        <v>14</v>
      </c>
      <c r="E416" s="1">
        <v>62</v>
      </c>
      <c r="F416" s="1">
        <v>1</v>
      </c>
      <c r="G416" s="1">
        <v>0</v>
      </c>
      <c r="H416" s="1">
        <v>0</v>
      </c>
      <c r="I416" s="1">
        <v>773</v>
      </c>
      <c r="J416" s="1">
        <v>0</v>
      </c>
      <c r="K416" s="1">
        <v>0</v>
      </c>
      <c r="L416" s="1"/>
      <c r="M416" s="1"/>
      <c r="N416" s="1"/>
      <c r="O416" s="1"/>
      <c r="P416" s="1"/>
      <c r="Q416" s="1"/>
      <c r="R416" s="1"/>
      <c r="S416" s="1"/>
      <c r="T416" s="1"/>
    </row>
    <row r="417" spans="1:20" ht="13" x14ac:dyDescent="0.15">
      <c r="A417" s="1" t="s">
        <v>1260</v>
      </c>
      <c r="B417" s="1" t="s">
        <v>1261</v>
      </c>
      <c r="C417" s="4" t="s">
        <v>1262</v>
      </c>
      <c r="D417" s="1" t="s">
        <v>14</v>
      </c>
      <c r="E417" s="1">
        <v>48</v>
      </c>
      <c r="F417" s="1">
        <v>1</v>
      </c>
      <c r="G417" s="1">
        <v>0</v>
      </c>
      <c r="H417" s="1">
        <v>0</v>
      </c>
      <c r="I417" s="1">
        <v>660</v>
      </c>
      <c r="J417" s="1">
        <v>0</v>
      </c>
      <c r="K417" s="1">
        <v>1</v>
      </c>
      <c r="L417" s="1"/>
      <c r="M417" s="1"/>
      <c r="N417" s="1"/>
      <c r="O417" s="1"/>
      <c r="P417" s="1"/>
      <c r="Q417" s="1"/>
      <c r="R417" s="1"/>
      <c r="S417" s="1"/>
      <c r="T417" s="1"/>
    </row>
    <row r="418" spans="1:20" ht="13" x14ac:dyDescent="0.15">
      <c r="A418" s="1" t="s">
        <v>1263</v>
      </c>
      <c r="B418" s="1" t="s">
        <v>1264</v>
      </c>
      <c r="C418" s="4" t="s">
        <v>1265</v>
      </c>
      <c r="D418" s="1" t="s">
        <v>14</v>
      </c>
      <c r="E418" s="1">
        <v>76</v>
      </c>
      <c r="F418" s="1">
        <v>2</v>
      </c>
      <c r="G418" s="1">
        <v>1</v>
      </c>
      <c r="H418" s="1">
        <v>0</v>
      </c>
      <c r="I418" s="1">
        <v>461</v>
      </c>
      <c r="J418" s="1">
        <v>1</v>
      </c>
      <c r="K418" s="1">
        <v>1</v>
      </c>
      <c r="L418" s="1"/>
      <c r="M418" s="1"/>
      <c r="N418" s="1"/>
      <c r="O418" s="1"/>
      <c r="P418" s="1"/>
      <c r="Q418" s="1"/>
      <c r="R418" s="1"/>
      <c r="S418" s="1"/>
      <c r="T418" s="1"/>
    </row>
    <row r="419" spans="1:20" ht="13" x14ac:dyDescent="0.15">
      <c r="A419" s="1" t="s">
        <v>1266</v>
      </c>
      <c r="B419" s="1" t="s">
        <v>1267</v>
      </c>
      <c r="C419" s="4" t="s">
        <v>1268</v>
      </c>
      <c r="D419" s="1" t="s">
        <v>14</v>
      </c>
      <c r="E419" s="1">
        <v>68</v>
      </c>
      <c r="F419" s="1">
        <v>2</v>
      </c>
      <c r="G419" s="1">
        <v>1</v>
      </c>
      <c r="H419" s="1">
        <v>0</v>
      </c>
      <c r="I419" s="1">
        <v>86</v>
      </c>
      <c r="J419" s="1">
        <v>1</v>
      </c>
      <c r="K419" s="1">
        <v>0</v>
      </c>
      <c r="L419" s="1"/>
      <c r="M419" s="1"/>
      <c r="N419" s="1"/>
      <c r="O419" s="1"/>
      <c r="P419" s="1"/>
      <c r="Q419" s="1"/>
      <c r="R419" s="1"/>
      <c r="S419" s="1"/>
      <c r="T419" s="1"/>
    </row>
    <row r="420" spans="1:20" ht="13" x14ac:dyDescent="0.15">
      <c r="A420" s="1" t="s">
        <v>1269</v>
      </c>
      <c r="B420" s="1" t="s">
        <v>1270</v>
      </c>
      <c r="C420" s="4" t="s">
        <v>1271</v>
      </c>
      <c r="D420" s="1" t="s">
        <v>14</v>
      </c>
      <c r="E420" s="1">
        <v>60</v>
      </c>
      <c r="F420" s="1">
        <v>1</v>
      </c>
      <c r="G420" s="1">
        <v>1</v>
      </c>
      <c r="H420" s="1">
        <v>0</v>
      </c>
      <c r="I420" s="1">
        <v>388</v>
      </c>
      <c r="J420" s="1">
        <v>0</v>
      </c>
      <c r="K420" s="1">
        <v>0</v>
      </c>
      <c r="L420" s="1"/>
      <c r="M420" s="1"/>
      <c r="N420" s="1"/>
      <c r="O420" s="1"/>
      <c r="P420" s="1"/>
      <c r="Q420" s="1"/>
      <c r="R420" s="1"/>
      <c r="S420" s="1"/>
      <c r="T420" s="1"/>
    </row>
    <row r="421" spans="1:20" ht="13" x14ac:dyDescent="0.15">
      <c r="A421" s="1" t="s">
        <v>1272</v>
      </c>
      <c r="B421" s="1" t="s">
        <v>1273</v>
      </c>
      <c r="C421" s="4" t="s">
        <v>1274</v>
      </c>
      <c r="D421" s="1" t="s">
        <v>14</v>
      </c>
      <c r="E421" s="1">
        <v>57</v>
      </c>
      <c r="F421" s="1">
        <v>1</v>
      </c>
      <c r="G421" s="1">
        <v>1</v>
      </c>
      <c r="H421" s="1">
        <v>0</v>
      </c>
      <c r="I421" s="1">
        <v>565</v>
      </c>
      <c r="J421" s="1">
        <v>0</v>
      </c>
      <c r="K421" s="1">
        <v>0</v>
      </c>
      <c r="L421" s="1"/>
      <c r="M421" s="1"/>
      <c r="N421" s="1"/>
      <c r="O421" s="1"/>
      <c r="P421" s="1"/>
      <c r="Q421" s="1"/>
      <c r="R421" s="1"/>
      <c r="S421" s="1"/>
      <c r="T421" s="1"/>
    </row>
    <row r="422" spans="1:20" ht="13" x14ac:dyDescent="0.15">
      <c r="A422" s="1" t="s">
        <v>1275</v>
      </c>
      <c r="B422" s="1" t="s">
        <v>1276</v>
      </c>
      <c r="C422" s="4" t="s">
        <v>1277</v>
      </c>
      <c r="D422" s="1" t="s">
        <v>14</v>
      </c>
      <c r="E422" s="1">
        <v>57</v>
      </c>
      <c r="F422" s="1">
        <v>2</v>
      </c>
      <c r="G422" s="1">
        <v>0</v>
      </c>
      <c r="H422" s="1">
        <v>0</v>
      </c>
      <c r="I422" s="1">
        <v>509</v>
      </c>
      <c r="J422" s="1">
        <v>1</v>
      </c>
      <c r="K422" s="1">
        <v>1</v>
      </c>
      <c r="L422" s="1"/>
      <c r="M422" s="1"/>
      <c r="N422" s="1"/>
      <c r="O422" s="1"/>
      <c r="P422" s="1"/>
      <c r="Q422" s="1"/>
      <c r="R422" s="1"/>
      <c r="S422" s="1"/>
      <c r="T422" s="1"/>
    </row>
    <row r="423" spans="1:20" ht="13" x14ac:dyDescent="0.15">
      <c r="A423" s="1" t="s">
        <v>1278</v>
      </c>
      <c r="B423" s="1" t="s">
        <v>1279</v>
      </c>
      <c r="C423" s="4" t="s">
        <v>1280</v>
      </c>
      <c r="D423" s="1" t="s">
        <v>14</v>
      </c>
      <c r="E423" s="1">
        <v>60</v>
      </c>
      <c r="F423" s="1">
        <v>1</v>
      </c>
      <c r="G423" s="1">
        <v>0</v>
      </c>
      <c r="H423" s="1">
        <v>0</v>
      </c>
      <c r="I423" s="1">
        <v>534</v>
      </c>
      <c r="J423" s="1">
        <v>0</v>
      </c>
      <c r="K423" s="1">
        <v>0</v>
      </c>
      <c r="L423" s="1"/>
      <c r="M423" s="1"/>
      <c r="N423" s="1"/>
      <c r="O423" s="1"/>
      <c r="P423" s="1"/>
      <c r="Q423" s="1"/>
      <c r="R423" s="1"/>
      <c r="S423" s="1"/>
      <c r="T423" s="1"/>
    </row>
    <row r="424" spans="1:20" ht="13" x14ac:dyDescent="0.15">
      <c r="A424" s="1" t="s">
        <v>1281</v>
      </c>
      <c r="B424" s="1" t="s">
        <v>1282</v>
      </c>
      <c r="C424" s="4" t="s">
        <v>1283</v>
      </c>
      <c r="D424" s="1" t="s">
        <v>14</v>
      </c>
      <c r="E424" s="1">
        <v>59</v>
      </c>
      <c r="F424" s="1">
        <v>2</v>
      </c>
      <c r="G424" s="1">
        <v>1</v>
      </c>
      <c r="H424" s="1">
        <v>0</v>
      </c>
      <c r="I424" s="1">
        <v>539</v>
      </c>
      <c r="J424" s="1">
        <v>0</v>
      </c>
      <c r="K424" s="1">
        <v>1</v>
      </c>
      <c r="L424" s="1"/>
      <c r="M424" s="1"/>
      <c r="N424" s="1"/>
      <c r="O424" s="1"/>
      <c r="P424" s="1"/>
      <c r="Q424" s="1"/>
      <c r="R424" s="1"/>
      <c r="S424" s="1"/>
      <c r="T424" s="1"/>
    </row>
    <row r="425" spans="1:20" ht="13" x14ac:dyDescent="0.15">
      <c r="A425" s="1" t="s">
        <v>1284</v>
      </c>
      <c r="B425" s="1" t="s">
        <v>1285</v>
      </c>
      <c r="C425" s="4" t="s">
        <v>1286</v>
      </c>
      <c r="D425" s="1" t="s">
        <v>14</v>
      </c>
      <c r="E425" s="1">
        <v>60</v>
      </c>
      <c r="F425" s="1">
        <v>1</v>
      </c>
      <c r="G425" s="1">
        <v>0</v>
      </c>
      <c r="H425" s="1">
        <v>0</v>
      </c>
      <c r="I425" s="1">
        <v>244</v>
      </c>
      <c r="J425" s="1">
        <v>1</v>
      </c>
      <c r="K425" s="1">
        <v>0</v>
      </c>
      <c r="L425" s="1"/>
      <c r="M425" s="1"/>
      <c r="N425" s="1"/>
      <c r="O425" s="1"/>
      <c r="P425" s="1"/>
      <c r="Q425" s="1"/>
      <c r="R425" s="1"/>
      <c r="S425" s="1"/>
      <c r="T425" s="1"/>
    </row>
    <row r="426" spans="1:20" ht="13" x14ac:dyDescent="0.15">
      <c r="A426" s="1" t="s">
        <v>1287</v>
      </c>
      <c r="B426" s="1" t="s">
        <v>1288</v>
      </c>
      <c r="C426" s="4" t="s">
        <v>1289</v>
      </c>
      <c r="D426" s="1" t="s">
        <v>14</v>
      </c>
      <c r="E426" s="1">
        <v>60</v>
      </c>
      <c r="F426" s="1">
        <v>1</v>
      </c>
      <c r="G426" s="1">
        <v>1</v>
      </c>
      <c r="H426" s="1">
        <v>0</v>
      </c>
      <c r="I426" s="1">
        <v>319</v>
      </c>
      <c r="J426" s="1">
        <v>1</v>
      </c>
      <c r="K426" s="1">
        <v>1</v>
      </c>
      <c r="L426" s="1"/>
      <c r="M426" s="1"/>
      <c r="N426" s="1"/>
      <c r="O426" s="1"/>
      <c r="P426" s="1"/>
      <c r="Q426" s="1"/>
      <c r="R426" s="1"/>
      <c r="S426" s="1"/>
      <c r="T426" s="1"/>
    </row>
    <row r="427" spans="1:20" ht="13" x14ac:dyDescent="0.15">
      <c r="A427" s="1" t="s">
        <v>1290</v>
      </c>
      <c r="B427" s="1" t="s">
        <v>1291</v>
      </c>
      <c r="C427" s="4" t="s">
        <v>1292</v>
      </c>
      <c r="D427" s="1" t="s">
        <v>14</v>
      </c>
      <c r="E427" s="1">
        <v>43</v>
      </c>
      <c r="F427" s="1">
        <v>1</v>
      </c>
      <c r="G427" s="1">
        <v>0</v>
      </c>
      <c r="H427" s="1">
        <v>0</v>
      </c>
      <c r="I427" s="1">
        <v>213</v>
      </c>
      <c r="J427" s="1">
        <v>1</v>
      </c>
      <c r="K427" s="1">
        <v>1</v>
      </c>
      <c r="L427" s="1"/>
      <c r="M427" s="1"/>
      <c r="N427" s="1"/>
      <c r="O427" s="1"/>
      <c r="P427" s="1"/>
      <c r="Q427" s="1"/>
      <c r="R427" s="1"/>
      <c r="S427" s="1"/>
      <c r="T427" s="1"/>
    </row>
    <row r="428" spans="1:20" ht="13" x14ac:dyDescent="0.15">
      <c r="A428" s="1" t="s">
        <v>1293</v>
      </c>
      <c r="B428" s="1" t="s">
        <v>1294</v>
      </c>
      <c r="C428" s="4" t="s">
        <v>1295</v>
      </c>
      <c r="D428" s="1" t="s">
        <v>14</v>
      </c>
      <c r="E428" s="1">
        <v>31</v>
      </c>
      <c r="F428" s="1">
        <v>2</v>
      </c>
      <c r="G428" s="1">
        <v>0</v>
      </c>
      <c r="H428" s="1">
        <v>0</v>
      </c>
      <c r="I428" s="1">
        <v>510</v>
      </c>
      <c r="J428" s="1">
        <v>1</v>
      </c>
      <c r="K428" s="1">
        <v>1</v>
      </c>
      <c r="L428" s="1"/>
      <c r="M428" s="1"/>
      <c r="N428" s="1"/>
      <c r="O428" s="1"/>
      <c r="P428" s="1"/>
      <c r="Q428" s="1"/>
      <c r="R428" s="1"/>
      <c r="S428" s="1"/>
      <c r="T428" s="1"/>
    </row>
    <row r="429" spans="1:20" ht="13" x14ac:dyDescent="0.15">
      <c r="A429" s="1" t="s">
        <v>1296</v>
      </c>
      <c r="B429" s="1" t="s">
        <v>1297</v>
      </c>
      <c r="C429" s="4" t="s">
        <v>1298</v>
      </c>
      <c r="D429" s="1" t="s">
        <v>14</v>
      </c>
      <c r="E429" s="1">
        <v>69</v>
      </c>
      <c r="F429" s="1">
        <v>2</v>
      </c>
      <c r="G429" s="1">
        <v>0</v>
      </c>
      <c r="H429" s="1">
        <v>0</v>
      </c>
      <c r="I429" s="1">
        <v>1037</v>
      </c>
      <c r="J429" s="1">
        <v>0</v>
      </c>
      <c r="K429" s="1">
        <v>0</v>
      </c>
      <c r="L429" s="1"/>
      <c r="M429" s="1"/>
      <c r="N429" s="1"/>
      <c r="O429" s="1"/>
      <c r="P429" s="1"/>
      <c r="Q429" s="1"/>
      <c r="R429" s="1"/>
      <c r="S429" s="1"/>
      <c r="T429" s="1"/>
    </row>
    <row r="430" spans="1:20" ht="13" x14ac:dyDescent="0.15">
      <c r="A430" s="1" t="s">
        <v>1299</v>
      </c>
      <c r="B430" s="1" t="s">
        <v>1300</v>
      </c>
      <c r="C430" s="4" t="s">
        <v>1301</v>
      </c>
      <c r="D430" s="1" t="s">
        <v>14</v>
      </c>
      <c r="E430" s="1">
        <v>71</v>
      </c>
      <c r="F430" s="1">
        <v>1</v>
      </c>
      <c r="G430" s="1">
        <v>1</v>
      </c>
      <c r="H430" s="1">
        <v>0</v>
      </c>
      <c r="I430" s="1">
        <v>349</v>
      </c>
      <c r="J430" s="1">
        <v>1</v>
      </c>
      <c r="K430" s="1">
        <v>0</v>
      </c>
      <c r="L430" s="1"/>
      <c r="M430" s="1"/>
      <c r="N430" s="1"/>
      <c r="O430" s="1"/>
      <c r="P430" s="1"/>
      <c r="Q430" s="1"/>
      <c r="R430" s="1"/>
      <c r="S430" s="1"/>
      <c r="T430" s="1"/>
    </row>
    <row r="431" spans="1:20" ht="13" x14ac:dyDescent="0.15">
      <c r="A431" s="1" t="s">
        <v>1302</v>
      </c>
      <c r="B431" s="1" t="s">
        <v>1303</v>
      </c>
      <c r="C431" s="4" t="s">
        <v>1304</v>
      </c>
      <c r="D431" s="1" t="s">
        <v>14</v>
      </c>
      <c r="E431" s="1">
        <v>65</v>
      </c>
      <c r="F431" s="1">
        <v>1</v>
      </c>
      <c r="G431" s="1">
        <v>1</v>
      </c>
      <c r="H431" s="1">
        <v>0</v>
      </c>
      <c r="I431" s="1">
        <v>205</v>
      </c>
      <c r="J431" s="1">
        <v>0</v>
      </c>
      <c r="K431" s="1">
        <v>1</v>
      </c>
      <c r="L431" s="1"/>
      <c r="M431" s="1"/>
      <c r="N431" s="1"/>
      <c r="O431" s="1"/>
      <c r="P431" s="1"/>
      <c r="Q431" s="1"/>
      <c r="R431" s="1"/>
      <c r="S431" s="1"/>
      <c r="T431" s="1"/>
    </row>
    <row r="432" spans="1:20" ht="13" x14ac:dyDescent="0.15">
      <c r="A432" s="1" t="s">
        <v>1305</v>
      </c>
      <c r="B432" s="1" t="s">
        <v>1306</v>
      </c>
      <c r="C432" s="4" t="s">
        <v>1307</v>
      </c>
      <c r="D432" s="1" t="s">
        <v>14</v>
      </c>
      <c r="E432" s="1">
        <v>58</v>
      </c>
      <c r="F432" s="1">
        <v>2</v>
      </c>
      <c r="G432" s="1">
        <v>0</v>
      </c>
      <c r="H432" s="1">
        <v>0</v>
      </c>
      <c r="I432" s="1">
        <v>421</v>
      </c>
      <c r="J432" s="1">
        <v>0</v>
      </c>
      <c r="K432" s="1">
        <v>1</v>
      </c>
      <c r="L432" s="1"/>
      <c r="M432" s="1"/>
      <c r="N432" s="1"/>
      <c r="O432" s="1"/>
      <c r="P432" s="1"/>
      <c r="Q432" s="1"/>
      <c r="R432" s="1"/>
      <c r="S432" s="1"/>
      <c r="T432" s="1"/>
    </row>
    <row r="433" spans="1:20" ht="13" x14ac:dyDescent="0.15">
      <c r="A433" s="1" t="s">
        <v>1308</v>
      </c>
      <c r="B433" s="1" t="s">
        <v>1309</v>
      </c>
      <c r="C433" s="4" t="s">
        <v>1310</v>
      </c>
      <c r="D433" s="1" t="s">
        <v>14</v>
      </c>
      <c r="E433" s="1">
        <v>52</v>
      </c>
      <c r="F433" s="1">
        <v>1</v>
      </c>
      <c r="G433" s="1">
        <v>1</v>
      </c>
      <c r="H433" s="1">
        <v>0</v>
      </c>
      <c r="I433" s="1">
        <v>169</v>
      </c>
      <c r="J433" s="1">
        <v>0</v>
      </c>
      <c r="K433" s="1">
        <v>1</v>
      </c>
      <c r="L433" s="1"/>
      <c r="M433" s="1"/>
      <c r="N433" s="1"/>
      <c r="O433" s="1"/>
      <c r="P433" s="1"/>
      <c r="Q433" s="1"/>
      <c r="R433" s="1"/>
      <c r="S433" s="1"/>
      <c r="T433" s="1"/>
    </row>
    <row r="434" spans="1:20" ht="13" x14ac:dyDescent="0.15">
      <c r="A434" s="1" t="s">
        <v>1311</v>
      </c>
      <c r="B434" s="1" t="s">
        <v>1312</v>
      </c>
      <c r="C434" s="4" t="s">
        <v>1313</v>
      </c>
      <c r="D434" s="1" t="s">
        <v>14</v>
      </c>
      <c r="E434" s="1">
        <v>47</v>
      </c>
      <c r="F434" s="1">
        <v>1</v>
      </c>
      <c r="G434" s="1">
        <v>0</v>
      </c>
      <c r="H434" s="1">
        <v>0</v>
      </c>
      <c r="I434" s="1">
        <v>239</v>
      </c>
      <c r="J434" s="1">
        <v>1</v>
      </c>
      <c r="K434" s="1">
        <v>1</v>
      </c>
      <c r="L434" s="1"/>
      <c r="M434" s="1"/>
      <c r="N434" s="1"/>
      <c r="O434" s="1"/>
      <c r="P434" s="1"/>
      <c r="Q434" s="1"/>
      <c r="R434" s="1"/>
      <c r="S434" s="1"/>
      <c r="T434" s="1"/>
    </row>
    <row r="435" spans="1:20" ht="13" x14ac:dyDescent="0.15">
      <c r="A435" s="1" t="s">
        <v>1314</v>
      </c>
      <c r="B435" s="1" t="s">
        <v>1315</v>
      </c>
      <c r="C435" s="4" t="s">
        <v>1316</v>
      </c>
      <c r="D435" s="1" t="s">
        <v>14</v>
      </c>
      <c r="E435" s="1">
        <v>74</v>
      </c>
      <c r="F435" s="1">
        <v>1</v>
      </c>
      <c r="G435" s="1">
        <v>1</v>
      </c>
      <c r="H435" s="1">
        <v>0</v>
      </c>
      <c r="I435" s="1">
        <v>174</v>
      </c>
      <c r="J435" s="1">
        <v>0</v>
      </c>
      <c r="K435" s="1">
        <v>1</v>
      </c>
      <c r="L435" s="1"/>
      <c r="M435" s="1"/>
      <c r="N435" s="1"/>
      <c r="O435" s="1"/>
      <c r="P435" s="1"/>
      <c r="Q435" s="1"/>
      <c r="R435" s="1"/>
      <c r="S435" s="1"/>
      <c r="T435" s="1"/>
    </row>
    <row r="436" spans="1:20" ht="13" x14ac:dyDescent="0.15">
      <c r="A436" s="1" t="s">
        <v>1317</v>
      </c>
      <c r="B436" s="1" t="s">
        <v>1318</v>
      </c>
      <c r="C436" s="4" t="s">
        <v>1319</v>
      </c>
      <c r="D436" s="1" t="s">
        <v>14</v>
      </c>
      <c r="E436" s="1">
        <v>77</v>
      </c>
      <c r="F436" s="1">
        <v>2</v>
      </c>
      <c r="G436" s="1">
        <v>0</v>
      </c>
      <c r="H436" s="1">
        <v>0</v>
      </c>
      <c r="I436" s="1">
        <v>351</v>
      </c>
      <c r="J436" s="1">
        <v>0</v>
      </c>
      <c r="K436" s="1">
        <v>0</v>
      </c>
      <c r="L436" s="1"/>
      <c r="M436" s="1"/>
      <c r="N436" s="1"/>
      <c r="O436" s="1"/>
      <c r="P436" s="1"/>
      <c r="Q436" s="1"/>
      <c r="R436" s="1"/>
      <c r="S436" s="1"/>
      <c r="T436" s="1"/>
    </row>
    <row r="437" spans="1:20" ht="13" x14ac:dyDescent="0.15">
      <c r="A437" s="1" t="s">
        <v>1320</v>
      </c>
      <c r="B437" s="1" t="s">
        <v>1321</v>
      </c>
      <c r="C437" s="4" t="s">
        <v>1322</v>
      </c>
      <c r="D437" s="1" t="s">
        <v>14</v>
      </c>
      <c r="E437" s="1">
        <v>43</v>
      </c>
      <c r="F437" s="1">
        <v>1</v>
      </c>
      <c r="G437" s="1">
        <v>1</v>
      </c>
      <c r="H437" s="1">
        <v>1</v>
      </c>
      <c r="I437" s="1">
        <v>407</v>
      </c>
      <c r="J437" s="1">
        <v>0</v>
      </c>
      <c r="K437" s="1">
        <v>0</v>
      </c>
      <c r="L437" s="1"/>
      <c r="M437" s="1"/>
      <c r="N437" s="1"/>
      <c r="O437" s="1"/>
      <c r="P437" s="1"/>
      <c r="Q437" s="1"/>
      <c r="R437" s="1"/>
      <c r="S437" s="1"/>
      <c r="T437" s="1"/>
    </row>
    <row r="438" spans="1:20" ht="13" x14ac:dyDescent="0.15">
      <c r="A438" s="1" t="s">
        <v>1323</v>
      </c>
      <c r="B438" s="1" t="s">
        <v>1324</v>
      </c>
      <c r="C438" s="4" t="s">
        <v>1325</v>
      </c>
      <c r="D438" s="1" t="s">
        <v>14</v>
      </c>
      <c r="E438" s="1">
        <v>54</v>
      </c>
      <c r="F438" s="1">
        <v>2</v>
      </c>
      <c r="G438" s="1">
        <v>1</v>
      </c>
      <c r="H438" s="1">
        <v>0</v>
      </c>
      <c r="I438" s="1">
        <v>571</v>
      </c>
      <c r="J438" s="1">
        <v>0</v>
      </c>
      <c r="K438" s="1">
        <v>0</v>
      </c>
      <c r="L438" s="1"/>
      <c r="M438" s="1"/>
      <c r="N438" s="1"/>
      <c r="O438" s="1"/>
      <c r="P438" s="1"/>
      <c r="Q438" s="1"/>
      <c r="R438" s="1"/>
      <c r="S438" s="1"/>
      <c r="T438" s="1"/>
    </row>
    <row r="439" spans="1:20" ht="13" x14ac:dyDescent="0.15">
      <c r="A439" s="1" t="s">
        <v>1326</v>
      </c>
      <c r="B439" s="1" t="s">
        <v>1327</v>
      </c>
      <c r="C439" s="4" t="s">
        <v>1328</v>
      </c>
      <c r="D439" s="1" t="s">
        <v>14</v>
      </c>
      <c r="E439" s="1">
        <v>56</v>
      </c>
      <c r="F439" s="1">
        <v>2</v>
      </c>
      <c r="G439" s="1">
        <v>1</v>
      </c>
      <c r="H439" s="1">
        <v>0</v>
      </c>
      <c r="I439" s="1">
        <v>248</v>
      </c>
      <c r="J439" s="1">
        <v>1</v>
      </c>
      <c r="K439" s="1">
        <v>1</v>
      </c>
      <c r="L439" s="1"/>
      <c r="M439" s="1"/>
      <c r="N439" s="1"/>
      <c r="O439" s="1"/>
      <c r="P439" s="1"/>
      <c r="Q439" s="1"/>
      <c r="R439" s="1"/>
      <c r="S439" s="1"/>
      <c r="T439" s="1"/>
    </row>
    <row r="440" spans="1:20" ht="13" x14ac:dyDescent="0.15">
      <c r="A440" s="1" t="s">
        <v>1329</v>
      </c>
      <c r="B440" s="1" t="s">
        <v>1330</v>
      </c>
      <c r="C440" s="4" t="s">
        <v>1331</v>
      </c>
      <c r="D440" s="1" t="s">
        <v>14</v>
      </c>
      <c r="E440" s="1">
        <v>64</v>
      </c>
      <c r="F440" s="1">
        <v>1</v>
      </c>
      <c r="G440" s="1">
        <v>0</v>
      </c>
      <c r="H440" s="1">
        <v>0</v>
      </c>
      <c r="I440" s="1">
        <v>219</v>
      </c>
      <c r="J440" s="1">
        <v>1</v>
      </c>
      <c r="K440" s="1">
        <v>1</v>
      </c>
      <c r="L440" s="1"/>
      <c r="M440" s="1"/>
      <c r="N440" s="1"/>
      <c r="O440" s="1"/>
      <c r="P440" s="1"/>
      <c r="Q440" s="1"/>
      <c r="R440" s="1"/>
      <c r="S440" s="1"/>
      <c r="T440" s="1"/>
    </row>
    <row r="441" spans="1:20" ht="13" x14ac:dyDescent="0.15">
      <c r="A441" s="1" t="s">
        <v>1332</v>
      </c>
      <c r="B441" s="1" t="s">
        <v>1333</v>
      </c>
      <c r="C441" s="4" t="s">
        <v>1334</v>
      </c>
      <c r="D441" s="1" t="s">
        <v>14</v>
      </c>
      <c r="E441" s="1">
        <v>44</v>
      </c>
      <c r="F441" s="1">
        <v>1</v>
      </c>
      <c r="G441" s="1">
        <v>1</v>
      </c>
      <c r="H441" s="1">
        <v>0</v>
      </c>
      <c r="I441" s="1">
        <v>616</v>
      </c>
      <c r="J441" s="1">
        <v>0</v>
      </c>
      <c r="K441" s="1">
        <v>0</v>
      </c>
      <c r="L441" s="1"/>
      <c r="M441" s="1"/>
      <c r="N441" s="1"/>
      <c r="O441" s="1"/>
      <c r="P441" s="1"/>
      <c r="Q441" s="1"/>
      <c r="R441" s="1"/>
      <c r="S441" s="1"/>
      <c r="T441" s="1"/>
    </row>
    <row r="442" spans="1:20" ht="13" x14ac:dyDescent="0.15">
      <c r="A442" s="1" t="s">
        <v>1335</v>
      </c>
      <c r="B442" s="1" t="s">
        <v>1336</v>
      </c>
      <c r="C442" s="4" t="s">
        <v>1337</v>
      </c>
      <c r="D442" s="1" t="s">
        <v>14</v>
      </c>
      <c r="E442" s="1">
        <v>56</v>
      </c>
      <c r="F442" s="1">
        <v>2</v>
      </c>
      <c r="G442" s="1">
        <v>1</v>
      </c>
      <c r="H442" s="1">
        <v>0</v>
      </c>
      <c r="I442" s="1">
        <v>762</v>
      </c>
      <c r="J442" s="1">
        <v>0</v>
      </c>
      <c r="K442" s="1">
        <v>0</v>
      </c>
      <c r="L442" s="1"/>
      <c r="M442" s="1"/>
      <c r="N442" s="1"/>
      <c r="O442" s="1"/>
      <c r="P442" s="1"/>
      <c r="Q442" s="1"/>
      <c r="R442" s="1"/>
      <c r="S442" s="1"/>
      <c r="T442" s="1"/>
    </row>
    <row r="443" spans="1:20" ht="13" x14ac:dyDescent="0.15">
      <c r="A443" s="1" t="s">
        <v>1338</v>
      </c>
      <c r="B443" s="1" t="s">
        <v>1339</v>
      </c>
      <c r="C443" s="4" t="s">
        <v>1340</v>
      </c>
      <c r="D443" s="1" t="s">
        <v>14</v>
      </c>
      <c r="E443" s="1">
        <v>62</v>
      </c>
      <c r="F443" s="1">
        <v>2</v>
      </c>
      <c r="G443" s="1">
        <v>0</v>
      </c>
      <c r="H443" s="1">
        <v>0</v>
      </c>
      <c r="I443" s="1">
        <v>386</v>
      </c>
      <c r="J443" s="1">
        <v>0</v>
      </c>
      <c r="K443" s="1">
        <v>1</v>
      </c>
      <c r="L443" s="1"/>
      <c r="M443" s="1"/>
      <c r="N443" s="1"/>
      <c r="O443" s="1"/>
      <c r="P443" s="1"/>
      <c r="Q443" s="1"/>
      <c r="R443" s="1"/>
      <c r="S443" s="1"/>
      <c r="T443" s="1"/>
    </row>
    <row r="444" spans="1:20" ht="13" x14ac:dyDescent="0.15">
      <c r="A444" s="1" t="s">
        <v>1341</v>
      </c>
      <c r="B444" s="1" t="s">
        <v>1342</v>
      </c>
      <c r="C444" s="5" t="s">
        <v>1343</v>
      </c>
      <c r="D444" s="1" t="s">
        <v>304</v>
      </c>
      <c r="E444" s="1">
        <v>56.25</v>
      </c>
      <c r="F444" s="1">
        <v>2</v>
      </c>
      <c r="G444" s="1">
        <v>0</v>
      </c>
      <c r="H444" s="1">
        <v>0</v>
      </c>
      <c r="I444" s="1">
        <v>397</v>
      </c>
      <c r="J444" s="1">
        <v>0</v>
      </c>
      <c r="K444" s="43"/>
      <c r="L444" s="1"/>
      <c r="M444" s="1"/>
      <c r="N444" s="1"/>
      <c r="O444" s="1"/>
      <c r="P444" s="1"/>
      <c r="Q444" s="1"/>
      <c r="R444" s="1"/>
      <c r="S444" s="1"/>
      <c r="T444" s="1"/>
    </row>
    <row r="445" spans="1:20" ht="13" x14ac:dyDescent="0.15">
      <c r="A445" s="1" t="s">
        <v>1344</v>
      </c>
      <c r="B445" s="1" t="s">
        <v>1345</v>
      </c>
      <c r="C445" s="5" t="s">
        <v>1346</v>
      </c>
      <c r="D445" s="1" t="s">
        <v>304</v>
      </c>
      <c r="E445" s="1">
        <v>67.92</v>
      </c>
      <c r="F445" s="1">
        <v>1</v>
      </c>
      <c r="G445" s="1">
        <v>0</v>
      </c>
      <c r="H445" s="1">
        <v>0</v>
      </c>
      <c r="I445" s="1">
        <v>483</v>
      </c>
      <c r="J445" s="1">
        <v>1</v>
      </c>
      <c r="K445" s="43"/>
      <c r="L445" s="1"/>
      <c r="M445" s="1"/>
      <c r="N445" s="1"/>
      <c r="O445" s="1"/>
      <c r="P445" s="1"/>
      <c r="Q445" s="1"/>
      <c r="R445" s="1"/>
      <c r="S445" s="1"/>
      <c r="T445" s="1"/>
    </row>
    <row r="446" spans="1:20" ht="13" x14ac:dyDescent="0.15">
      <c r="A446" s="1" t="s">
        <v>1347</v>
      </c>
      <c r="B446" s="1" t="s">
        <v>1348</v>
      </c>
      <c r="C446" s="5" t="s">
        <v>1349</v>
      </c>
      <c r="D446" s="1" t="s">
        <v>304</v>
      </c>
      <c r="E446" s="1">
        <v>55.95</v>
      </c>
      <c r="F446" s="1">
        <v>2</v>
      </c>
      <c r="G446" s="1">
        <v>0</v>
      </c>
      <c r="H446" s="1">
        <v>0</v>
      </c>
      <c r="I446" s="1">
        <v>733</v>
      </c>
      <c r="J446" s="1">
        <v>0</v>
      </c>
      <c r="K446" s="43"/>
      <c r="L446" s="1"/>
      <c r="M446" s="1"/>
      <c r="N446" s="1"/>
      <c r="O446" s="1"/>
      <c r="P446" s="1"/>
      <c r="Q446" s="1"/>
      <c r="R446" s="1"/>
      <c r="S446" s="1"/>
      <c r="T446" s="1"/>
    </row>
    <row r="447" spans="1:20" ht="13" x14ac:dyDescent="0.15">
      <c r="A447" s="1" t="s">
        <v>1350</v>
      </c>
      <c r="B447" s="1" t="s">
        <v>1351</v>
      </c>
      <c r="C447" s="5" t="s">
        <v>1352</v>
      </c>
      <c r="D447" s="1" t="s">
        <v>304</v>
      </c>
      <c r="E447" s="1">
        <v>25.57</v>
      </c>
      <c r="F447" s="1">
        <v>2</v>
      </c>
      <c r="G447" s="1">
        <v>0</v>
      </c>
      <c r="H447" s="1">
        <v>0</v>
      </c>
      <c r="I447" s="1">
        <v>479</v>
      </c>
      <c r="J447" s="1">
        <v>0</v>
      </c>
      <c r="K447" s="43"/>
      <c r="L447" s="1"/>
      <c r="M447" s="1"/>
      <c r="N447" s="1"/>
      <c r="O447" s="1"/>
      <c r="P447" s="1"/>
      <c r="Q447" s="1"/>
      <c r="R447" s="1"/>
      <c r="S447" s="1"/>
      <c r="T447" s="1"/>
    </row>
    <row r="448" spans="1:20" ht="13" x14ac:dyDescent="0.15">
      <c r="A448" s="1" t="s">
        <v>1353</v>
      </c>
      <c r="B448" s="1" t="s">
        <v>1354</v>
      </c>
      <c r="C448" s="1" t="s">
        <v>1355</v>
      </c>
      <c r="D448" s="1" t="s">
        <v>210</v>
      </c>
      <c r="E448" s="1">
        <v>51</v>
      </c>
      <c r="F448" s="1">
        <v>1</v>
      </c>
      <c r="G448" s="1">
        <v>1</v>
      </c>
      <c r="H448" s="1">
        <v>0</v>
      </c>
      <c r="I448" s="1">
        <v>1489</v>
      </c>
      <c r="J448" s="43"/>
      <c r="K448" s="1">
        <v>1</v>
      </c>
      <c r="L448" s="1"/>
      <c r="M448" s="1"/>
      <c r="N448" s="1"/>
      <c r="O448" s="1"/>
      <c r="P448" s="1"/>
      <c r="Q448" s="1"/>
      <c r="R448" s="1"/>
      <c r="S448" s="1"/>
      <c r="T448" s="1"/>
    </row>
    <row r="449" spans="1:20" ht="13" x14ac:dyDescent="0.15">
      <c r="A449" s="1" t="s">
        <v>1356</v>
      </c>
      <c r="B449" s="1" t="s">
        <v>1357</v>
      </c>
      <c r="C449" s="1" t="s">
        <v>1358</v>
      </c>
      <c r="D449" s="1" t="s">
        <v>210</v>
      </c>
      <c r="E449" s="1">
        <v>18</v>
      </c>
      <c r="F449" s="1">
        <v>2</v>
      </c>
      <c r="G449" s="1">
        <v>1</v>
      </c>
      <c r="H449" s="1">
        <v>0</v>
      </c>
      <c r="I449" s="1">
        <v>630</v>
      </c>
      <c r="J449" s="43"/>
      <c r="K449" s="1">
        <v>1</v>
      </c>
      <c r="L449" s="1"/>
      <c r="M449" s="1"/>
      <c r="N449" s="1"/>
      <c r="O449" s="1"/>
      <c r="P449" s="1"/>
      <c r="Q449" s="1"/>
      <c r="R449" s="1"/>
      <c r="S449" s="1"/>
      <c r="T449" s="1"/>
    </row>
    <row r="450" spans="1:20" ht="13" x14ac:dyDescent="0.15">
      <c r="A450" s="1" t="s">
        <v>1359</v>
      </c>
      <c r="B450" s="1" t="s">
        <v>1360</v>
      </c>
      <c r="C450" s="5" t="s">
        <v>1361</v>
      </c>
      <c r="D450" s="1" t="s">
        <v>304</v>
      </c>
      <c r="E450" s="1">
        <v>83.63</v>
      </c>
      <c r="F450" s="1">
        <v>2</v>
      </c>
      <c r="G450" s="1">
        <v>0</v>
      </c>
      <c r="H450" s="1">
        <v>0</v>
      </c>
      <c r="I450" s="1">
        <v>13</v>
      </c>
      <c r="J450" s="1">
        <v>0</v>
      </c>
      <c r="K450" s="43"/>
      <c r="L450" s="1"/>
      <c r="M450" s="1"/>
      <c r="N450" s="1"/>
      <c r="O450" s="1"/>
      <c r="P450" s="1"/>
      <c r="Q450" s="1"/>
      <c r="R450" s="1"/>
      <c r="S450" s="1"/>
      <c r="T450" s="1"/>
    </row>
    <row r="451" spans="1:20" ht="13" x14ac:dyDescent="0.15">
      <c r="A451" s="1" t="s">
        <v>1362</v>
      </c>
      <c r="B451" s="1" t="s">
        <v>1363</v>
      </c>
      <c r="C451" s="1" t="s">
        <v>1364</v>
      </c>
      <c r="D451" s="1" t="s">
        <v>210</v>
      </c>
      <c r="E451" s="1">
        <v>54</v>
      </c>
      <c r="F451" s="1">
        <v>1</v>
      </c>
      <c r="G451" s="1">
        <v>1</v>
      </c>
      <c r="H451" s="1">
        <v>0</v>
      </c>
      <c r="I451" s="1">
        <v>86</v>
      </c>
      <c r="J451" s="43"/>
      <c r="K451" s="1">
        <v>1</v>
      </c>
      <c r="L451" s="1"/>
      <c r="M451" s="1"/>
      <c r="N451" s="1"/>
      <c r="O451" s="1"/>
      <c r="P451" s="1"/>
      <c r="Q451" s="1"/>
      <c r="R451" s="1"/>
      <c r="S451" s="1"/>
      <c r="T451" s="1"/>
    </row>
    <row r="452" spans="1:20" ht="13" x14ac:dyDescent="0.15">
      <c r="A452" s="1" t="s">
        <v>1365</v>
      </c>
      <c r="B452" s="1" t="s">
        <v>1366</v>
      </c>
      <c r="C452" s="1" t="s">
        <v>1367</v>
      </c>
      <c r="D452" s="1" t="s">
        <v>210</v>
      </c>
      <c r="E452" s="1">
        <v>50</v>
      </c>
      <c r="F452" s="1">
        <v>1</v>
      </c>
      <c r="G452" s="1">
        <v>1</v>
      </c>
      <c r="H452" s="1">
        <v>0</v>
      </c>
      <c r="I452" s="1">
        <v>600</v>
      </c>
      <c r="J452" s="43"/>
      <c r="K452" s="1">
        <v>1</v>
      </c>
      <c r="L452" s="1"/>
      <c r="M452" s="1"/>
      <c r="N452" s="1"/>
      <c r="O452" s="1"/>
      <c r="P452" s="1"/>
      <c r="Q452" s="1"/>
      <c r="R452" s="1"/>
      <c r="S452" s="1"/>
      <c r="T452" s="1"/>
    </row>
    <row r="453" spans="1:20" ht="13" x14ac:dyDescent="0.15">
      <c r="A453" s="1" t="s">
        <v>1368</v>
      </c>
      <c r="B453" s="1" t="s">
        <v>1369</v>
      </c>
      <c r="C453" s="1" t="s">
        <v>1370</v>
      </c>
      <c r="D453" s="1" t="s">
        <v>210</v>
      </c>
      <c r="E453" s="1">
        <v>33</v>
      </c>
      <c r="F453" s="1">
        <v>2</v>
      </c>
      <c r="G453" s="1">
        <v>0</v>
      </c>
      <c r="H453" s="1">
        <v>0</v>
      </c>
      <c r="I453" s="1">
        <v>370</v>
      </c>
      <c r="J453" s="43"/>
      <c r="K453" s="1">
        <v>1</v>
      </c>
      <c r="L453" s="1"/>
      <c r="M453" s="1"/>
      <c r="N453" s="1"/>
      <c r="O453" s="1"/>
      <c r="P453" s="1"/>
      <c r="Q453" s="1"/>
      <c r="R453" s="1"/>
      <c r="S453" s="1"/>
      <c r="T453" s="1"/>
    </row>
    <row r="454" spans="1:20" ht="13" x14ac:dyDescent="0.15">
      <c r="A454" s="1" t="s">
        <v>1371</v>
      </c>
      <c r="B454" s="1" t="s">
        <v>1372</v>
      </c>
      <c r="C454" s="5" t="s">
        <v>1373</v>
      </c>
      <c r="D454" s="1" t="s">
        <v>304</v>
      </c>
      <c r="E454" s="1">
        <v>66.23</v>
      </c>
      <c r="F454" s="1">
        <v>1</v>
      </c>
      <c r="G454" s="1">
        <v>0</v>
      </c>
      <c r="H454" s="1">
        <v>0</v>
      </c>
      <c r="I454" s="1">
        <v>796</v>
      </c>
      <c r="J454" s="1">
        <v>0</v>
      </c>
      <c r="K454" s="43"/>
      <c r="L454" s="1"/>
      <c r="M454" s="1"/>
      <c r="N454" s="1"/>
      <c r="O454" s="1"/>
      <c r="P454" s="1"/>
      <c r="Q454" s="1"/>
      <c r="R454" s="1"/>
      <c r="S454" s="1"/>
      <c r="T454" s="1"/>
    </row>
    <row r="455" spans="1:20" ht="13" x14ac:dyDescent="0.15">
      <c r="A455" s="1" t="s">
        <v>1374</v>
      </c>
      <c r="B455" s="1" t="s">
        <v>1375</v>
      </c>
      <c r="C455" s="1" t="s">
        <v>1376</v>
      </c>
      <c r="D455" s="1" t="s">
        <v>304</v>
      </c>
      <c r="E455" s="1">
        <v>83.01</v>
      </c>
      <c r="F455" s="1">
        <v>2</v>
      </c>
      <c r="G455" s="1">
        <v>1</v>
      </c>
      <c r="H455" s="1">
        <v>0</v>
      </c>
      <c r="I455" s="1">
        <v>589</v>
      </c>
      <c r="J455" s="1">
        <v>1</v>
      </c>
      <c r="K455" s="43"/>
      <c r="L455" s="1"/>
      <c r="M455" s="1"/>
      <c r="N455" s="1"/>
      <c r="O455" s="1"/>
      <c r="P455" s="1"/>
      <c r="Q455" s="1"/>
      <c r="R455" s="1"/>
      <c r="S455" s="1"/>
      <c r="T455" s="1"/>
    </row>
    <row r="456" spans="1:20" ht="13" x14ac:dyDescent="0.15">
      <c r="A456" s="1" t="s">
        <v>1377</v>
      </c>
      <c r="B456" s="1" t="s">
        <v>1378</v>
      </c>
      <c r="C456" s="1" t="s">
        <v>1379</v>
      </c>
      <c r="D456" s="1" t="s">
        <v>210</v>
      </c>
      <c r="E456" s="1">
        <v>66</v>
      </c>
      <c r="F456" s="1">
        <v>2</v>
      </c>
      <c r="G456" s="1">
        <v>1</v>
      </c>
      <c r="H456" s="1">
        <v>0</v>
      </c>
      <c r="I456" s="1">
        <v>77</v>
      </c>
      <c r="J456" s="43"/>
      <c r="K456" s="1">
        <v>1</v>
      </c>
      <c r="L456" s="1"/>
      <c r="M456" s="1"/>
      <c r="N456" s="1"/>
      <c r="O456" s="1"/>
      <c r="P456" s="1"/>
      <c r="Q456" s="1"/>
      <c r="R456" s="1"/>
      <c r="S456" s="1"/>
      <c r="T456" s="1"/>
    </row>
    <row r="457" spans="1:20" ht="13" x14ac:dyDescent="0.15">
      <c r="A457" s="1" t="s">
        <v>1380</v>
      </c>
      <c r="B457" s="1" t="s">
        <v>1381</v>
      </c>
      <c r="C457" s="1" t="s">
        <v>1382</v>
      </c>
      <c r="D457" s="1" t="s">
        <v>210</v>
      </c>
      <c r="E457" s="1">
        <v>52</v>
      </c>
      <c r="F457" s="1">
        <v>2</v>
      </c>
      <c r="G457" s="1">
        <v>1</v>
      </c>
      <c r="H457" s="1">
        <v>0</v>
      </c>
      <c r="I457" s="1">
        <v>1121</v>
      </c>
      <c r="J457" s="43"/>
      <c r="K457" s="1">
        <v>1</v>
      </c>
      <c r="L457" s="1"/>
      <c r="M457" s="1"/>
      <c r="N457" s="1"/>
      <c r="O457" s="1"/>
      <c r="P457" s="1"/>
      <c r="Q457" s="1"/>
      <c r="R457" s="1"/>
      <c r="S457" s="1"/>
      <c r="T457" s="1"/>
    </row>
    <row r="458" spans="1:20" ht="13" x14ac:dyDescent="0.15">
      <c r="A458" s="1" t="s">
        <v>1383</v>
      </c>
      <c r="B458" s="1" t="s">
        <v>1384</v>
      </c>
      <c r="C458" s="1" t="s">
        <v>1385</v>
      </c>
      <c r="D458" s="1" t="s">
        <v>210</v>
      </c>
      <c r="E458" s="1">
        <v>66</v>
      </c>
      <c r="F458" s="1">
        <v>1</v>
      </c>
      <c r="G458" s="1">
        <v>1</v>
      </c>
      <c r="H458" s="1">
        <v>0</v>
      </c>
      <c r="I458" s="1">
        <v>147</v>
      </c>
      <c r="J458" s="43"/>
      <c r="K458" s="1">
        <v>1</v>
      </c>
      <c r="L458" s="1"/>
      <c r="M458" s="1"/>
      <c r="N458" s="1"/>
      <c r="O458" s="1"/>
      <c r="P458" s="1"/>
      <c r="Q458" s="1"/>
      <c r="R458" s="1"/>
      <c r="S458" s="1"/>
      <c r="T458" s="1"/>
    </row>
    <row r="459" spans="1:20" ht="13" x14ac:dyDescent="0.15">
      <c r="A459" s="1" t="s">
        <v>1386</v>
      </c>
      <c r="B459" s="1" t="s">
        <v>1387</v>
      </c>
      <c r="C459" s="1" t="s">
        <v>1388</v>
      </c>
      <c r="D459" s="1" t="s">
        <v>210</v>
      </c>
      <c r="E459" s="1">
        <v>74</v>
      </c>
      <c r="F459" s="1">
        <v>1</v>
      </c>
      <c r="G459" s="1">
        <v>1</v>
      </c>
      <c r="H459" s="1">
        <v>0</v>
      </c>
      <c r="I459" s="1">
        <v>153</v>
      </c>
      <c r="J459" s="43"/>
      <c r="K459" s="1">
        <v>1</v>
      </c>
      <c r="L459" s="1"/>
      <c r="M459" s="1"/>
      <c r="N459" s="1"/>
      <c r="O459" s="1"/>
      <c r="P459" s="1"/>
      <c r="Q459" s="1"/>
      <c r="R459" s="1"/>
      <c r="S459" s="1"/>
      <c r="T459" s="1"/>
    </row>
    <row r="460" spans="1:20" ht="13" x14ac:dyDescent="0.15">
      <c r="A460" s="1" t="s">
        <v>1389</v>
      </c>
      <c r="B460" s="1" t="s">
        <v>1390</v>
      </c>
      <c r="C460" s="1" t="s">
        <v>1391</v>
      </c>
      <c r="D460" s="1" t="s">
        <v>210</v>
      </c>
      <c r="E460" s="1">
        <v>54</v>
      </c>
      <c r="F460" s="1">
        <v>1</v>
      </c>
      <c r="G460" s="1">
        <v>1</v>
      </c>
      <c r="H460" s="1">
        <v>0</v>
      </c>
      <c r="I460" s="1">
        <v>727</v>
      </c>
      <c r="J460" s="43"/>
      <c r="K460" s="1">
        <v>1</v>
      </c>
      <c r="L460" s="1"/>
      <c r="M460" s="1"/>
      <c r="N460" s="1"/>
      <c r="O460" s="1"/>
      <c r="P460" s="1"/>
      <c r="Q460" s="1"/>
      <c r="R460" s="1"/>
      <c r="S460" s="1"/>
      <c r="T460" s="1"/>
    </row>
    <row r="461" spans="1:20" ht="13" x14ac:dyDescent="0.15">
      <c r="A461" s="1" t="s">
        <v>1392</v>
      </c>
      <c r="B461" s="1" t="s">
        <v>1393</v>
      </c>
      <c r="C461" s="1" t="s">
        <v>1394</v>
      </c>
      <c r="D461" s="1" t="s">
        <v>210</v>
      </c>
      <c r="E461" s="1">
        <v>58</v>
      </c>
      <c r="F461" s="1">
        <v>1</v>
      </c>
      <c r="G461" s="1">
        <v>0</v>
      </c>
      <c r="H461" s="1">
        <v>0</v>
      </c>
      <c r="I461" s="1">
        <v>1048</v>
      </c>
      <c r="J461" s="43"/>
      <c r="K461" s="1">
        <v>1</v>
      </c>
      <c r="L461" s="1"/>
      <c r="M461" s="1"/>
      <c r="N461" s="1"/>
      <c r="O461" s="1"/>
      <c r="P461" s="1"/>
      <c r="Q461" s="1"/>
      <c r="R461" s="1"/>
      <c r="S461" s="1"/>
      <c r="T461" s="1"/>
    </row>
    <row r="462" spans="1:20" ht="13" x14ac:dyDescent="0.15">
      <c r="A462" s="1" t="s">
        <v>1395</v>
      </c>
      <c r="B462" s="1" t="s">
        <v>1396</v>
      </c>
      <c r="C462" s="1" t="s">
        <v>1397</v>
      </c>
      <c r="D462" s="1" t="s">
        <v>210</v>
      </c>
      <c r="E462" s="1">
        <v>44</v>
      </c>
      <c r="F462" s="1">
        <v>2</v>
      </c>
      <c r="G462" s="1">
        <v>0</v>
      </c>
      <c r="H462" s="1">
        <v>0</v>
      </c>
      <c r="I462" s="1">
        <v>567</v>
      </c>
      <c r="J462" s="43"/>
      <c r="K462" s="1">
        <v>1</v>
      </c>
      <c r="L462" s="1"/>
      <c r="M462" s="1"/>
      <c r="N462" s="1"/>
      <c r="O462" s="1"/>
      <c r="P462" s="1"/>
      <c r="Q462" s="1"/>
      <c r="R462" s="1"/>
      <c r="S462" s="1"/>
      <c r="T462" s="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T462"/>
  <sheetViews>
    <sheetView workbookViewId="0">
      <pane xSplit="6" topLeftCell="G1" activePane="topRight" state="frozen"/>
      <selection pane="topRight" activeCell="H2" sqref="H2"/>
    </sheetView>
  </sheetViews>
  <sheetFormatPr baseColWidth="10" defaultColWidth="12.6640625" defaultRowHeight="15.75" customHeight="1" x14ac:dyDescent="0.15"/>
  <cols>
    <col min="1" max="1" width="21.33203125" customWidth="1"/>
    <col min="2" max="2" width="14.83203125" customWidth="1"/>
    <col min="3" max="3" width="19.6640625" customWidth="1"/>
    <col min="4" max="4" width="18.6640625" customWidth="1"/>
    <col min="5" max="5" width="10.83203125" customWidth="1"/>
    <col min="6" max="6" width="3.6640625" customWidth="1"/>
    <col min="7" max="7" width="10.5" customWidth="1"/>
    <col min="8" max="8" width="8.6640625" customWidth="1"/>
    <col min="9" max="9" width="11.1640625" customWidth="1"/>
    <col min="10" max="10" width="14.1640625" customWidth="1"/>
    <col min="11" max="11" width="12" customWidth="1"/>
    <col min="12" max="13" width="14.1640625" customWidth="1"/>
    <col min="14" max="14" width="11.1640625" customWidth="1"/>
    <col min="15" max="15" width="8.33203125" customWidth="1"/>
    <col min="16" max="16" width="9.33203125" customWidth="1"/>
    <col min="17" max="17" width="10.33203125" customWidth="1"/>
    <col min="18" max="18" width="14.6640625" customWidth="1"/>
    <col min="19" max="19" width="15.6640625" customWidth="1"/>
    <col min="20" max="20" width="14.1640625" customWidth="1"/>
  </cols>
  <sheetData>
    <row r="1" spans="1:20" ht="15.75" customHeight="1" x14ac:dyDescent="0.15">
      <c r="A1" s="1" t="s">
        <v>0</v>
      </c>
      <c r="B1" s="1" t="s">
        <v>1</v>
      </c>
      <c r="C1" s="1" t="s">
        <v>2</v>
      </c>
      <c r="D1" s="1" t="s">
        <v>3</v>
      </c>
      <c r="E1" s="42" t="s">
        <v>1431</v>
      </c>
      <c r="F1" s="1" t="s">
        <v>1440</v>
      </c>
      <c r="G1" s="1" t="s">
        <v>1433</v>
      </c>
      <c r="H1" s="1" t="s">
        <v>1441</v>
      </c>
      <c r="I1" s="1" t="s">
        <v>1469</v>
      </c>
      <c r="J1" s="1" t="s">
        <v>1437</v>
      </c>
      <c r="K1" s="1" t="s">
        <v>1446</v>
      </c>
      <c r="L1" s="1" t="s">
        <v>1470</v>
      </c>
      <c r="M1" s="1" t="s">
        <v>1471</v>
      </c>
      <c r="N1" s="1" t="s">
        <v>1472</v>
      </c>
      <c r="O1" s="1" t="s">
        <v>1473</v>
      </c>
      <c r="P1" s="1" t="s">
        <v>1474</v>
      </c>
      <c r="Q1" s="1" t="s">
        <v>1475</v>
      </c>
      <c r="R1" s="1" t="s">
        <v>1476</v>
      </c>
      <c r="S1" s="1" t="s">
        <v>1477</v>
      </c>
      <c r="T1" s="1" t="s">
        <v>1478</v>
      </c>
    </row>
    <row r="2" spans="1:20" ht="15" x14ac:dyDescent="0.2">
      <c r="A2" s="3" t="s">
        <v>11</v>
      </c>
      <c r="B2" s="1" t="s">
        <v>12</v>
      </c>
      <c r="C2" s="4" t="s">
        <v>13</v>
      </c>
      <c r="D2" s="1" t="s">
        <v>14</v>
      </c>
      <c r="E2" s="1">
        <v>38</v>
      </c>
      <c r="F2" s="1">
        <v>1</v>
      </c>
      <c r="G2" s="5">
        <v>1</v>
      </c>
      <c r="H2" s="1">
        <v>0</v>
      </c>
      <c r="I2" s="1">
        <v>224</v>
      </c>
      <c r="J2" s="1">
        <v>1</v>
      </c>
      <c r="K2" s="1">
        <v>0</v>
      </c>
      <c r="L2" s="1"/>
      <c r="M2" s="1"/>
      <c r="N2" s="1"/>
      <c r="O2" s="1"/>
      <c r="P2" s="1"/>
      <c r="Q2" s="1"/>
      <c r="R2" s="1"/>
      <c r="S2" s="1"/>
      <c r="T2" s="1"/>
    </row>
    <row r="3" spans="1:20" ht="15" x14ac:dyDescent="0.2">
      <c r="A3" s="3" t="s">
        <v>15</v>
      </c>
      <c r="B3" s="1" t="s">
        <v>16</v>
      </c>
      <c r="C3" s="4" t="s">
        <v>17</v>
      </c>
      <c r="D3" s="1" t="s">
        <v>14</v>
      </c>
      <c r="E3" s="1">
        <v>64</v>
      </c>
      <c r="F3" s="1">
        <v>2</v>
      </c>
      <c r="G3" s="5">
        <v>1</v>
      </c>
      <c r="H3" s="1">
        <v>0</v>
      </c>
      <c r="I3" s="1">
        <v>313</v>
      </c>
      <c r="J3" s="1">
        <v>1</v>
      </c>
      <c r="K3" s="1">
        <v>1</v>
      </c>
      <c r="L3" s="1"/>
      <c r="M3" s="1"/>
      <c r="N3" s="1"/>
      <c r="O3" s="1"/>
      <c r="P3" s="1"/>
      <c r="Q3" s="1"/>
      <c r="R3" s="1"/>
      <c r="S3" s="1"/>
      <c r="T3" s="1"/>
    </row>
    <row r="4" spans="1:20" ht="15" x14ac:dyDescent="0.2">
      <c r="A4" s="3" t="s">
        <v>18</v>
      </c>
      <c r="B4" s="1" t="s">
        <v>19</v>
      </c>
      <c r="C4" s="4" t="s">
        <v>20</v>
      </c>
      <c r="D4" s="1" t="s">
        <v>14</v>
      </c>
      <c r="E4" s="1">
        <v>54</v>
      </c>
      <c r="F4" s="1">
        <v>1</v>
      </c>
      <c r="G4" s="5">
        <v>0</v>
      </c>
      <c r="H4" s="1">
        <v>0</v>
      </c>
      <c r="I4" s="1">
        <v>241</v>
      </c>
      <c r="J4" s="1">
        <v>1</v>
      </c>
      <c r="K4" s="1">
        <v>1</v>
      </c>
      <c r="L4" s="1"/>
      <c r="M4" s="1"/>
      <c r="N4" s="1"/>
      <c r="O4" s="1"/>
      <c r="P4" s="1"/>
      <c r="Q4" s="1"/>
      <c r="R4" s="1"/>
      <c r="S4" s="1"/>
      <c r="T4" s="1"/>
    </row>
    <row r="5" spans="1:20" ht="15" x14ac:dyDescent="0.2">
      <c r="A5" s="3" t="s">
        <v>21</v>
      </c>
      <c r="B5" s="1" t="s">
        <v>22</v>
      </c>
      <c r="C5" s="4" t="s">
        <v>23</v>
      </c>
      <c r="D5" s="1" t="s">
        <v>14</v>
      </c>
      <c r="E5" s="1">
        <v>49</v>
      </c>
      <c r="F5" s="1">
        <v>1</v>
      </c>
      <c r="G5" s="5">
        <v>1</v>
      </c>
      <c r="H5" s="1">
        <v>1</v>
      </c>
      <c r="I5" s="1">
        <v>1650</v>
      </c>
      <c r="J5" s="1">
        <v>1</v>
      </c>
      <c r="K5" s="1">
        <v>0</v>
      </c>
      <c r="L5" s="1"/>
      <c r="M5" s="1"/>
      <c r="N5" s="1"/>
      <c r="O5" s="1"/>
      <c r="P5" s="1"/>
      <c r="Q5" s="1"/>
      <c r="R5" s="1"/>
      <c r="S5" s="1"/>
      <c r="T5" s="1"/>
    </row>
    <row r="6" spans="1:20" ht="15" x14ac:dyDescent="0.2">
      <c r="A6" s="3" t="s">
        <v>24</v>
      </c>
      <c r="B6" s="1" t="s">
        <v>25</v>
      </c>
      <c r="C6" s="4" t="s">
        <v>26</v>
      </c>
      <c r="D6" s="1" t="s">
        <v>14</v>
      </c>
      <c r="E6" s="1">
        <v>37</v>
      </c>
      <c r="F6" s="1">
        <v>2</v>
      </c>
      <c r="G6" s="5">
        <v>1</v>
      </c>
      <c r="H6" s="1">
        <v>0</v>
      </c>
      <c r="I6" s="1">
        <v>1611</v>
      </c>
      <c r="J6" s="1">
        <v>0</v>
      </c>
      <c r="K6" s="1">
        <v>0</v>
      </c>
      <c r="L6" s="1"/>
      <c r="M6" s="1"/>
      <c r="N6" s="1"/>
      <c r="O6" s="1"/>
      <c r="P6" s="1"/>
      <c r="Q6" s="1"/>
      <c r="R6" s="1"/>
      <c r="S6" s="1"/>
      <c r="T6" s="1"/>
    </row>
    <row r="7" spans="1:20" ht="15" x14ac:dyDescent="0.2">
      <c r="A7" s="3" t="s">
        <v>27</v>
      </c>
      <c r="B7" s="1" t="s">
        <v>28</v>
      </c>
      <c r="C7" s="4" t="s">
        <v>29</v>
      </c>
      <c r="D7" s="1" t="s">
        <v>14</v>
      </c>
      <c r="E7" s="1">
        <v>60</v>
      </c>
      <c r="F7" s="1">
        <v>2</v>
      </c>
      <c r="G7" s="5">
        <v>1</v>
      </c>
      <c r="H7" s="1">
        <v>0</v>
      </c>
      <c r="I7" s="1">
        <v>1797</v>
      </c>
      <c r="J7" s="1">
        <v>0</v>
      </c>
      <c r="K7" s="1">
        <v>0</v>
      </c>
      <c r="L7" s="1"/>
      <c r="M7" s="1"/>
      <c r="N7" s="1"/>
      <c r="O7" s="1"/>
      <c r="P7" s="1"/>
      <c r="Q7" s="1"/>
      <c r="R7" s="1"/>
      <c r="S7" s="1"/>
      <c r="T7" s="1"/>
    </row>
    <row r="8" spans="1:20" ht="15" x14ac:dyDescent="0.2">
      <c r="A8" s="3" t="s">
        <v>30</v>
      </c>
      <c r="B8" s="1" t="s">
        <v>31</v>
      </c>
      <c r="C8" s="4" t="s">
        <v>32</v>
      </c>
      <c r="D8" s="1" t="s">
        <v>14</v>
      </c>
      <c r="E8" s="1">
        <v>52</v>
      </c>
      <c r="F8" s="1">
        <v>2</v>
      </c>
      <c r="G8" s="5">
        <v>0</v>
      </c>
      <c r="H8" s="1">
        <v>0</v>
      </c>
      <c r="I8" s="1">
        <v>567</v>
      </c>
      <c r="J8" s="1">
        <v>0</v>
      </c>
      <c r="K8" s="1">
        <v>1</v>
      </c>
      <c r="L8" s="1"/>
      <c r="M8" s="1"/>
      <c r="N8" s="1"/>
      <c r="O8" s="1"/>
      <c r="P8" s="1"/>
      <c r="Q8" s="1"/>
      <c r="R8" s="1"/>
      <c r="S8" s="1"/>
      <c r="T8" s="1"/>
    </row>
    <row r="9" spans="1:20" ht="15" x14ac:dyDescent="0.2">
      <c r="A9" s="3" t="s">
        <v>33</v>
      </c>
      <c r="B9" s="1" t="s">
        <v>34</v>
      </c>
      <c r="C9" s="4" t="s">
        <v>35</v>
      </c>
      <c r="D9" s="1" t="s">
        <v>14</v>
      </c>
      <c r="E9" s="1">
        <v>69</v>
      </c>
      <c r="F9" s="1">
        <v>2</v>
      </c>
      <c r="G9" s="5">
        <v>1</v>
      </c>
      <c r="H9" s="1">
        <v>0</v>
      </c>
      <c r="I9" s="1">
        <v>1328</v>
      </c>
      <c r="J9" s="1">
        <v>0</v>
      </c>
      <c r="K9" s="1">
        <v>0</v>
      </c>
      <c r="L9" s="1"/>
      <c r="M9" s="1"/>
      <c r="N9" s="1"/>
      <c r="O9" s="1"/>
      <c r="P9" s="1"/>
      <c r="Q9" s="1"/>
      <c r="R9" s="1"/>
      <c r="S9" s="1"/>
      <c r="T9" s="1"/>
    </row>
    <row r="10" spans="1:20" ht="15" x14ac:dyDescent="0.2">
      <c r="A10" s="3" t="s">
        <v>36</v>
      </c>
      <c r="B10" s="1" t="s">
        <v>37</v>
      </c>
      <c r="C10" s="4" t="s">
        <v>38</v>
      </c>
      <c r="D10" s="1" t="s">
        <v>14</v>
      </c>
      <c r="E10" s="1">
        <v>46</v>
      </c>
      <c r="F10" s="1">
        <v>2</v>
      </c>
      <c r="G10" s="5">
        <v>1</v>
      </c>
      <c r="H10" s="1">
        <v>1</v>
      </c>
      <c r="I10" s="1">
        <v>1907</v>
      </c>
      <c r="J10" s="1">
        <v>1</v>
      </c>
      <c r="K10" s="1">
        <v>0</v>
      </c>
      <c r="L10" s="1"/>
      <c r="M10" s="1"/>
      <c r="N10" s="1"/>
      <c r="O10" s="1"/>
      <c r="P10" s="1"/>
      <c r="Q10" s="1"/>
      <c r="R10" s="1"/>
      <c r="S10" s="1"/>
      <c r="T10" s="1"/>
    </row>
    <row r="11" spans="1:20" ht="15" x14ac:dyDescent="0.2">
      <c r="A11" s="3" t="s">
        <v>39</v>
      </c>
      <c r="B11" s="1" t="s">
        <v>40</v>
      </c>
      <c r="C11" s="4" t="s">
        <v>41</v>
      </c>
      <c r="D11" s="1" t="s">
        <v>14</v>
      </c>
      <c r="E11" s="1">
        <v>51</v>
      </c>
      <c r="F11" s="1">
        <v>2</v>
      </c>
      <c r="G11" s="5">
        <v>1</v>
      </c>
      <c r="H11" s="1">
        <v>0</v>
      </c>
      <c r="I11" s="1">
        <v>351</v>
      </c>
      <c r="J11" s="1">
        <v>0</v>
      </c>
      <c r="K11" s="1">
        <v>1</v>
      </c>
      <c r="L11" s="1"/>
      <c r="M11" s="1"/>
      <c r="N11" s="1"/>
      <c r="O11" s="1"/>
      <c r="P11" s="1"/>
      <c r="Q11" s="1"/>
      <c r="R11" s="1"/>
      <c r="S11" s="1"/>
      <c r="T11" s="1"/>
    </row>
    <row r="12" spans="1:20" ht="15" x14ac:dyDescent="0.2">
      <c r="A12" s="3" t="s">
        <v>42</v>
      </c>
      <c r="B12" s="1" t="s">
        <v>43</v>
      </c>
      <c r="C12" s="4" t="s">
        <v>44</v>
      </c>
      <c r="D12" s="1" t="s">
        <v>14</v>
      </c>
      <c r="E12" s="1">
        <v>54</v>
      </c>
      <c r="F12" s="1">
        <v>2</v>
      </c>
      <c r="G12" s="5">
        <v>0</v>
      </c>
      <c r="H12" s="1">
        <v>0</v>
      </c>
      <c r="I12" s="1">
        <v>298</v>
      </c>
      <c r="J12" s="1">
        <v>1</v>
      </c>
      <c r="K12" s="1">
        <v>1</v>
      </c>
      <c r="L12" s="1"/>
      <c r="M12" s="1"/>
      <c r="N12" s="1"/>
      <c r="O12" s="1"/>
      <c r="P12" s="1"/>
      <c r="Q12" s="1"/>
      <c r="R12" s="1"/>
      <c r="S12" s="1"/>
      <c r="T12" s="1"/>
    </row>
    <row r="13" spans="1:20" ht="15" x14ac:dyDescent="0.2">
      <c r="A13" s="3" t="s">
        <v>45</v>
      </c>
      <c r="B13" s="1" t="s">
        <v>46</v>
      </c>
      <c r="C13" s="4" t="s">
        <v>47</v>
      </c>
      <c r="D13" s="1" t="s">
        <v>14</v>
      </c>
      <c r="E13" s="1">
        <v>77</v>
      </c>
      <c r="F13" s="1">
        <v>1</v>
      </c>
      <c r="G13" s="5">
        <v>0</v>
      </c>
      <c r="H13" s="1">
        <v>0</v>
      </c>
      <c r="I13" s="1">
        <v>232</v>
      </c>
      <c r="J13" s="1">
        <v>0</v>
      </c>
      <c r="K13" s="1">
        <v>0</v>
      </c>
      <c r="L13" s="1"/>
      <c r="M13" s="1"/>
      <c r="N13" s="1"/>
      <c r="O13" s="1"/>
      <c r="P13" s="1"/>
      <c r="Q13" s="1"/>
      <c r="R13" s="1"/>
      <c r="S13" s="1"/>
      <c r="T13" s="1"/>
    </row>
    <row r="14" spans="1:20" ht="15" x14ac:dyDescent="0.2">
      <c r="A14" s="3" t="s">
        <v>48</v>
      </c>
      <c r="B14" s="1" t="s">
        <v>49</v>
      </c>
      <c r="C14" s="4" t="s">
        <v>50</v>
      </c>
      <c r="D14" s="1" t="s">
        <v>14</v>
      </c>
      <c r="E14" s="1">
        <v>64</v>
      </c>
      <c r="F14" s="1">
        <v>2</v>
      </c>
      <c r="G14" s="5">
        <v>0</v>
      </c>
      <c r="H14" s="1">
        <v>0</v>
      </c>
      <c r="I14" s="1">
        <v>575</v>
      </c>
      <c r="J14" s="1">
        <v>0</v>
      </c>
      <c r="K14" s="1">
        <v>0</v>
      </c>
      <c r="L14" s="1"/>
      <c r="M14" s="1"/>
      <c r="N14" s="1"/>
      <c r="O14" s="1"/>
      <c r="P14" s="1"/>
      <c r="Q14" s="1"/>
      <c r="R14" s="1"/>
      <c r="S14" s="1"/>
      <c r="T14" s="1"/>
    </row>
    <row r="15" spans="1:20" ht="15" x14ac:dyDescent="0.2">
      <c r="A15" s="3" t="s">
        <v>51</v>
      </c>
      <c r="B15" s="1" t="s">
        <v>52</v>
      </c>
      <c r="C15" s="4" t="s">
        <v>53</v>
      </c>
      <c r="D15" s="1" t="s">
        <v>14</v>
      </c>
      <c r="E15" s="1">
        <v>61</v>
      </c>
      <c r="F15" s="1">
        <v>1</v>
      </c>
      <c r="G15" s="5">
        <v>0</v>
      </c>
      <c r="H15" s="1">
        <v>0</v>
      </c>
      <c r="I15" s="1">
        <v>39</v>
      </c>
      <c r="J15" s="1">
        <v>1</v>
      </c>
      <c r="K15" s="1">
        <v>1</v>
      </c>
      <c r="L15" s="1"/>
      <c r="M15" s="1"/>
      <c r="N15" s="1"/>
      <c r="O15" s="1"/>
      <c r="P15" s="1"/>
      <c r="Q15" s="1"/>
      <c r="R15" s="1"/>
      <c r="S15" s="1"/>
      <c r="T15" s="1"/>
    </row>
    <row r="16" spans="1:20" ht="15" x14ac:dyDescent="0.2">
      <c r="A16" s="3" t="s">
        <v>54</v>
      </c>
      <c r="B16" s="1" t="s">
        <v>55</v>
      </c>
      <c r="C16" s="4" t="s">
        <v>56</v>
      </c>
      <c r="D16" s="1" t="s">
        <v>14</v>
      </c>
      <c r="E16" s="1">
        <v>79</v>
      </c>
      <c r="F16" s="1">
        <v>1</v>
      </c>
      <c r="G16" s="5">
        <v>1</v>
      </c>
      <c r="H16" s="1">
        <v>0</v>
      </c>
      <c r="I16" s="1">
        <v>994</v>
      </c>
      <c r="J16" s="1">
        <v>0</v>
      </c>
      <c r="K16" s="1">
        <v>1</v>
      </c>
      <c r="L16" s="1"/>
      <c r="M16" s="1"/>
      <c r="N16" s="1"/>
      <c r="O16" s="1"/>
      <c r="P16" s="1"/>
      <c r="Q16" s="1"/>
      <c r="R16" s="1"/>
      <c r="S16" s="1"/>
      <c r="T16" s="1"/>
    </row>
    <row r="17" spans="1:20" ht="15" x14ac:dyDescent="0.2">
      <c r="A17" s="3" t="s">
        <v>57</v>
      </c>
      <c r="B17" s="1" t="s">
        <v>58</v>
      </c>
      <c r="C17" s="4" t="s">
        <v>59</v>
      </c>
      <c r="D17" s="1" t="s">
        <v>14</v>
      </c>
      <c r="E17" s="1">
        <v>50</v>
      </c>
      <c r="F17" s="1">
        <v>1</v>
      </c>
      <c r="G17" s="5">
        <v>0</v>
      </c>
      <c r="H17" s="1">
        <v>0</v>
      </c>
      <c r="I17" s="1">
        <v>54</v>
      </c>
      <c r="J17" s="1">
        <v>1</v>
      </c>
      <c r="K17" s="1">
        <v>1</v>
      </c>
      <c r="L17" s="1"/>
      <c r="M17" s="1"/>
      <c r="N17" s="1"/>
      <c r="O17" s="1"/>
      <c r="P17" s="1"/>
      <c r="Q17" s="1"/>
      <c r="R17" s="1"/>
      <c r="S17" s="1"/>
      <c r="T17" s="1"/>
    </row>
    <row r="18" spans="1:20" ht="15" x14ac:dyDescent="0.2">
      <c r="A18" s="3" t="s">
        <v>60</v>
      </c>
      <c r="B18" s="1" t="s">
        <v>61</v>
      </c>
      <c r="C18" s="4" t="s">
        <v>62</v>
      </c>
      <c r="D18" s="1" t="s">
        <v>14</v>
      </c>
      <c r="E18" s="1">
        <v>69</v>
      </c>
      <c r="F18" s="1">
        <v>2</v>
      </c>
      <c r="G18" s="5">
        <v>0</v>
      </c>
      <c r="H18" s="1">
        <v>0</v>
      </c>
      <c r="I18" s="1">
        <v>110</v>
      </c>
      <c r="J18" s="1">
        <v>1</v>
      </c>
      <c r="K18" s="1">
        <v>1</v>
      </c>
      <c r="L18" s="1"/>
      <c r="M18" s="1"/>
      <c r="N18" s="1"/>
      <c r="O18" s="1"/>
      <c r="P18" s="1"/>
      <c r="Q18" s="1"/>
      <c r="R18" s="1"/>
      <c r="S18" s="1"/>
      <c r="T18" s="1"/>
    </row>
    <row r="19" spans="1:20" ht="15" x14ac:dyDescent="0.2">
      <c r="A19" s="3" t="s">
        <v>63</v>
      </c>
      <c r="B19" s="1" t="s">
        <v>64</v>
      </c>
      <c r="C19" s="4" t="s">
        <v>65</v>
      </c>
      <c r="D19" s="1" t="s">
        <v>14</v>
      </c>
      <c r="E19" s="1">
        <v>53</v>
      </c>
      <c r="F19" s="1">
        <v>1</v>
      </c>
      <c r="G19" s="5">
        <v>0</v>
      </c>
      <c r="H19" s="1">
        <v>0</v>
      </c>
      <c r="I19" s="1">
        <v>134</v>
      </c>
      <c r="J19" s="1">
        <v>0</v>
      </c>
      <c r="K19" s="1">
        <v>0</v>
      </c>
      <c r="L19" s="1"/>
      <c r="M19" s="1"/>
      <c r="N19" s="1"/>
      <c r="O19" s="1"/>
      <c r="P19" s="1"/>
      <c r="Q19" s="1"/>
      <c r="R19" s="1"/>
      <c r="S19" s="1"/>
      <c r="T19" s="1"/>
    </row>
    <row r="20" spans="1:20" ht="15" x14ac:dyDescent="0.2">
      <c r="A20" s="3" t="s">
        <v>66</v>
      </c>
      <c r="B20" s="1" t="s">
        <v>67</v>
      </c>
      <c r="C20" s="4" t="s">
        <v>68</v>
      </c>
      <c r="D20" s="1" t="s">
        <v>14</v>
      </c>
      <c r="E20" s="1">
        <v>52</v>
      </c>
      <c r="F20" s="1">
        <v>1</v>
      </c>
      <c r="G20" s="5">
        <v>1</v>
      </c>
      <c r="H20" s="1">
        <v>0</v>
      </c>
      <c r="I20" s="1">
        <v>1673</v>
      </c>
      <c r="J20" s="1">
        <v>0</v>
      </c>
      <c r="K20" s="1">
        <v>0</v>
      </c>
      <c r="L20" s="1"/>
      <c r="M20" s="1"/>
      <c r="N20" s="1"/>
      <c r="O20" s="1"/>
      <c r="P20" s="1"/>
      <c r="Q20" s="1"/>
      <c r="R20" s="1"/>
      <c r="S20" s="1"/>
      <c r="T20" s="1"/>
    </row>
    <row r="21" spans="1:20" ht="15" x14ac:dyDescent="0.2">
      <c r="A21" s="3" t="s">
        <v>69</v>
      </c>
      <c r="B21" s="1" t="s">
        <v>70</v>
      </c>
      <c r="C21" s="4" t="s">
        <v>71</v>
      </c>
      <c r="D21" s="1" t="s">
        <v>14</v>
      </c>
      <c r="E21" s="1">
        <v>74</v>
      </c>
      <c r="F21" s="1">
        <v>1</v>
      </c>
      <c r="G21" s="5">
        <v>1</v>
      </c>
      <c r="H21" s="1">
        <v>0</v>
      </c>
      <c r="I21" s="1">
        <v>54</v>
      </c>
      <c r="J21" s="1">
        <v>1</v>
      </c>
      <c r="K21" s="1">
        <v>1</v>
      </c>
      <c r="L21" s="1"/>
      <c r="M21" s="1" t="s">
        <v>1479</v>
      </c>
      <c r="N21" s="1"/>
      <c r="O21" s="1"/>
      <c r="P21" s="1"/>
      <c r="Q21" s="1"/>
      <c r="R21" s="1"/>
      <c r="S21" s="1"/>
      <c r="T21" s="1"/>
    </row>
    <row r="22" spans="1:20" ht="15" x14ac:dyDescent="0.2">
      <c r="A22" s="3" t="s">
        <v>72</v>
      </c>
      <c r="B22" s="1" t="s">
        <v>73</v>
      </c>
      <c r="C22" s="4" t="s">
        <v>74</v>
      </c>
      <c r="D22" s="1" t="s">
        <v>14</v>
      </c>
      <c r="E22" s="1">
        <v>48</v>
      </c>
      <c r="F22" s="1">
        <v>1</v>
      </c>
      <c r="G22" s="5">
        <v>1</v>
      </c>
      <c r="H22" s="1">
        <v>0</v>
      </c>
      <c r="I22" s="1">
        <v>472</v>
      </c>
      <c r="J22" s="1">
        <v>0</v>
      </c>
      <c r="K22" s="1">
        <v>1</v>
      </c>
      <c r="L22" s="1"/>
      <c r="M22" s="1"/>
      <c r="N22" s="1"/>
      <c r="O22" s="1"/>
      <c r="P22" s="1"/>
      <c r="Q22" s="1"/>
      <c r="R22" s="1"/>
      <c r="S22" s="1"/>
      <c r="T22" s="1"/>
    </row>
    <row r="23" spans="1:20" ht="15" x14ac:dyDescent="0.2">
      <c r="A23" s="3" t="s">
        <v>75</v>
      </c>
      <c r="B23" s="1" t="s">
        <v>76</v>
      </c>
      <c r="C23" s="4" t="s">
        <v>77</v>
      </c>
      <c r="D23" s="1" t="s">
        <v>14</v>
      </c>
      <c r="E23" s="1">
        <v>48</v>
      </c>
      <c r="F23" s="1">
        <v>1</v>
      </c>
      <c r="G23" s="5">
        <v>0</v>
      </c>
      <c r="H23" s="1">
        <v>0</v>
      </c>
      <c r="I23" s="1">
        <v>178</v>
      </c>
      <c r="J23" s="1">
        <v>1</v>
      </c>
      <c r="K23" s="1">
        <v>1</v>
      </c>
      <c r="L23" s="1"/>
      <c r="M23" s="1"/>
      <c r="N23" s="1"/>
      <c r="O23" s="1"/>
      <c r="P23" s="1"/>
      <c r="Q23" s="1"/>
      <c r="R23" s="1"/>
      <c r="S23" s="1"/>
      <c r="T23" s="1"/>
    </row>
    <row r="24" spans="1:20" ht="15" x14ac:dyDescent="0.2">
      <c r="A24" s="3" t="s">
        <v>78</v>
      </c>
      <c r="B24" s="1" t="s">
        <v>79</v>
      </c>
      <c r="C24" s="4" t="s">
        <v>80</v>
      </c>
      <c r="D24" s="1" t="s">
        <v>14</v>
      </c>
      <c r="E24" s="1">
        <v>56</v>
      </c>
      <c r="F24" s="1">
        <v>1</v>
      </c>
      <c r="G24" s="5">
        <v>1</v>
      </c>
      <c r="H24" s="1">
        <v>0</v>
      </c>
      <c r="I24" s="1">
        <v>287</v>
      </c>
      <c r="J24" s="1">
        <v>1</v>
      </c>
      <c r="K24" s="1">
        <v>1</v>
      </c>
      <c r="L24" s="1"/>
      <c r="M24" s="1"/>
      <c r="N24" s="1"/>
      <c r="O24" s="1"/>
      <c r="P24" s="1"/>
      <c r="Q24" s="1"/>
      <c r="R24" s="1"/>
      <c r="S24" s="1"/>
      <c r="T24" s="1"/>
    </row>
    <row r="25" spans="1:20" ht="15" x14ac:dyDescent="0.2">
      <c r="A25" s="3" t="s">
        <v>81</v>
      </c>
      <c r="B25" s="1" t="s">
        <v>82</v>
      </c>
      <c r="C25" s="4" t="s">
        <v>83</v>
      </c>
      <c r="D25" s="1" t="s">
        <v>14</v>
      </c>
      <c r="E25" s="1">
        <v>49</v>
      </c>
      <c r="F25" s="1">
        <v>1</v>
      </c>
      <c r="G25" s="5">
        <v>0</v>
      </c>
      <c r="H25" s="1">
        <v>0</v>
      </c>
      <c r="I25" s="1">
        <v>551</v>
      </c>
      <c r="J25" s="1">
        <v>0</v>
      </c>
      <c r="K25" s="1">
        <v>0</v>
      </c>
      <c r="L25" s="1"/>
      <c r="M25" s="1"/>
      <c r="N25" s="1"/>
      <c r="O25" s="1"/>
      <c r="P25" s="1"/>
      <c r="Q25" s="1"/>
      <c r="R25" s="1"/>
      <c r="S25" s="1"/>
      <c r="T25" s="1"/>
    </row>
    <row r="26" spans="1:20" ht="15" x14ac:dyDescent="0.2">
      <c r="A26" s="3" t="s">
        <v>84</v>
      </c>
      <c r="B26" s="1" t="s">
        <v>85</v>
      </c>
      <c r="C26" s="4" t="s">
        <v>86</v>
      </c>
      <c r="D26" s="1" t="s">
        <v>14</v>
      </c>
      <c r="E26" s="1">
        <v>29</v>
      </c>
      <c r="F26" s="1">
        <v>1</v>
      </c>
      <c r="G26" s="5">
        <v>1</v>
      </c>
      <c r="H26" s="1">
        <v>1</v>
      </c>
      <c r="I26" s="1">
        <v>1715</v>
      </c>
      <c r="J26" s="1">
        <v>0</v>
      </c>
      <c r="K26" s="1">
        <v>0</v>
      </c>
      <c r="L26" s="1"/>
      <c r="M26" s="1"/>
      <c r="N26" s="1"/>
      <c r="O26" s="1"/>
      <c r="P26" s="1"/>
      <c r="Q26" s="1"/>
      <c r="R26" s="1"/>
      <c r="S26" s="1"/>
      <c r="T26" s="1"/>
    </row>
    <row r="27" spans="1:20" ht="15" x14ac:dyDescent="0.2">
      <c r="A27" s="3" t="s">
        <v>87</v>
      </c>
      <c r="B27" s="1" t="s">
        <v>88</v>
      </c>
      <c r="C27" s="4" t="s">
        <v>89</v>
      </c>
      <c r="D27" s="1" t="s">
        <v>14</v>
      </c>
      <c r="E27" s="1">
        <v>67</v>
      </c>
      <c r="F27" s="1">
        <v>2</v>
      </c>
      <c r="G27" s="5">
        <v>1</v>
      </c>
      <c r="H27" s="1">
        <v>0</v>
      </c>
      <c r="I27" s="1">
        <v>1161</v>
      </c>
      <c r="J27" s="1">
        <v>0</v>
      </c>
      <c r="K27" s="1">
        <v>1</v>
      </c>
      <c r="L27" s="1"/>
      <c r="M27" s="1"/>
      <c r="N27" s="1"/>
      <c r="O27" s="1"/>
      <c r="P27" s="1"/>
      <c r="Q27" s="1"/>
      <c r="R27" s="1"/>
      <c r="S27" s="1"/>
      <c r="T27" s="1"/>
    </row>
    <row r="28" spans="1:20" ht="15" x14ac:dyDescent="0.2">
      <c r="A28" s="3" t="s">
        <v>90</v>
      </c>
      <c r="B28" s="1" t="s">
        <v>91</v>
      </c>
      <c r="C28" s="4" t="s">
        <v>92</v>
      </c>
      <c r="D28" s="1" t="s">
        <v>14</v>
      </c>
      <c r="E28" s="1">
        <v>71</v>
      </c>
      <c r="F28" s="1">
        <v>1</v>
      </c>
      <c r="G28" s="5">
        <v>0</v>
      </c>
      <c r="H28" s="1">
        <v>0</v>
      </c>
      <c r="I28" s="1">
        <v>223</v>
      </c>
      <c r="J28" s="1">
        <v>1</v>
      </c>
      <c r="K28" s="1">
        <v>0</v>
      </c>
      <c r="L28" s="1"/>
      <c r="M28" s="1"/>
      <c r="N28" s="1"/>
      <c r="O28" s="1"/>
      <c r="P28" s="1"/>
      <c r="Q28" s="1"/>
      <c r="R28" s="1"/>
      <c r="S28" s="1"/>
      <c r="T28" s="1"/>
    </row>
    <row r="29" spans="1:20" ht="15" x14ac:dyDescent="0.2">
      <c r="A29" s="3" t="s">
        <v>93</v>
      </c>
      <c r="B29" s="1" t="s">
        <v>94</v>
      </c>
      <c r="C29" s="4" t="s">
        <v>95</v>
      </c>
      <c r="D29" s="1" t="s">
        <v>14</v>
      </c>
      <c r="E29" s="1">
        <v>32</v>
      </c>
      <c r="F29" s="1">
        <v>1</v>
      </c>
      <c r="G29" s="5">
        <v>1</v>
      </c>
      <c r="H29" s="1">
        <v>1</v>
      </c>
      <c r="I29" s="1">
        <v>1718</v>
      </c>
      <c r="J29" s="1">
        <v>0</v>
      </c>
      <c r="K29" s="1">
        <v>0</v>
      </c>
      <c r="L29" s="1"/>
      <c r="M29" s="1"/>
      <c r="N29" s="1"/>
      <c r="O29" s="1"/>
      <c r="P29" s="1"/>
      <c r="Q29" s="1"/>
      <c r="R29" s="1"/>
      <c r="S29" s="1"/>
      <c r="T29" s="1"/>
    </row>
    <row r="30" spans="1:20" ht="15" x14ac:dyDescent="0.2">
      <c r="A30" s="3" t="s">
        <v>96</v>
      </c>
      <c r="B30" s="1" t="s">
        <v>97</v>
      </c>
      <c r="C30" s="4" t="s">
        <v>98</v>
      </c>
      <c r="D30" s="1" t="s">
        <v>14</v>
      </c>
      <c r="E30" s="1">
        <v>58</v>
      </c>
      <c r="F30" s="1">
        <v>1</v>
      </c>
      <c r="G30" s="5">
        <v>0</v>
      </c>
      <c r="H30" s="1">
        <v>0</v>
      </c>
      <c r="I30" s="1">
        <v>635</v>
      </c>
      <c r="J30" s="1">
        <v>0</v>
      </c>
      <c r="K30" s="1">
        <v>1</v>
      </c>
      <c r="L30" s="1"/>
      <c r="M30" s="1"/>
      <c r="N30" s="1"/>
      <c r="O30" s="1"/>
      <c r="P30" s="1"/>
      <c r="Q30" s="1"/>
      <c r="R30" s="1"/>
      <c r="S30" s="1"/>
      <c r="T30" s="1"/>
    </row>
    <row r="31" spans="1:20" ht="15" x14ac:dyDescent="0.2">
      <c r="A31" s="3" t="s">
        <v>99</v>
      </c>
      <c r="B31" s="1" t="s">
        <v>100</v>
      </c>
      <c r="C31" s="4" t="s">
        <v>101</v>
      </c>
      <c r="D31" s="1" t="s">
        <v>14</v>
      </c>
      <c r="E31" s="1">
        <v>60</v>
      </c>
      <c r="F31" s="1">
        <v>1</v>
      </c>
      <c r="G31" s="5">
        <v>0</v>
      </c>
      <c r="H31" s="1">
        <v>0</v>
      </c>
      <c r="I31" s="1">
        <v>902</v>
      </c>
      <c r="J31" s="1">
        <v>0</v>
      </c>
      <c r="K31" s="1">
        <v>0</v>
      </c>
      <c r="L31" s="1"/>
      <c r="M31" s="1"/>
      <c r="N31" s="1"/>
      <c r="O31" s="1"/>
      <c r="P31" s="1"/>
      <c r="Q31" s="1"/>
      <c r="R31" s="1"/>
      <c r="S31" s="1"/>
      <c r="T31" s="1"/>
    </row>
    <row r="32" spans="1:20" ht="15" x14ac:dyDescent="0.2">
      <c r="A32" s="3" t="s">
        <v>102</v>
      </c>
      <c r="B32" s="1" t="s">
        <v>103</v>
      </c>
      <c r="C32" s="4" t="s">
        <v>104</v>
      </c>
      <c r="D32" s="1" t="s">
        <v>14</v>
      </c>
      <c r="E32" s="1">
        <v>62</v>
      </c>
      <c r="F32" s="1">
        <v>2</v>
      </c>
      <c r="G32" s="5">
        <v>1</v>
      </c>
      <c r="H32" s="1">
        <v>0</v>
      </c>
      <c r="I32" s="1">
        <v>777</v>
      </c>
      <c r="J32" s="1">
        <v>1</v>
      </c>
      <c r="K32" s="1">
        <v>1</v>
      </c>
      <c r="L32" s="1"/>
      <c r="M32" s="1"/>
      <c r="N32" s="1"/>
      <c r="O32" s="1"/>
      <c r="P32" s="1"/>
      <c r="Q32" s="1"/>
      <c r="R32" s="1"/>
      <c r="S32" s="1"/>
      <c r="T32" s="1"/>
    </row>
    <row r="33" spans="1:20" ht="15.75" customHeight="1" x14ac:dyDescent="0.15">
      <c r="A33" s="1" t="s">
        <v>105</v>
      </c>
      <c r="B33" s="1" t="s">
        <v>106</v>
      </c>
      <c r="C33" s="4" t="s">
        <v>107</v>
      </c>
      <c r="D33" s="1" t="s">
        <v>14</v>
      </c>
      <c r="E33" s="1">
        <v>37</v>
      </c>
      <c r="F33" s="1">
        <v>1</v>
      </c>
      <c r="G33" s="5">
        <v>1</v>
      </c>
      <c r="H33" s="1">
        <v>0</v>
      </c>
      <c r="I33" s="1">
        <v>554</v>
      </c>
      <c r="J33" s="1">
        <v>0</v>
      </c>
      <c r="K33" s="1">
        <v>1</v>
      </c>
      <c r="L33" s="1"/>
      <c r="M33" s="1"/>
      <c r="N33" s="1"/>
      <c r="O33" s="1"/>
      <c r="P33" s="1"/>
      <c r="Q33" s="1"/>
      <c r="R33" s="1"/>
      <c r="S33" s="1"/>
      <c r="T33" s="1"/>
    </row>
    <row r="34" spans="1:20" ht="15.75" customHeight="1" x14ac:dyDescent="0.15">
      <c r="A34" s="1" t="s">
        <v>108</v>
      </c>
      <c r="B34" s="1" t="s">
        <v>109</v>
      </c>
      <c r="C34" s="4" t="s">
        <v>110</v>
      </c>
      <c r="D34" s="1" t="s">
        <v>14</v>
      </c>
      <c r="E34" s="1">
        <v>68</v>
      </c>
      <c r="F34" s="1">
        <v>2</v>
      </c>
      <c r="G34" s="5">
        <v>0</v>
      </c>
      <c r="H34" s="1">
        <v>0</v>
      </c>
      <c r="I34" s="1">
        <v>389</v>
      </c>
      <c r="J34" s="1">
        <v>1</v>
      </c>
      <c r="K34" s="1">
        <v>1</v>
      </c>
      <c r="L34" s="1"/>
      <c r="M34" s="1"/>
      <c r="N34" s="1"/>
      <c r="O34" s="1"/>
      <c r="P34" s="1"/>
      <c r="Q34" s="1"/>
      <c r="R34" s="1"/>
      <c r="S34" s="1"/>
      <c r="T34" s="1"/>
    </row>
    <row r="35" spans="1:20" ht="15.75" customHeight="1" x14ac:dyDescent="0.15">
      <c r="A35" s="1" t="s">
        <v>111</v>
      </c>
      <c r="B35" s="1" t="s">
        <v>112</v>
      </c>
      <c r="C35" s="4" t="s">
        <v>113</v>
      </c>
      <c r="D35" s="1" t="s">
        <v>14</v>
      </c>
      <c r="E35" s="1">
        <v>66</v>
      </c>
      <c r="F35" s="1">
        <v>1</v>
      </c>
      <c r="G35" s="5">
        <v>1</v>
      </c>
      <c r="H35" s="1">
        <v>0</v>
      </c>
      <c r="I35" s="1">
        <v>678</v>
      </c>
      <c r="J35" s="1">
        <v>1</v>
      </c>
      <c r="K35" s="1">
        <v>1</v>
      </c>
      <c r="L35" s="1"/>
      <c r="M35" s="1"/>
      <c r="N35" s="1"/>
      <c r="O35" s="1"/>
      <c r="P35" s="1"/>
      <c r="Q35" s="1"/>
      <c r="R35" s="1"/>
      <c r="S35" s="1"/>
      <c r="T35" s="1"/>
    </row>
    <row r="36" spans="1:20" ht="15.75" customHeight="1" x14ac:dyDescent="0.15">
      <c r="A36" s="1" t="s">
        <v>114</v>
      </c>
      <c r="B36" s="1" t="s">
        <v>115</v>
      </c>
      <c r="C36" s="4" t="s">
        <v>116</v>
      </c>
      <c r="D36" s="1" t="s">
        <v>14</v>
      </c>
      <c r="E36" s="1">
        <v>52</v>
      </c>
      <c r="F36" s="1">
        <v>1</v>
      </c>
      <c r="G36" s="5">
        <v>0</v>
      </c>
      <c r="H36" s="1">
        <v>0</v>
      </c>
      <c r="I36" s="1">
        <v>70</v>
      </c>
      <c r="J36" s="1">
        <v>1</v>
      </c>
      <c r="K36" s="1">
        <v>1</v>
      </c>
      <c r="L36" s="1"/>
      <c r="M36" s="1"/>
      <c r="N36" s="1"/>
      <c r="O36" s="1"/>
      <c r="P36" s="1"/>
      <c r="Q36" s="1"/>
      <c r="R36" s="1"/>
      <c r="S36" s="1"/>
      <c r="T36" s="1"/>
    </row>
    <row r="37" spans="1:20" ht="15.75" customHeight="1" x14ac:dyDescent="0.15">
      <c r="A37" s="1" t="s">
        <v>117</v>
      </c>
      <c r="B37" s="1" t="s">
        <v>118</v>
      </c>
      <c r="C37" s="4" t="s">
        <v>119</v>
      </c>
      <c r="D37" s="1" t="s">
        <v>14</v>
      </c>
      <c r="E37" s="1">
        <v>57</v>
      </c>
      <c r="F37" s="1">
        <v>2</v>
      </c>
      <c r="G37" s="5">
        <v>1</v>
      </c>
      <c r="H37" s="1">
        <v>0</v>
      </c>
      <c r="I37" s="1">
        <v>14</v>
      </c>
      <c r="J37" s="1">
        <v>1</v>
      </c>
      <c r="K37" s="1">
        <v>0</v>
      </c>
      <c r="L37" s="1"/>
      <c r="M37" s="1"/>
      <c r="N37" s="1"/>
      <c r="O37" s="1"/>
      <c r="P37" s="1"/>
      <c r="Q37" s="1"/>
      <c r="R37" s="1"/>
      <c r="S37" s="1"/>
      <c r="T37" s="1"/>
    </row>
    <row r="38" spans="1:20" ht="15.75" customHeight="1" x14ac:dyDescent="0.15">
      <c r="A38" s="1" t="s">
        <v>120</v>
      </c>
      <c r="B38" s="1" t="s">
        <v>121</v>
      </c>
      <c r="C38" s="4" t="s">
        <v>122</v>
      </c>
      <c r="D38" s="1" t="s">
        <v>14</v>
      </c>
      <c r="E38" s="1">
        <v>65</v>
      </c>
      <c r="F38" s="1">
        <v>2</v>
      </c>
      <c r="G38" s="5">
        <v>1</v>
      </c>
      <c r="H38" s="1">
        <v>0</v>
      </c>
      <c r="I38" s="1">
        <v>322</v>
      </c>
      <c r="J38" s="1">
        <v>1</v>
      </c>
      <c r="K38" s="1">
        <v>1</v>
      </c>
      <c r="L38" s="1"/>
      <c r="M38" s="1"/>
      <c r="N38" s="1"/>
      <c r="O38" s="1"/>
      <c r="P38" s="1"/>
      <c r="Q38" s="1"/>
      <c r="R38" s="1"/>
      <c r="S38" s="1"/>
      <c r="T38" s="1"/>
    </row>
    <row r="39" spans="1:20" ht="15.75" customHeight="1" x14ac:dyDescent="0.15">
      <c r="A39" s="1" t="s">
        <v>123</v>
      </c>
      <c r="B39" s="1" t="s">
        <v>124</v>
      </c>
      <c r="C39" s="4" t="s">
        <v>125</v>
      </c>
      <c r="D39" s="1" t="s">
        <v>14</v>
      </c>
      <c r="E39" s="1">
        <v>58</v>
      </c>
      <c r="F39" s="1">
        <v>2</v>
      </c>
      <c r="G39" s="5">
        <v>1</v>
      </c>
      <c r="H39" s="1">
        <v>0</v>
      </c>
      <c r="I39" s="1">
        <v>1116</v>
      </c>
      <c r="J39" s="1">
        <v>0</v>
      </c>
      <c r="K39" s="1">
        <v>1</v>
      </c>
      <c r="L39" s="1"/>
      <c r="M39" s="1"/>
      <c r="N39" s="1"/>
      <c r="O39" s="1"/>
      <c r="P39" s="1"/>
      <c r="Q39" s="1"/>
      <c r="R39" s="1"/>
      <c r="S39" s="1"/>
      <c r="T39" s="1"/>
    </row>
    <row r="40" spans="1:20" ht="15.75" customHeight="1" x14ac:dyDescent="0.15">
      <c r="A40" s="1" t="s">
        <v>126</v>
      </c>
      <c r="B40" s="1" t="s">
        <v>127</v>
      </c>
      <c r="C40" s="4" t="s">
        <v>128</v>
      </c>
      <c r="D40" s="1" t="s">
        <v>14</v>
      </c>
      <c r="E40" s="1">
        <v>38</v>
      </c>
      <c r="F40" s="1">
        <v>1</v>
      </c>
      <c r="G40" s="5">
        <v>1</v>
      </c>
      <c r="H40" s="1">
        <v>1</v>
      </c>
      <c r="I40" s="1">
        <v>930</v>
      </c>
      <c r="J40" s="1">
        <v>1</v>
      </c>
      <c r="K40" s="1">
        <v>0</v>
      </c>
      <c r="L40" s="1"/>
      <c r="M40" s="1"/>
      <c r="N40" s="1"/>
      <c r="O40" s="1"/>
      <c r="P40" s="1"/>
      <c r="Q40" s="1"/>
      <c r="R40" s="1"/>
      <c r="S40" s="1"/>
      <c r="T40" s="1"/>
    </row>
    <row r="41" spans="1:20" ht="15.75" customHeight="1" x14ac:dyDescent="0.15">
      <c r="A41" s="1" t="s">
        <v>129</v>
      </c>
      <c r="B41" s="1" t="s">
        <v>130</v>
      </c>
      <c r="C41" s="4" t="s">
        <v>131</v>
      </c>
      <c r="D41" s="1" t="s">
        <v>14</v>
      </c>
      <c r="E41" s="1">
        <v>65</v>
      </c>
      <c r="F41" s="1">
        <v>1</v>
      </c>
      <c r="G41" s="5">
        <v>1</v>
      </c>
      <c r="H41" s="1">
        <v>0</v>
      </c>
      <c r="I41" s="1">
        <v>749</v>
      </c>
      <c r="J41" s="1">
        <v>1</v>
      </c>
      <c r="K41" s="1">
        <v>1</v>
      </c>
      <c r="L41" s="1"/>
      <c r="M41" s="1"/>
      <c r="N41" s="1"/>
      <c r="O41" s="1"/>
      <c r="P41" s="1"/>
      <c r="Q41" s="1"/>
      <c r="R41" s="1"/>
      <c r="S41" s="1"/>
      <c r="T41" s="1"/>
    </row>
    <row r="42" spans="1:20" ht="15.75" customHeight="1" x14ac:dyDescent="0.15">
      <c r="A42" s="1" t="s">
        <v>132</v>
      </c>
      <c r="B42" s="1" t="s">
        <v>133</v>
      </c>
      <c r="C42" s="4" t="s">
        <v>134</v>
      </c>
      <c r="D42" s="1" t="s">
        <v>14</v>
      </c>
      <c r="E42" s="1">
        <v>61</v>
      </c>
      <c r="F42" s="1">
        <v>1</v>
      </c>
      <c r="G42" s="5">
        <v>0</v>
      </c>
      <c r="H42" s="1">
        <v>0</v>
      </c>
      <c r="I42" s="1">
        <v>421</v>
      </c>
      <c r="J42" s="1">
        <v>0</v>
      </c>
      <c r="K42" s="1">
        <v>1</v>
      </c>
      <c r="L42" s="1"/>
      <c r="M42" s="1"/>
      <c r="N42" s="1"/>
      <c r="O42" s="1"/>
      <c r="P42" s="1"/>
      <c r="Q42" s="1"/>
      <c r="R42" s="1"/>
      <c r="S42" s="1"/>
      <c r="T42" s="1"/>
    </row>
    <row r="43" spans="1:20" ht="15.75" customHeight="1" x14ac:dyDescent="0.15">
      <c r="A43" s="1" t="s">
        <v>135</v>
      </c>
      <c r="B43" s="1" t="s">
        <v>136</v>
      </c>
      <c r="C43" s="4" t="s">
        <v>137</v>
      </c>
      <c r="D43" s="1" t="s">
        <v>14</v>
      </c>
      <c r="E43" s="1">
        <v>63</v>
      </c>
      <c r="F43" s="1">
        <v>2</v>
      </c>
      <c r="G43" s="5">
        <v>1</v>
      </c>
      <c r="H43" s="1">
        <v>0</v>
      </c>
      <c r="I43" s="1">
        <v>92</v>
      </c>
      <c r="J43" s="1">
        <v>0</v>
      </c>
      <c r="K43" s="1">
        <v>1</v>
      </c>
      <c r="L43" s="1"/>
      <c r="M43" s="1"/>
      <c r="N43" s="1"/>
      <c r="O43" s="1"/>
      <c r="P43" s="1"/>
      <c r="Q43" s="1"/>
      <c r="R43" s="1"/>
      <c r="S43" s="1"/>
      <c r="T43" s="1"/>
    </row>
    <row r="44" spans="1:20" ht="15.75" customHeight="1" x14ac:dyDescent="0.15">
      <c r="A44" s="1" t="s">
        <v>138</v>
      </c>
      <c r="B44" s="1" t="s">
        <v>139</v>
      </c>
      <c r="C44" s="4" t="s">
        <v>140</v>
      </c>
      <c r="D44" s="1" t="s">
        <v>14</v>
      </c>
      <c r="E44" s="1">
        <v>51</v>
      </c>
      <c r="F44" s="1">
        <v>1</v>
      </c>
      <c r="G44" s="5">
        <v>1</v>
      </c>
      <c r="H44" s="1">
        <v>0</v>
      </c>
      <c r="I44" s="1">
        <v>611</v>
      </c>
      <c r="J44" s="1">
        <v>1</v>
      </c>
      <c r="K44" s="1">
        <v>1</v>
      </c>
      <c r="L44" s="1"/>
      <c r="M44" s="1"/>
      <c r="N44" s="1"/>
      <c r="O44" s="1"/>
      <c r="P44" s="1"/>
      <c r="Q44" s="1"/>
      <c r="R44" s="1"/>
      <c r="S44" s="1"/>
      <c r="T44" s="1"/>
    </row>
    <row r="45" spans="1:20" ht="15.75" customHeight="1" x14ac:dyDescent="0.15">
      <c r="A45" s="1" t="s">
        <v>141</v>
      </c>
      <c r="B45" s="1" t="s">
        <v>142</v>
      </c>
      <c r="C45" s="4" t="s">
        <v>143</v>
      </c>
      <c r="D45" s="1" t="s">
        <v>14</v>
      </c>
      <c r="E45" s="1">
        <v>55</v>
      </c>
      <c r="F45" s="1">
        <v>1</v>
      </c>
      <c r="G45" s="5">
        <v>0</v>
      </c>
      <c r="H45" s="1">
        <v>0</v>
      </c>
      <c r="I45" s="1">
        <v>301</v>
      </c>
      <c r="J45" s="1">
        <v>1</v>
      </c>
      <c r="K45" s="1">
        <v>1</v>
      </c>
      <c r="L45" s="1"/>
      <c r="M45" s="1"/>
      <c r="N45" s="1"/>
      <c r="O45" s="1"/>
      <c r="P45" s="1"/>
      <c r="Q45" s="1"/>
      <c r="R45" s="1"/>
      <c r="S45" s="1"/>
      <c r="T45" s="1"/>
    </row>
    <row r="46" spans="1:20" ht="15.75" customHeight="1" x14ac:dyDescent="0.15">
      <c r="A46" s="1" t="s">
        <v>144</v>
      </c>
      <c r="B46" s="1" t="s">
        <v>145</v>
      </c>
      <c r="C46" s="4" t="s">
        <v>146</v>
      </c>
      <c r="D46" s="1" t="s">
        <v>14</v>
      </c>
      <c r="E46" s="1">
        <v>77</v>
      </c>
      <c r="F46" s="1">
        <v>2</v>
      </c>
      <c r="G46" s="5">
        <v>1</v>
      </c>
      <c r="H46" s="1">
        <v>0</v>
      </c>
      <c r="I46" s="1">
        <v>253</v>
      </c>
      <c r="J46" s="1">
        <v>0</v>
      </c>
      <c r="K46" s="1">
        <v>1</v>
      </c>
      <c r="L46" s="1"/>
      <c r="M46" s="1"/>
      <c r="N46" s="1"/>
      <c r="O46" s="1"/>
      <c r="P46" s="1"/>
      <c r="Q46" s="1"/>
      <c r="R46" s="1"/>
      <c r="S46" s="1"/>
      <c r="T46" s="1"/>
    </row>
    <row r="47" spans="1:20" ht="15.75" customHeight="1" x14ac:dyDescent="0.15">
      <c r="A47" s="1" t="s">
        <v>147</v>
      </c>
      <c r="B47" s="1" t="s">
        <v>148</v>
      </c>
      <c r="C47" s="4" t="s">
        <v>149</v>
      </c>
      <c r="D47" s="1" t="s">
        <v>14</v>
      </c>
      <c r="E47" s="1">
        <v>68</v>
      </c>
      <c r="F47" s="1">
        <v>2</v>
      </c>
      <c r="G47" s="5">
        <v>1</v>
      </c>
      <c r="H47" s="1">
        <v>0</v>
      </c>
      <c r="I47" s="1">
        <v>133</v>
      </c>
      <c r="J47" s="1">
        <v>1</v>
      </c>
      <c r="K47" s="1">
        <v>0</v>
      </c>
      <c r="L47" s="1"/>
      <c r="M47" s="1"/>
      <c r="N47" s="1"/>
      <c r="O47" s="1"/>
      <c r="P47" s="1"/>
      <c r="Q47" s="1"/>
      <c r="R47" s="1"/>
      <c r="S47" s="1"/>
      <c r="T47" s="1"/>
    </row>
    <row r="48" spans="1:20" ht="15.75" customHeight="1" x14ac:dyDescent="0.15">
      <c r="A48" s="1" t="s">
        <v>150</v>
      </c>
      <c r="B48" s="1" t="s">
        <v>151</v>
      </c>
      <c r="C48" s="4" t="s">
        <v>152</v>
      </c>
      <c r="D48" s="1" t="s">
        <v>14</v>
      </c>
      <c r="E48" s="1">
        <v>37</v>
      </c>
      <c r="F48" s="1">
        <v>1</v>
      </c>
      <c r="G48" s="5">
        <v>1</v>
      </c>
      <c r="H48" s="1">
        <v>0</v>
      </c>
      <c r="I48" s="1">
        <v>1489</v>
      </c>
      <c r="J48" s="1">
        <v>1</v>
      </c>
      <c r="K48" s="1">
        <v>1</v>
      </c>
      <c r="L48" s="1"/>
      <c r="M48" s="1"/>
      <c r="N48" s="1"/>
      <c r="O48" s="1"/>
      <c r="P48" s="1"/>
      <c r="Q48" s="1"/>
      <c r="R48" s="1"/>
      <c r="S48" s="1"/>
      <c r="T48" s="1"/>
    </row>
    <row r="49" spans="1:20" ht="15.75" customHeight="1" x14ac:dyDescent="0.15">
      <c r="A49" s="1" t="s">
        <v>153</v>
      </c>
      <c r="B49" s="1" t="s">
        <v>154</v>
      </c>
      <c r="C49" s="4" t="s">
        <v>155</v>
      </c>
      <c r="D49" s="1" t="s">
        <v>14</v>
      </c>
      <c r="E49" s="1">
        <v>63</v>
      </c>
      <c r="F49" s="1">
        <v>1</v>
      </c>
      <c r="G49" s="5">
        <v>1</v>
      </c>
      <c r="H49" s="1">
        <v>0</v>
      </c>
      <c r="I49" s="1">
        <v>406</v>
      </c>
      <c r="J49" s="1">
        <v>0</v>
      </c>
      <c r="K49" s="1">
        <v>1</v>
      </c>
      <c r="L49" s="1"/>
      <c r="M49" s="1"/>
      <c r="N49" s="1"/>
      <c r="O49" s="1"/>
      <c r="P49" s="1"/>
      <c r="Q49" s="1"/>
      <c r="R49" s="1"/>
      <c r="S49" s="1"/>
      <c r="T49" s="1"/>
    </row>
    <row r="50" spans="1:20" ht="15.75" customHeight="1" x14ac:dyDescent="0.15">
      <c r="A50" s="1" t="s">
        <v>156</v>
      </c>
      <c r="B50" s="1" t="s">
        <v>157</v>
      </c>
      <c r="C50" s="4" t="s">
        <v>158</v>
      </c>
      <c r="D50" s="1" t="s">
        <v>14</v>
      </c>
      <c r="E50" s="1">
        <v>51</v>
      </c>
      <c r="F50" s="1">
        <v>1</v>
      </c>
      <c r="G50" s="5">
        <v>0</v>
      </c>
      <c r="H50" s="1">
        <v>0</v>
      </c>
      <c r="I50" s="1">
        <v>653</v>
      </c>
      <c r="J50" s="1">
        <v>1</v>
      </c>
      <c r="K50" s="1">
        <v>1</v>
      </c>
      <c r="L50" s="1"/>
      <c r="M50" s="1"/>
      <c r="N50" s="1"/>
      <c r="O50" s="1"/>
      <c r="P50" s="1"/>
      <c r="Q50" s="1"/>
      <c r="R50" s="1"/>
      <c r="S50" s="1"/>
      <c r="T50" s="1"/>
    </row>
    <row r="51" spans="1:20" ht="15.75" customHeight="1" x14ac:dyDescent="0.15">
      <c r="A51" s="1" t="s">
        <v>159</v>
      </c>
      <c r="B51" s="1" t="s">
        <v>160</v>
      </c>
      <c r="C51" s="4" t="s">
        <v>161</v>
      </c>
      <c r="D51" s="1" t="s">
        <v>14</v>
      </c>
      <c r="E51" s="1">
        <v>71</v>
      </c>
      <c r="F51" s="1">
        <v>1</v>
      </c>
      <c r="G51" s="5">
        <v>1</v>
      </c>
      <c r="H51" s="1">
        <v>0</v>
      </c>
      <c r="I51" s="1">
        <v>299</v>
      </c>
      <c r="J51" s="1">
        <v>1</v>
      </c>
      <c r="K51" s="1">
        <v>1</v>
      </c>
      <c r="L51" s="1"/>
      <c r="M51" s="1"/>
      <c r="N51" s="1"/>
      <c r="O51" s="1"/>
      <c r="P51" s="1"/>
      <c r="Q51" s="1"/>
      <c r="R51" s="1"/>
      <c r="S51" s="1"/>
      <c r="T51" s="1"/>
    </row>
    <row r="52" spans="1:20" ht="15.75" customHeight="1" x14ac:dyDescent="0.15">
      <c r="A52" s="1" t="s">
        <v>162</v>
      </c>
      <c r="B52" s="1" t="s">
        <v>163</v>
      </c>
      <c r="C52" s="4" t="s">
        <v>164</v>
      </c>
      <c r="D52" s="1" t="s">
        <v>14</v>
      </c>
      <c r="E52" s="1">
        <v>84</v>
      </c>
      <c r="F52" s="1">
        <v>1</v>
      </c>
      <c r="G52" s="5">
        <v>1</v>
      </c>
      <c r="H52" s="1">
        <v>0</v>
      </c>
      <c r="I52" s="1">
        <v>142</v>
      </c>
      <c r="J52" s="1">
        <v>1</v>
      </c>
      <c r="K52" s="1">
        <v>1</v>
      </c>
      <c r="L52" s="1"/>
      <c r="M52" s="1"/>
      <c r="N52" s="1"/>
      <c r="O52" s="1"/>
      <c r="P52" s="1"/>
      <c r="Q52" s="1"/>
      <c r="R52" s="1"/>
      <c r="S52" s="1"/>
      <c r="T52" s="1"/>
    </row>
    <row r="53" spans="1:20" ht="15.75" customHeight="1" x14ac:dyDescent="0.15">
      <c r="A53" s="1" t="s">
        <v>165</v>
      </c>
      <c r="B53" s="1" t="s">
        <v>166</v>
      </c>
      <c r="C53" s="4" t="s">
        <v>167</v>
      </c>
      <c r="D53" s="1" t="s">
        <v>14</v>
      </c>
      <c r="E53" s="1">
        <v>74</v>
      </c>
      <c r="F53" s="1">
        <v>1</v>
      </c>
      <c r="G53" s="5">
        <v>1</v>
      </c>
      <c r="H53" s="1">
        <v>0</v>
      </c>
      <c r="I53" s="1">
        <v>460</v>
      </c>
      <c r="J53" s="1">
        <v>0</v>
      </c>
      <c r="K53" s="1">
        <v>0</v>
      </c>
      <c r="L53" s="1"/>
      <c r="M53" s="1"/>
      <c r="N53" s="1"/>
      <c r="O53" s="1"/>
      <c r="P53" s="1"/>
      <c r="Q53" s="1"/>
      <c r="R53" s="1"/>
      <c r="S53" s="1"/>
      <c r="T53" s="1"/>
    </row>
    <row r="54" spans="1:20" ht="15.75" customHeight="1" x14ac:dyDescent="0.15">
      <c r="A54" s="1" t="s">
        <v>168</v>
      </c>
      <c r="B54" s="1" t="s">
        <v>169</v>
      </c>
      <c r="C54" s="4" t="s">
        <v>170</v>
      </c>
      <c r="D54" s="1" t="s">
        <v>14</v>
      </c>
      <c r="E54" s="1">
        <v>79</v>
      </c>
      <c r="F54" s="1">
        <v>2</v>
      </c>
      <c r="G54" s="5">
        <v>0</v>
      </c>
      <c r="H54" s="1">
        <v>0</v>
      </c>
      <c r="I54" s="1">
        <v>560</v>
      </c>
      <c r="J54" s="1">
        <v>1</v>
      </c>
      <c r="K54" s="1">
        <v>1</v>
      </c>
      <c r="L54" s="1"/>
      <c r="M54" s="1"/>
      <c r="N54" s="1"/>
      <c r="O54" s="1"/>
      <c r="P54" s="1"/>
      <c r="Q54" s="1"/>
      <c r="R54" s="1"/>
      <c r="S54" s="1"/>
      <c r="T54" s="1"/>
    </row>
    <row r="55" spans="1:20" ht="15.75" customHeight="1" x14ac:dyDescent="0.15">
      <c r="A55" s="1" t="s">
        <v>171</v>
      </c>
      <c r="B55" s="1" t="s">
        <v>172</v>
      </c>
      <c r="C55" s="4" t="s">
        <v>173</v>
      </c>
      <c r="D55" s="1" t="s">
        <v>14</v>
      </c>
      <c r="E55" s="1">
        <v>61</v>
      </c>
      <c r="F55" s="1">
        <v>1</v>
      </c>
      <c r="G55" s="5">
        <v>0</v>
      </c>
      <c r="H55" s="1">
        <v>0</v>
      </c>
      <c r="I55" s="1">
        <v>583</v>
      </c>
      <c r="J55" s="1">
        <v>0</v>
      </c>
      <c r="K55" s="1">
        <v>0</v>
      </c>
      <c r="L55" s="1"/>
      <c r="M55" s="1"/>
      <c r="N55" s="1"/>
      <c r="O55" s="1"/>
      <c r="P55" s="1"/>
      <c r="Q55" s="1"/>
      <c r="R55" s="1"/>
      <c r="S55" s="1"/>
      <c r="T55" s="1"/>
    </row>
    <row r="56" spans="1:20" ht="15.75" customHeight="1" x14ac:dyDescent="0.15">
      <c r="A56" s="1" t="s">
        <v>174</v>
      </c>
      <c r="B56" s="1" t="s">
        <v>175</v>
      </c>
      <c r="C56" s="4" t="s">
        <v>176</v>
      </c>
      <c r="D56" s="1" t="s">
        <v>14</v>
      </c>
      <c r="E56" s="1">
        <v>41</v>
      </c>
      <c r="F56" s="1">
        <v>1</v>
      </c>
      <c r="G56" s="5">
        <v>1</v>
      </c>
      <c r="H56" s="1">
        <v>1</v>
      </c>
      <c r="I56" s="1">
        <v>1759</v>
      </c>
      <c r="J56" s="1">
        <v>0</v>
      </c>
      <c r="K56" s="1">
        <v>0</v>
      </c>
      <c r="L56" s="1"/>
      <c r="M56" s="1"/>
      <c r="N56" s="1"/>
      <c r="O56" s="1"/>
      <c r="P56" s="1"/>
      <c r="Q56" s="1"/>
      <c r="R56" s="1"/>
      <c r="S56" s="1"/>
      <c r="T56" s="1"/>
    </row>
    <row r="57" spans="1:20" ht="15.75" customHeight="1" x14ac:dyDescent="0.15">
      <c r="A57" s="1" t="s">
        <v>177</v>
      </c>
      <c r="B57" s="1" t="s">
        <v>178</v>
      </c>
      <c r="C57" s="4" t="s">
        <v>179</v>
      </c>
      <c r="D57" s="1" t="s">
        <v>14</v>
      </c>
      <c r="E57" s="1">
        <v>39</v>
      </c>
      <c r="F57" s="1">
        <v>1</v>
      </c>
      <c r="G57" s="5">
        <v>1</v>
      </c>
      <c r="H57" s="1">
        <v>0</v>
      </c>
      <c r="I57" s="1">
        <v>17</v>
      </c>
      <c r="J57" s="1">
        <v>0</v>
      </c>
      <c r="K57" s="1">
        <v>0</v>
      </c>
      <c r="L57" s="1"/>
      <c r="M57" s="1"/>
      <c r="N57" s="1"/>
      <c r="O57" s="1"/>
      <c r="P57" s="1"/>
      <c r="Q57" s="1"/>
      <c r="R57" s="1"/>
      <c r="S57" s="1"/>
      <c r="T57" s="1"/>
    </row>
    <row r="58" spans="1:20" ht="15.75" customHeight="1" x14ac:dyDescent="0.15">
      <c r="A58" s="1" t="s">
        <v>180</v>
      </c>
      <c r="B58" s="1" t="s">
        <v>181</v>
      </c>
      <c r="C58" s="4" t="s">
        <v>182</v>
      </c>
      <c r="D58" s="1" t="s">
        <v>14</v>
      </c>
      <c r="E58" s="1">
        <v>63</v>
      </c>
      <c r="F58" s="1">
        <v>1</v>
      </c>
      <c r="G58" s="5">
        <v>0</v>
      </c>
      <c r="H58" s="1">
        <v>0</v>
      </c>
      <c r="I58" s="1">
        <v>52</v>
      </c>
      <c r="J58" s="1">
        <v>1</v>
      </c>
      <c r="K58" s="1">
        <v>0</v>
      </c>
      <c r="L58" s="1"/>
      <c r="M58" s="1"/>
      <c r="N58" s="1"/>
      <c r="O58" s="1"/>
      <c r="P58" s="1"/>
      <c r="Q58" s="1"/>
      <c r="R58" s="1"/>
      <c r="S58" s="1"/>
      <c r="T58" s="1"/>
    </row>
    <row r="59" spans="1:20" ht="15.75" customHeight="1" x14ac:dyDescent="0.15">
      <c r="A59" s="1" t="s">
        <v>183</v>
      </c>
      <c r="B59" s="1" t="s">
        <v>184</v>
      </c>
      <c r="C59" s="4" t="s">
        <v>185</v>
      </c>
      <c r="D59" s="1" t="s">
        <v>14</v>
      </c>
      <c r="E59" s="1">
        <v>72</v>
      </c>
      <c r="F59" s="1">
        <v>2</v>
      </c>
      <c r="G59" s="5">
        <v>1</v>
      </c>
      <c r="H59" s="1">
        <v>0</v>
      </c>
      <c r="I59" s="1">
        <v>266</v>
      </c>
      <c r="J59" s="1">
        <v>1</v>
      </c>
      <c r="K59" s="1">
        <v>0</v>
      </c>
      <c r="L59" s="1"/>
      <c r="M59" s="1"/>
      <c r="N59" s="1"/>
      <c r="O59" s="1"/>
      <c r="P59" s="1"/>
      <c r="Q59" s="1"/>
      <c r="R59" s="1"/>
      <c r="S59" s="1"/>
      <c r="T59" s="1"/>
    </row>
    <row r="60" spans="1:20" ht="15.75" customHeight="1" x14ac:dyDescent="0.15">
      <c r="A60" s="1" t="s">
        <v>186</v>
      </c>
      <c r="B60" s="1" t="s">
        <v>187</v>
      </c>
      <c r="C60" s="4" t="s">
        <v>188</v>
      </c>
      <c r="D60" s="1" t="s">
        <v>14</v>
      </c>
      <c r="E60" s="1">
        <v>50</v>
      </c>
      <c r="F60" s="1">
        <v>1</v>
      </c>
      <c r="G60" s="5">
        <v>0</v>
      </c>
      <c r="H60" s="1">
        <v>0</v>
      </c>
      <c r="I60" s="1">
        <v>705</v>
      </c>
      <c r="J60" s="1">
        <v>1</v>
      </c>
      <c r="K60" s="1">
        <v>1</v>
      </c>
      <c r="L60" s="1"/>
      <c r="M60" s="1"/>
      <c r="N60" s="1"/>
      <c r="O60" s="1"/>
      <c r="P60" s="1"/>
      <c r="Q60" s="1"/>
      <c r="R60" s="1"/>
      <c r="S60" s="1"/>
      <c r="T60" s="1"/>
    </row>
    <row r="61" spans="1:20" ht="15.75" customHeight="1" x14ac:dyDescent="0.15">
      <c r="A61" s="1" t="s">
        <v>189</v>
      </c>
      <c r="B61" s="1" t="s">
        <v>190</v>
      </c>
      <c r="C61" s="4" t="s">
        <v>191</v>
      </c>
      <c r="D61" s="1" t="s">
        <v>14</v>
      </c>
      <c r="E61" s="1">
        <v>34</v>
      </c>
      <c r="F61" s="1">
        <v>1</v>
      </c>
      <c r="G61" s="5">
        <v>1</v>
      </c>
      <c r="H61" s="1">
        <v>0</v>
      </c>
      <c r="I61" s="1">
        <v>465</v>
      </c>
      <c r="J61" s="1">
        <v>1</v>
      </c>
      <c r="K61" s="1">
        <v>1</v>
      </c>
      <c r="L61" s="1"/>
      <c r="M61" s="1"/>
      <c r="N61" s="1"/>
      <c r="O61" s="1"/>
      <c r="P61" s="1"/>
      <c r="Q61" s="1"/>
      <c r="R61" s="1"/>
      <c r="S61" s="1"/>
      <c r="T61" s="1"/>
    </row>
    <row r="62" spans="1:20" ht="15.75" customHeight="1" x14ac:dyDescent="0.15">
      <c r="A62" s="1" t="s">
        <v>192</v>
      </c>
      <c r="B62" s="1" t="s">
        <v>193</v>
      </c>
      <c r="C62" s="4" t="s">
        <v>194</v>
      </c>
      <c r="D62" s="1" t="s">
        <v>14</v>
      </c>
      <c r="E62" s="1">
        <v>64</v>
      </c>
      <c r="F62" s="1">
        <v>1</v>
      </c>
      <c r="G62" s="5">
        <v>0</v>
      </c>
      <c r="H62" s="1">
        <v>0</v>
      </c>
      <c r="I62" s="1">
        <v>167</v>
      </c>
      <c r="J62" s="1">
        <v>1</v>
      </c>
      <c r="K62" s="1">
        <v>1</v>
      </c>
      <c r="L62" s="1"/>
      <c r="M62" s="1"/>
      <c r="N62" s="1"/>
      <c r="O62" s="1"/>
      <c r="P62" s="1"/>
      <c r="Q62" s="1"/>
      <c r="R62" s="1"/>
      <c r="S62" s="1"/>
      <c r="T62" s="1"/>
    </row>
    <row r="63" spans="1:20" ht="15.75" customHeight="1" x14ac:dyDescent="0.15">
      <c r="A63" s="1" t="s">
        <v>195</v>
      </c>
      <c r="B63" s="1" t="s">
        <v>196</v>
      </c>
      <c r="C63" s="4" t="s">
        <v>197</v>
      </c>
      <c r="D63" s="1" t="s">
        <v>14</v>
      </c>
      <c r="E63" s="1">
        <v>55</v>
      </c>
      <c r="F63" s="1">
        <v>1</v>
      </c>
      <c r="G63" s="5">
        <v>1</v>
      </c>
      <c r="H63" s="1">
        <v>0</v>
      </c>
      <c r="I63" s="1">
        <v>1694</v>
      </c>
      <c r="J63" s="1">
        <v>0</v>
      </c>
      <c r="K63" s="1">
        <v>0</v>
      </c>
      <c r="L63" s="1"/>
      <c r="M63" s="1"/>
      <c r="N63" s="1"/>
      <c r="O63" s="1"/>
      <c r="P63" s="1"/>
      <c r="Q63" s="1"/>
      <c r="R63" s="1"/>
      <c r="S63" s="1"/>
      <c r="T63" s="1"/>
    </row>
    <row r="64" spans="1:20" ht="15.75" customHeight="1" x14ac:dyDescent="0.15">
      <c r="A64" s="1" t="s">
        <v>198</v>
      </c>
      <c r="B64" s="1" t="s">
        <v>199</v>
      </c>
      <c r="C64" s="4" t="s">
        <v>200</v>
      </c>
      <c r="D64" s="1" t="s">
        <v>14</v>
      </c>
      <c r="E64" s="1">
        <v>66</v>
      </c>
      <c r="F64" s="1">
        <v>1</v>
      </c>
      <c r="G64" s="5">
        <v>0</v>
      </c>
      <c r="H64" s="1">
        <v>0</v>
      </c>
      <c r="I64" s="1">
        <v>1303</v>
      </c>
      <c r="J64" s="1">
        <v>1</v>
      </c>
      <c r="K64" s="1">
        <v>1</v>
      </c>
      <c r="L64" s="1"/>
      <c r="M64" s="1"/>
      <c r="N64" s="1"/>
      <c r="O64" s="1"/>
      <c r="P64" s="1"/>
      <c r="Q64" s="1"/>
      <c r="R64" s="1"/>
      <c r="S64" s="1"/>
      <c r="T64" s="1"/>
    </row>
    <row r="65" spans="1:20" ht="15.75" customHeight="1" x14ac:dyDescent="0.15">
      <c r="A65" s="1" t="s">
        <v>201</v>
      </c>
      <c r="B65" s="1" t="s">
        <v>202</v>
      </c>
      <c r="C65" s="4" t="s">
        <v>203</v>
      </c>
      <c r="D65" s="1" t="s">
        <v>14</v>
      </c>
      <c r="E65" s="1">
        <v>78</v>
      </c>
      <c r="F65" s="1">
        <v>1</v>
      </c>
      <c r="G65" s="5">
        <v>1</v>
      </c>
      <c r="H65" s="1">
        <v>0</v>
      </c>
      <c r="I65" s="1">
        <v>17</v>
      </c>
      <c r="J65" s="1">
        <v>1</v>
      </c>
      <c r="K65" s="1">
        <v>0</v>
      </c>
      <c r="L65" s="1"/>
      <c r="M65" s="1"/>
      <c r="N65" s="1"/>
      <c r="O65" s="1"/>
      <c r="P65" s="1"/>
      <c r="Q65" s="1"/>
      <c r="R65" s="1"/>
      <c r="S65" s="1"/>
      <c r="T65" s="1"/>
    </row>
    <row r="66" spans="1:20" ht="15.75" customHeight="1" x14ac:dyDescent="0.15">
      <c r="A66" s="1" t="s">
        <v>204</v>
      </c>
      <c r="B66" s="1" t="s">
        <v>205</v>
      </c>
      <c r="C66" s="4" t="s">
        <v>206</v>
      </c>
      <c r="D66" s="1" t="s">
        <v>14</v>
      </c>
      <c r="E66" s="1">
        <v>65</v>
      </c>
      <c r="F66" s="1">
        <v>2</v>
      </c>
      <c r="G66" s="5">
        <v>0</v>
      </c>
      <c r="H66" s="1">
        <v>0</v>
      </c>
      <c r="I66" s="1">
        <v>162</v>
      </c>
      <c r="J66" s="1">
        <v>0</v>
      </c>
      <c r="K66" s="1">
        <v>1</v>
      </c>
      <c r="L66" s="1"/>
      <c r="M66" s="1"/>
      <c r="N66" s="1"/>
      <c r="O66" s="1"/>
      <c r="P66" s="1"/>
      <c r="Q66" s="1"/>
      <c r="R66" s="1"/>
      <c r="S66" s="1"/>
      <c r="T66" s="1"/>
    </row>
    <row r="67" spans="1:20" ht="15.75" customHeight="1" x14ac:dyDescent="0.15">
      <c r="A67" s="1" t="s">
        <v>207</v>
      </c>
      <c r="B67" s="1" t="s">
        <v>208</v>
      </c>
      <c r="C67" s="1" t="s">
        <v>209</v>
      </c>
      <c r="D67" s="1" t="s">
        <v>210</v>
      </c>
      <c r="E67" s="1">
        <v>63</v>
      </c>
      <c r="F67" s="1">
        <v>2</v>
      </c>
      <c r="G67" s="1">
        <v>1</v>
      </c>
      <c r="H67" s="1">
        <v>0</v>
      </c>
      <c r="I67" s="1">
        <v>1561</v>
      </c>
      <c r="J67" s="43"/>
      <c r="K67" s="1">
        <v>1</v>
      </c>
      <c r="L67" s="1"/>
      <c r="M67" s="1"/>
      <c r="N67" s="1"/>
      <c r="O67" s="1"/>
      <c r="P67" s="1"/>
      <c r="Q67" s="1"/>
      <c r="R67" s="1"/>
      <c r="S67" s="1"/>
      <c r="T67" s="1"/>
    </row>
    <row r="68" spans="1:20" ht="15" x14ac:dyDescent="0.2">
      <c r="A68" s="3" t="s">
        <v>211</v>
      </c>
      <c r="B68" s="1" t="s">
        <v>212</v>
      </c>
      <c r="C68" s="1" t="s">
        <v>213</v>
      </c>
      <c r="D68" s="1" t="s">
        <v>210</v>
      </c>
      <c r="E68" s="1">
        <v>42</v>
      </c>
      <c r="F68" s="1">
        <v>1</v>
      </c>
      <c r="G68" s="1">
        <v>0</v>
      </c>
      <c r="H68" s="1">
        <v>0</v>
      </c>
      <c r="I68" s="1">
        <v>822</v>
      </c>
      <c r="J68" s="43"/>
      <c r="K68" s="1">
        <v>1</v>
      </c>
      <c r="L68" s="1"/>
      <c r="M68" s="1"/>
      <c r="N68" s="1"/>
      <c r="O68" s="1"/>
      <c r="P68" s="1"/>
      <c r="Q68" s="1"/>
      <c r="R68" s="1"/>
      <c r="S68" s="1"/>
      <c r="T68" s="1"/>
    </row>
    <row r="69" spans="1:20" ht="15.75" customHeight="1" x14ac:dyDescent="0.15">
      <c r="A69" s="1" t="s">
        <v>214</v>
      </c>
      <c r="B69" s="1" t="s">
        <v>215</v>
      </c>
      <c r="C69" s="1" t="s">
        <v>216</v>
      </c>
      <c r="D69" s="1" t="s">
        <v>210</v>
      </c>
      <c r="E69" s="1">
        <v>56</v>
      </c>
      <c r="F69" s="1">
        <v>1</v>
      </c>
      <c r="G69" s="1">
        <v>0</v>
      </c>
      <c r="H69" s="1">
        <v>0</v>
      </c>
      <c r="I69" s="1">
        <v>372</v>
      </c>
      <c r="J69" s="43"/>
      <c r="K69" s="1">
        <v>1</v>
      </c>
      <c r="L69" s="1"/>
      <c r="M69" s="1"/>
      <c r="N69" s="1"/>
      <c r="O69" s="1"/>
      <c r="P69" s="1"/>
      <c r="Q69" s="1"/>
      <c r="R69" s="1"/>
      <c r="S69" s="1"/>
      <c r="T69" s="1"/>
    </row>
    <row r="70" spans="1:20" ht="15.75" customHeight="1" x14ac:dyDescent="0.15">
      <c r="A70" s="1" t="s">
        <v>217</v>
      </c>
      <c r="B70" s="1" t="s">
        <v>218</v>
      </c>
      <c r="C70" s="1" t="s">
        <v>219</v>
      </c>
      <c r="D70" s="1" t="s">
        <v>210</v>
      </c>
      <c r="E70" s="1">
        <v>61</v>
      </c>
      <c r="F70" s="1">
        <v>1</v>
      </c>
      <c r="G70" s="1">
        <v>1</v>
      </c>
      <c r="H70" s="1">
        <v>0</v>
      </c>
      <c r="I70" s="1">
        <v>466</v>
      </c>
      <c r="J70" s="43"/>
      <c r="K70" s="1">
        <v>1</v>
      </c>
      <c r="L70" s="1"/>
      <c r="M70" s="1"/>
      <c r="N70" s="1"/>
      <c r="O70" s="1"/>
      <c r="P70" s="1"/>
      <c r="Q70" s="1"/>
      <c r="R70" s="1"/>
      <c r="S70" s="1"/>
      <c r="T70" s="1"/>
    </row>
    <row r="71" spans="1:20" ht="15.75" customHeight="1" x14ac:dyDescent="0.15">
      <c r="A71" s="1" t="s">
        <v>220</v>
      </c>
      <c r="B71" s="1" t="s">
        <v>221</v>
      </c>
      <c r="C71" s="1" t="s">
        <v>222</v>
      </c>
      <c r="D71" s="1" t="s">
        <v>210</v>
      </c>
      <c r="E71" s="1">
        <v>74</v>
      </c>
      <c r="F71" s="1">
        <v>2</v>
      </c>
      <c r="G71" s="1">
        <v>1</v>
      </c>
      <c r="H71" s="1">
        <v>0</v>
      </c>
      <c r="I71" s="1">
        <v>213</v>
      </c>
      <c r="J71" s="43"/>
      <c r="K71" s="1">
        <v>1</v>
      </c>
      <c r="L71" s="1"/>
      <c r="M71" s="1"/>
      <c r="N71" s="1"/>
      <c r="O71" s="1"/>
      <c r="P71" s="1"/>
      <c r="Q71" s="1"/>
      <c r="R71" s="1"/>
      <c r="S71" s="1"/>
      <c r="T71" s="1"/>
    </row>
    <row r="72" spans="1:20" ht="15.75" customHeight="1" x14ac:dyDescent="0.15">
      <c r="A72" s="1" t="s">
        <v>223</v>
      </c>
      <c r="B72" s="1" t="s">
        <v>224</v>
      </c>
      <c r="C72" s="1" t="s">
        <v>225</v>
      </c>
      <c r="D72" s="1" t="s">
        <v>210</v>
      </c>
      <c r="E72" s="1">
        <v>57</v>
      </c>
      <c r="F72" s="1">
        <v>1</v>
      </c>
      <c r="G72" s="1">
        <v>1</v>
      </c>
      <c r="H72" s="1">
        <v>0</v>
      </c>
      <c r="I72" s="1">
        <v>346</v>
      </c>
      <c r="J72" s="43"/>
      <c r="K72" s="1">
        <v>1</v>
      </c>
      <c r="L72" s="1"/>
      <c r="M72" s="1"/>
      <c r="N72" s="1"/>
      <c r="O72" s="1"/>
      <c r="P72" s="1"/>
      <c r="Q72" s="1"/>
      <c r="R72" s="1"/>
      <c r="S72" s="1"/>
      <c r="T72" s="1"/>
    </row>
    <row r="73" spans="1:20" ht="15.75" customHeight="1" x14ac:dyDescent="0.15">
      <c r="A73" s="1" t="s">
        <v>226</v>
      </c>
      <c r="B73" s="1" t="s">
        <v>227</v>
      </c>
      <c r="C73" s="1" t="s">
        <v>228</v>
      </c>
      <c r="D73" s="1" t="s">
        <v>210</v>
      </c>
      <c r="E73" s="1">
        <v>78</v>
      </c>
      <c r="F73" s="1">
        <v>1</v>
      </c>
      <c r="G73" s="1">
        <v>0</v>
      </c>
      <c r="H73" s="1">
        <v>0</v>
      </c>
      <c r="I73" s="1">
        <v>82</v>
      </c>
      <c r="J73" s="43"/>
      <c r="K73" s="1">
        <v>1</v>
      </c>
      <c r="L73" s="1"/>
      <c r="M73" s="1"/>
      <c r="N73" s="1"/>
      <c r="O73" s="1"/>
      <c r="P73" s="1"/>
      <c r="Q73" s="1"/>
      <c r="R73" s="1"/>
      <c r="S73" s="1"/>
      <c r="T73" s="1"/>
    </row>
    <row r="74" spans="1:20" ht="15.75" customHeight="1" x14ac:dyDescent="0.15">
      <c r="A74" s="1" t="s">
        <v>229</v>
      </c>
      <c r="B74" s="1" t="s">
        <v>230</v>
      </c>
      <c r="C74" s="1" t="s">
        <v>231</v>
      </c>
      <c r="D74" s="1" t="s">
        <v>210</v>
      </c>
      <c r="E74" s="1">
        <v>63</v>
      </c>
      <c r="F74" s="1">
        <v>1</v>
      </c>
      <c r="G74" s="1">
        <v>1</v>
      </c>
      <c r="H74" s="1">
        <v>0</v>
      </c>
      <c r="I74" s="1">
        <v>634</v>
      </c>
      <c r="J74" s="43"/>
      <c r="K74" s="1">
        <v>1</v>
      </c>
      <c r="L74" s="1"/>
      <c r="M74" s="1"/>
      <c r="N74" s="1"/>
      <c r="O74" s="1"/>
      <c r="P74" s="1"/>
      <c r="Q74" s="1"/>
      <c r="R74" s="1"/>
      <c r="S74" s="1"/>
      <c r="T74" s="1"/>
    </row>
    <row r="75" spans="1:20" ht="15.75" customHeight="1" x14ac:dyDescent="0.15">
      <c r="A75" s="1" t="s">
        <v>232</v>
      </c>
      <c r="B75" s="1" t="s">
        <v>233</v>
      </c>
      <c r="C75" s="1" t="s">
        <v>234</v>
      </c>
      <c r="D75" s="1" t="s">
        <v>210</v>
      </c>
      <c r="E75" s="1">
        <v>75</v>
      </c>
      <c r="F75" s="1">
        <v>2</v>
      </c>
      <c r="G75" s="1">
        <v>0</v>
      </c>
      <c r="H75" s="1">
        <v>0</v>
      </c>
      <c r="I75" s="1">
        <v>121</v>
      </c>
      <c r="J75" s="43"/>
      <c r="K75" s="1">
        <v>1</v>
      </c>
      <c r="L75" s="1"/>
      <c r="M75" s="1"/>
      <c r="N75" s="1"/>
      <c r="O75" s="1"/>
      <c r="P75" s="1"/>
      <c r="Q75" s="1"/>
      <c r="R75" s="1"/>
      <c r="S75" s="1"/>
      <c r="T75" s="1"/>
    </row>
    <row r="76" spans="1:20" ht="15.75" customHeight="1" x14ac:dyDescent="0.15">
      <c r="A76" s="1" t="s">
        <v>235</v>
      </c>
      <c r="B76" s="1" t="s">
        <v>236</v>
      </c>
      <c r="C76" s="1" t="s">
        <v>237</v>
      </c>
      <c r="D76" s="1" t="s">
        <v>210</v>
      </c>
      <c r="E76" s="1">
        <v>51</v>
      </c>
      <c r="F76" s="1">
        <v>1</v>
      </c>
      <c r="G76" s="1">
        <v>0</v>
      </c>
      <c r="H76" s="1">
        <v>0</v>
      </c>
      <c r="I76" s="1">
        <v>5</v>
      </c>
      <c r="J76" s="43"/>
      <c r="K76" s="1">
        <v>1</v>
      </c>
      <c r="L76" s="1"/>
      <c r="M76" s="1"/>
      <c r="N76" s="1"/>
      <c r="O76" s="1"/>
      <c r="P76" s="1"/>
      <c r="Q76" s="1"/>
      <c r="R76" s="1"/>
      <c r="S76" s="1"/>
      <c r="T76" s="1"/>
    </row>
    <row r="77" spans="1:20" ht="15" x14ac:dyDescent="0.2">
      <c r="A77" s="3" t="s">
        <v>238</v>
      </c>
      <c r="B77" s="1" t="s">
        <v>239</v>
      </c>
      <c r="C77" s="1" t="s">
        <v>240</v>
      </c>
      <c r="D77" s="1" t="s">
        <v>210</v>
      </c>
      <c r="E77" s="1">
        <v>56</v>
      </c>
      <c r="F77" s="1">
        <v>2</v>
      </c>
      <c r="G77" s="1">
        <v>0</v>
      </c>
      <c r="H77" s="1">
        <v>0</v>
      </c>
      <c r="I77" s="1">
        <v>558</v>
      </c>
      <c r="J77" s="43"/>
      <c r="K77" s="1">
        <v>1</v>
      </c>
      <c r="L77" s="1"/>
      <c r="M77" s="1"/>
      <c r="N77" s="1"/>
      <c r="O77" s="1"/>
      <c r="P77" s="1"/>
      <c r="Q77" s="1"/>
      <c r="R77" s="1"/>
      <c r="S77" s="1"/>
      <c r="T77" s="1"/>
    </row>
    <row r="78" spans="1:20" ht="15.75" customHeight="1" x14ac:dyDescent="0.15">
      <c r="A78" s="1" t="s">
        <v>241</v>
      </c>
      <c r="B78" s="1" t="s">
        <v>242</v>
      </c>
      <c r="C78" s="1" t="s">
        <v>243</v>
      </c>
      <c r="D78" s="1" t="s">
        <v>210</v>
      </c>
      <c r="E78" s="1">
        <v>70</v>
      </c>
      <c r="F78" s="1">
        <v>1</v>
      </c>
      <c r="G78" s="1">
        <v>0</v>
      </c>
      <c r="H78" s="1">
        <v>0</v>
      </c>
      <c r="I78" s="1">
        <v>232</v>
      </c>
      <c r="J78" s="43"/>
      <c r="K78" s="1">
        <v>1</v>
      </c>
      <c r="L78" s="1"/>
      <c r="M78" s="1"/>
      <c r="N78" s="1"/>
      <c r="O78" s="1"/>
      <c r="P78" s="1"/>
      <c r="Q78" s="1"/>
      <c r="R78" s="1"/>
      <c r="S78" s="1"/>
      <c r="T78" s="1"/>
    </row>
    <row r="79" spans="1:20" ht="15.75" customHeight="1" x14ac:dyDescent="0.15">
      <c r="A79" s="1" t="s">
        <v>244</v>
      </c>
      <c r="B79" s="1" t="s">
        <v>245</v>
      </c>
      <c r="C79" s="1" t="s">
        <v>246</v>
      </c>
      <c r="D79" s="1" t="s">
        <v>210</v>
      </c>
      <c r="E79" s="1">
        <v>69</v>
      </c>
      <c r="F79" s="1">
        <v>2</v>
      </c>
      <c r="G79" s="1">
        <v>1</v>
      </c>
      <c r="H79" s="1">
        <v>0</v>
      </c>
      <c r="I79" s="1">
        <v>99</v>
      </c>
      <c r="J79" s="43"/>
      <c r="K79" s="1">
        <v>1</v>
      </c>
      <c r="L79" s="1"/>
      <c r="M79" s="1"/>
      <c r="N79" s="1"/>
      <c r="O79" s="1"/>
      <c r="P79" s="1"/>
      <c r="Q79" s="1"/>
      <c r="R79" s="1"/>
      <c r="S79" s="1"/>
      <c r="T79" s="1"/>
    </row>
    <row r="80" spans="1:20" ht="15.75" customHeight="1" x14ac:dyDescent="0.15">
      <c r="A80" s="1" t="s">
        <v>247</v>
      </c>
      <c r="B80" s="1" t="s">
        <v>248</v>
      </c>
      <c r="C80" s="1" t="s">
        <v>249</v>
      </c>
      <c r="D80" s="1" t="s">
        <v>210</v>
      </c>
      <c r="E80" s="1">
        <v>53</v>
      </c>
      <c r="F80" s="1">
        <v>2</v>
      </c>
      <c r="G80" s="1">
        <v>1</v>
      </c>
      <c r="H80" s="1">
        <v>0</v>
      </c>
      <c r="I80" s="1">
        <v>71</v>
      </c>
      <c r="J80" s="43"/>
      <c r="K80" s="1">
        <v>1</v>
      </c>
      <c r="L80" s="1"/>
      <c r="M80" s="1"/>
      <c r="N80" s="1"/>
      <c r="O80" s="1"/>
      <c r="P80" s="1"/>
      <c r="Q80" s="1"/>
      <c r="R80" s="1"/>
      <c r="S80" s="1"/>
      <c r="T80" s="1"/>
    </row>
    <row r="81" spans="1:20" ht="15.75" customHeight="1" x14ac:dyDescent="0.15">
      <c r="A81" s="1" t="s">
        <v>250</v>
      </c>
      <c r="B81" s="1" t="s">
        <v>251</v>
      </c>
      <c r="C81" s="1" t="s">
        <v>252</v>
      </c>
      <c r="D81" s="1" t="s">
        <v>210</v>
      </c>
      <c r="E81" s="1">
        <v>84</v>
      </c>
      <c r="F81" s="1">
        <v>2</v>
      </c>
      <c r="G81" s="1">
        <v>0</v>
      </c>
      <c r="H81" s="1">
        <v>0</v>
      </c>
      <c r="I81" s="1">
        <v>187</v>
      </c>
      <c r="J81" s="43"/>
      <c r="K81" s="1">
        <v>1</v>
      </c>
      <c r="L81" s="1"/>
      <c r="M81" s="1"/>
      <c r="N81" s="1"/>
      <c r="O81" s="1"/>
      <c r="P81" s="1"/>
      <c r="Q81" s="1"/>
      <c r="R81" s="1"/>
      <c r="S81" s="1"/>
      <c r="T81" s="1"/>
    </row>
    <row r="82" spans="1:20" ht="15.75" customHeight="1" x14ac:dyDescent="0.15">
      <c r="A82" s="1" t="s">
        <v>253</v>
      </c>
      <c r="B82" s="1" t="s">
        <v>254</v>
      </c>
      <c r="C82" s="1" t="s">
        <v>255</v>
      </c>
      <c r="D82" s="1" t="s">
        <v>210</v>
      </c>
      <c r="E82" s="1">
        <v>64</v>
      </c>
      <c r="F82" s="1">
        <v>2</v>
      </c>
      <c r="G82" s="1">
        <v>0</v>
      </c>
      <c r="H82" s="1">
        <v>0</v>
      </c>
      <c r="I82" s="1">
        <v>254</v>
      </c>
      <c r="J82" s="43"/>
      <c r="K82" s="1">
        <v>1</v>
      </c>
      <c r="L82" s="1"/>
      <c r="M82" s="1"/>
      <c r="N82" s="1"/>
      <c r="O82" s="1"/>
      <c r="P82" s="1"/>
      <c r="Q82" s="1"/>
      <c r="R82" s="1"/>
      <c r="S82" s="1"/>
      <c r="T82" s="1"/>
    </row>
    <row r="83" spans="1:20" ht="15.75" customHeight="1" x14ac:dyDescent="0.15">
      <c r="A83" s="1" t="s">
        <v>256</v>
      </c>
      <c r="B83" s="1" t="s">
        <v>257</v>
      </c>
      <c r="C83" s="1" t="s">
        <v>258</v>
      </c>
      <c r="D83" s="1" t="s">
        <v>210</v>
      </c>
      <c r="E83" s="1">
        <v>78</v>
      </c>
      <c r="F83" s="1">
        <v>1</v>
      </c>
      <c r="G83" s="1">
        <v>0</v>
      </c>
      <c r="H83" s="1">
        <v>0</v>
      </c>
      <c r="I83" s="1">
        <v>448</v>
      </c>
      <c r="J83" s="43"/>
      <c r="K83" s="1">
        <v>1</v>
      </c>
      <c r="L83" s="1"/>
      <c r="M83" s="1"/>
      <c r="N83" s="1"/>
      <c r="O83" s="1"/>
      <c r="P83" s="1"/>
      <c r="Q83" s="1"/>
      <c r="R83" s="1"/>
      <c r="S83" s="1"/>
      <c r="T83" s="1"/>
    </row>
    <row r="84" spans="1:20" ht="15.75" customHeight="1" x14ac:dyDescent="0.15">
      <c r="A84" s="1" t="s">
        <v>259</v>
      </c>
      <c r="B84" s="1" t="s">
        <v>260</v>
      </c>
      <c r="C84" s="1" t="s">
        <v>261</v>
      </c>
      <c r="D84" s="1" t="s">
        <v>210</v>
      </c>
      <c r="E84" s="1">
        <v>61</v>
      </c>
      <c r="F84" s="1">
        <v>1</v>
      </c>
      <c r="G84" s="1">
        <v>0</v>
      </c>
      <c r="H84" s="1">
        <v>0</v>
      </c>
      <c r="I84" s="1">
        <v>434</v>
      </c>
      <c r="J84" s="43"/>
      <c r="K84" s="1">
        <v>1</v>
      </c>
      <c r="L84" s="1"/>
      <c r="M84" s="1"/>
      <c r="N84" s="1"/>
      <c r="O84" s="1"/>
      <c r="P84" s="1"/>
      <c r="Q84" s="1"/>
      <c r="R84" s="1"/>
      <c r="S84" s="1"/>
      <c r="T84" s="1"/>
    </row>
    <row r="85" spans="1:20" ht="15.75" customHeight="1" x14ac:dyDescent="0.15">
      <c r="A85" s="1" t="s">
        <v>262</v>
      </c>
      <c r="B85" s="1" t="s">
        <v>263</v>
      </c>
      <c r="C85" s="1" t="s">
        <v>264</v>
      </c>
      <c r="D85" s="1" t="s">
        <v>210</v>
      </c>
      <c r="E85" s="1">
        <v>75</v>
      </c>
      <c r="F85" s="1">
        <v>2</v>
      </c>
      <c r="G85" s="1">
        <v>1</v>
      </c>
      <c r="H85" s="1">
        <v>0</v>
      </c>
      <c r="I85" s="1">
        <v>476</v>
      </c>
      <c r="J85" s="43"/>
      <c r="K85" s="1">
        <v>1</v>
      </c>
      <c r="L85" s="1"/>
      <c r="M85" s="1"/>
      <c r="N85" s="1"/>
      <c r="O85" s="1"/>
      <c r="P85" s="1"/>
      <c r="Q85" s="1"/>
      <c r="R85" s="1"/>
      <c r="S85" s="1"/>
      <c r="T85" s="1"/>
    </row>
    <row r="86" spans="1:20" ht="15.75" customHeight="1" x14ac:dyDescent="0.15">
      <c r="A86" s="1" t="s">
        <v>265</v>
      </c>
      <c r="B86" s="1" t="s">
        <v>266</v>
      </c>
      <c r="C86" s="1" t="s">
        <v>267</v>
      </c>
      <c r="D86" s="1" t="s">
        <v>210</v>
      </c>
      <c r="E86" s="1">
        <v>56</v>
      </c>
      <c r="F86" s="1">
        <v>1</v>
      </c>
      <c r="G86" s="1">
        <v>0</v>
      </c>
      <c r="H86" s="1">
        <v>0</v>
      </c>
      <c r="I86" s="1">
        <v>428</v>
      </c>
      <c r="J86" s="43"/>
      <c r="K86" s="1">
        <v>1</v>
      </c>
      <c r="L86" s="1"/>
      <c r="M86" s="1"/>
      <c r="N86" s="1"/>
      <c r="O86" s="1"/>
      <c r="P86" s="1"/>
      <c r="Q86" s="1"/>
      <c r="R86" s="1"/>
      <c r="S86" s="1"/>
      <c r="T86" s="1"/>
    </row>
    <row r="87" spans="1:20" ht="15.75" customHeight="1" x14ac:dyDescent="0.15">
      <c r="A87" s="1" t="s">
        <v>268</v>
      </c>
      <c r="B87" s="1" t="s">
        <v>269</v>
      </c>
      <c r="C87" s="1" t="s">
        <v>270</v>
      </c>
      <c r="D87" s="1" t="s">
        <v>210</v>
      </c>
      <c r="E87" s="1">
        <v>81</v>
      </c>
      <c r="F87" s="1">
        <v>1</v>
      </c>
      <c r="G87" s="1">
        <v>0</v>
      </c>
      <c r="H87" s="1">
        <v>0</v>
      </c>
      <c r="I87" s="1">
        <v>67</v>
      </c>
      <c r="J87" s="43"/>
      <c r="K87" s="1">
        <v>1</v>
      </c>
      <c r="L87" s="1"/>
      <c r="M87" s="1"/>
      <c r="N87" s="1"/>
      <c r="O87" s="1"/>
      <c r="P87" s="1"/>
      <c r="Q87" s="1"/>
      <c r="R87" s="1"/>
      <c r="S87" s="1"/>
      <c r="T87" s="1"/>
    </row>
    <row r="88" spans="1:20" ht="15.75" customHeight="1" x14ac:dyDescent="0.15">
      <c r="A88" s="1" t="s">
        <v>271</v>
      </c>
      <c r="B88" s="1" t="s">
        <v>272</v>
      </c>
      <c r="C88" s="1" t="s">
        <v>273</v>
      </c>
      <c r="D88" s="1" t="s">
        <v>210</v>
      </c>
      <c r="E88" s="1">
        <v>63</v>
      </c>
      <c r="F88" s="1">
        <v>2</v>
      </c>
      <c r="G88" s="1">
        <v>0</v>
      </c>
      <c r="H88" s="1">
        <v>0</v>
      </c>
      <c r="I88" s="1">
        <v>812</v>
      </c>
      <c r="J88" s="43"/>
      <c r="K88" s="1">
        <v>1</v>
      </c>
      <c r="L88" s="1"/>
      <c r="M88" s="1"/>
      <c r="N88" s="1"/>
      <c r="O88" s="1"/>
      <c r="P88" s="1"/>
      <c r="Q88" s="1"/>
      <c r="R88" s="1"/>
      <c r="S88" s="1"/>
      <c r="T88" s="1"/>
    </row>
    <row r="89" spans="1:20" ht="15.75" customHeight="1" x14ac:dyDescent="0.15">
      <c r="A89" s="1" t="s">
        <v>274</v>
      </c>
      <c r="B89" s="1" t="s">
        <v>275</v>
      </c>
      <c r="C89" s="1" t="s">
        <v>276</v>
      </c>
      <c r="D89" s="1" t="s">
        <v>210</v>
      </c>
      <c r="E89" s="1">
        <v>72</v>
      </c>
      <c r="F89" s="1">
        <v>2</v>
      </c>
      <c r="G89" s="1">
        <v>1</v>
      </c>
      <c r="H89" s="1">
        <v>0</v>
      </c>
      <c r="I89" s="1">
        <v>368</v>
      </c>
      <c r="J89" s="43"/>
      <c r="K89" s="1">
        <v>1</v>
      </c>
      <c r="L89" s="1"/>
      <c r="M89" s="1"/>
      <c r="N89" s="1"/>
      <c r="O89" s="1"/>
      <c r="P89" s="1"/>
      <c r="Q89" s="1"/>
      <c r="R89" s="1"/>
      <c r="S89" s="1"/>
      <c r="T89" s="1"/>
    </row>
    <row r="90" spans="1:20" ht="15.75" customHeight="1" x14ac:dyDescent="0.15">
      <c r="A90" s="1" t="s">
        <v>277</v>
      </c>
      <c r="B90" s="1" t="s">
        <v>278</v>
      </c>
      <c r="C90" s="1" t="s">
        <v>279</v>
      </c>
      <c r="D90" s="1" t="s">
        <v>210</v>
      </c>
      <c r="E90" s="1">
        <v>44</v>
      </c>
      <c r="F90" s="1">
        <v>2</v>
      </c>
      <c r="G90" s="1">
        <v>1</v>
      </c>
      <c r="H90" s="1">
        <v>0</v>
      </c>
      <c r="I90" s="1">
        <v>199</v>
      </c>
      <c r="J90" s="43"/>
      <c r="K90" s="1">
        <v>1</v>
      </c>
      <c r="L90" s="1"/>
      <c r="M90" s="1"/>
      <c r="N90" s="1"/>
      <c r="O90" s="1"/>
      <c r="P90" s="1"/>
      <c r="Q90" s="1"/>
      <c r="R90" s="1"/>
      <c r="S90" s="1"/>
      <c r="T90" s="1"/>
    </row>
    <row r="91" spans="1:20" ht="15.75" customHeight="1" x14ac:dyDescent="0.15">
      <c r="A91" s="1" t="s">
        <v>280</v>
      </c>
      <c r="B91" s="1" t="s">
        <v>281</v>
      </c>
      <c r="C91" s="1" t="s">
        <v>282</v>
      </c>
      <c r="D91" s="1" t="s">
        <v>210</v>
      </c>
      <c r="E91" s="1">
        <v>46</v>
      </c>
      <c r="F91" s="1">
        <v>1</v>
      </c>
      <c r="G91" s="1">
        <v>1</v>
      </c>
      <c r="H91" s="1">
        <v>0</v>
      </c>
      <c r="I91" s="1">
        <v>333</v>
      </c>
      <c r="J91" s="43"/>
      <c r="K91" s="1">
        <v>1</v>
      </c>
      <c r="L91" s="1"/>
      <c r="M91" s="1"/>
      <c r="N91" s="1"/>
      <c r="O91" s="1"/>
      <c r="P91" s="1"/>
      <c r="Q91" s="1"/>
      <c r="R91" s="1"/>
      <c r="S91" s="1"/>
      <c r="T91" s="1"/>
    </row>
    <row r="92" spans="1:20" ht="15.75" customHeight="1" x14ac:dyDescent="0.15">
      <c r="A92" s="1" t="s">
        <v>283</v>
      </c>
      <c r="B92" s="1" t="s">
        <v>284</v>
      </c>
      <c r="C92" s="1" t="s">
        <v>285</v>
      </c>
      <c r="D92" s="1" t="s">
        <v>210</v>
      </c>
      <c r="E92" s="1">
        <v>40</v>
      </c>
      <c r="F92" s="1">
        <v>1</v>
      </c>
      <c r="G92" s="1">
        <v>0</v>
      </c>
      <c r="H92" s="1">
        <v>0</v>
      </c>
      <c r="I92" s="1">
        <v>362</v>
      </c>
      <c r="J92" s="43"/>
      <c r="K92" s="1">
        <v>1</v>
      </c>
      <c r="L92" s="1"/>
      <c r="M92" s="1"/>
      <c r="N92" s="1"/>
      <c r="O92" s="1"/>
      <c r="P92" s="1"/>
      <c r="Q92" s="1"/>
      <c r="R92" s="1"/>
      <c r="S92" s="1"/>
      <c r="T92" s="1"/>
    </row>
    <row r="93" spans="1:20" ht="15.75" customHeight="1" x14ac:dyDescent="0.15">
      <c r="A93" s="1" t="s">
        <v>286</v>
      </c>
      <c r="B93" s="1" t="s">
        <v>287</v>
      </c>
      <c r="C93" s="1" t="s">
        <v>288</v>
      </c>
      <c r="D93" s="1" t="s">
        <v>210</v>
      </c>
      <c r="E93" s="1">
        <v>81</v>
      </c>
      <c r="F93" s="1">
        <v>2</v>
      </c>
      <c r="G93" s="1">
        <v>1</v>
      </c>
      <c r="H93" s="1">
        <v>0</v>
      </c>
      <c r="I93" s="1">
        <v>82</v>
      </c>
      <c r="J93" s="43"/>
      <c r="K93" s="1">
        <v>1</v>
      </c>
      <c r="L93" s="1"/>
      <c r="M93" s="1"/>
      <c r="N93" s="1"/>
      <c r="O93" s="1"/>
      <c r="P93" s="1"/>
      <c r="Q93" s="1"/>
      <c r="R93" s="1"/>
      <c r="S93" s="1"/>
      <c r="T93" s="1"/>
    </row>
    <row r="94" spans="1:20" ht="15.75" customHeight="1" x14ac:dyDescent="0.15">
      <c r="A94" s="1" t="s">
        <v>289</v>
      </c>
      <c r="B94" s="1" t="s">
        <v>290</v>
      </c>
      <c r="C94" s="1" t="s">
        <v>291</v>
      </c>
      <c r="D94" s="1" t="s">
        <v>210</v>
      </c>
      <c r="E94" s="1">
        <v>62</v>
      </c>
      <c r="F94" s="1">
        <v>1</v>
      </c>
      <c r="G94" s="1">
        <v>0</v>
      </c>
      <c r="H94" s="1">
        <v>0</v>
      </c>
      <c r="I94" s="1">
        <v>317</v>
      </c>
      <c r="J94" s="43"/>
      <c r="K94" s="1">
        <v>1</v>
      </c>
      <c r="L94" s="1"/>
      <c r="M94" s="1"/>
      <c r="N94" s="1"/>
      <c r="O94" s="1"/>
      <c r="P94" s="1"/>
      <c r="Q94" s="1"/>
      <c r="R94" s="1"/>
      <c r="S94" s="1"/>
      <c r="T94" s="1"/>
    </row>
    <row r="95" spans="1:20" ht="15.75" customHeight="1" x14ac:dyDescent="0.15">
      <c r="A95" s="1" t="s">
        <v>292</v>
      </c>
      <c r="B95" s="1" t="s">
        <v>293</v>
      </c>
      <c r="C95" s="1" t="s">
        <v>294</v>
      </c>
      <c r="D95" s="1" t="s">
        <v>210</v>
      </c>
      <c r="E95" s="1">
        <v>57</v>
      </c>
      <c r="F95" s="1">
        <v>1</v>
      </c>
      <c r="G95" s="1">
        <v>0</v>
      </c>
      <c r="H95" s="1">
        <v>0</v>
      </c>
      <c r="I95" s="1">
        <v>508</v>
      </c>
      <c r="J95" s="43"/>
      <c r="K95" s="1">
        <v>1</v>
      </c>
      <c r="L95" s="1"/>
      <c r="M95" s="1"/>
      <c r="N95" s="1"/>
      <c r="O95" s="1"/>
      <c r="P95" s="1"/>
      <c r="Q95" s="1"/>
      <c r="R95" s="1"/>
      <c r="S95" s="1"/>
      <c r="T95" s="1"/>
    </row>
    <row r="96" spans="1:20" ht="15.75" customHeight="1" x14ac:dyDescent="0.15">
      <c r="A96" s="1" t="s">
        <v>295</v>
      </c>
      <c r="B96" s="1" t="s">
        <v>296</v>
      </c>
      <c r="C96" s="1" t="s">
        <v>297</v>
      </c>
      <c r="D96" s="1" t="s">
        <v>210</v>
      </c>
      <c r="E96" s="1">
        <v>61</v>
      </c>
      <c r="F96" s="1">
        <v>2</v>
      </c>
      <c r="G96" s="1">
        <v>0</v>
      </c>
      <c r="H96" s="1">
        <v>0</v>
      </c>
      <c r="I96" s="1">
        <v>322</v>
      </c>
      <c r="J96" s="43"/>
      <c r="K96" s="1">
        <v>1</v>
      </c>
      <c r="L96" s="1"/>
      <c r="M96" s="1"/>
      <c r="N96" s="1"/>
      <c r="O96" s="1"/>
      <c r="P96" s="1"/>
      <c r="Q96" s="1"/>
      <c r="R96" s="1"/>
      <c r="S96" s="1"/>
      <c r="T96" s="1"/>
    </row>
    <row r="97" spans="1:20" ht="15.75" customHeight="1" x14ac:dyDescent="0.15">
      <c r="A97" s="1" t="s">
        <v>298</v>
      </c>
      <c r="B97" s="1" t="s">
        <v>299</v>
      </c>
      <c r="C97" s="1" t="s">
        <v>300</v>
      </c>
      <c r="D97" s="1" t="s">
        <v>210</v>
      </c>
      <c r="E97" s="1">
        <v>45</v>
      </c>
      <c r="F97" s="1">
        <v>2</v>
      </c>
      <c r="G97" s="1">
        <v>0</v>
      </c>
      <c r="H97" s="1">
        <v>0</v>
      </c>
      <c r="I97" s="1">
        <v>268</v>
      </c>
      <c r="J97" s="43"/>
      <c r="K97" s="1">
        <v>1</v>
      </c>
      <c r="L97" s="1"/>
      <c r="M97" s="1"/>
      <c r="N97" s="1"/>
      <c r="O97" s="1"/>
      <c r="P97" s="1"/>
      <c r="Q97" s="1"/>
      <c r="R97" s="1"/>
      <c r="S97" s="1"/>
      <c r="T97" s="1"/>
    </row>
    <row r="98" spans="1:20" ht="15.75" customHeight="1" x14ac:dyDescent="0.15">
      <c r="A98" s="1" t="s">
        <v>301</v>
      </c>
      <c r="B98" s="1" t="s">
        <v>302</v>
      </c>
      <c r="C98" s="5" t="s">
        <v>303</v>
      </c>
      <c r="D98" s="1" t="s">
        <v>304</v>
      </c>
      <c r="E98" s="1">
        <v>64.22</v>
      </c>
      <c r="F98" s="1">
        <v>1</v>
      </c>
      <c r="G98" s="1">
        <v>0</v>
      </c>
      <c r="H98" s="1">
        <v>0</v>
      </c>
      <c r="I98" s="1">
        <v>284</v>
      </c>
      <c r="J98" s="1">
        <v>0</v>
      </c>
      <c r="K98" s="43"/>
      <c r="L98" s="1"/>
      <c r="M98" s="1"/>
      <c r="N98" s="1"/>
      <c r="O98" s="1"/>
      <c r="P98" s="1"/>
      <c r="Q98" s="1"/>
      <c r="R98" s="1"/>
      <c r="S98" s="1"/>
      <c r="T98" s="1"/>
    </row>
    <row r="99" spans="1:20" ht="15.75" customHeight="1" x14ac:dyDescent="0.15">
      <c r="A99" s="1" t="s">
        <v>305</v>
      </c>
      <c r="B99" s="1" t="s">
        <v>306</v>
      </c>
      <c r="C99" s="5" t="s">
        <v>307</v>
      </c>
      <c r="D99" s="1" t="s">
        <v>304</v>
      </c>
      <c r="E99" s="1">
        <v>60.66</v>
      </c>
      <c r="F99" s="1">
        <v>1</v>
      </c>
      <c r="G99" s="1">
        <v>1</v>
      </c>
      <c r="H99" s="1">
        <v>0</v>
      </c>
      <c r="I99" s="1">
        <v>521</v>
      </c>
      <c r="J99" s="1">
        <v>0</v>
      </c>
      <c r="K99" s="43"/>
      <c r="L99" s="1"/>
      <c r="M99" s="1"/>
      <c r="N99" s="1"/>
      <c r="O99" s="1"/>
      <c r="P99" s="1"/>
      <c r="Q99" s="1"/>
      <c r="R99" s="1"/>
      <c r="S99" s="1"/>
      <c r="T99" s="1"/>
    </row>
    <row r="100" spans="1:20" ht="15.75" customHeight="1" x14ac:dyDescent="0.15">
      <c r="A100" s="1" t="s">
        <v>308</v>
      </c>
      <c r="B100" s="1" t="s">
        <v>309</v>
      </c>
      <c r="C100" s="5" t="s">
        <v>310</v>
      </c>
      <c r="D100" s="1" t="s">
        <v>304</v>
      </c>
      <c r="E100" s="1">
        <v>55.13</v>
      </c>
      <c r="F100" s="1">
        <v>2</v>
      </c>
      <c r="G100" s="1">
        <v>0</v>
      </c>
      <c r="H100" s="1">
        <v>0</v>
      </c>
      <c r="I100" s="1">
        <v>537</v>
      </c>
      <c r="J100" s="1">
        <v>0</v>
      </c>
      <c r="K100" s="43"/>
      <c r="L100" s="1"/>
      <c r="M100" s="1"/>
      <c r="N100" s="1"/>
      <c r="O100" s="1"/>
      <c r="P100" s="1"/>
      <c r="Q100" s="1"/>
      <c r="R100" s="1"/>
      <c r="S100" s="1"/>
      <c r="T100" s="1"/>
    </row>
    <row r="101" spans="1:20" ht="15.75" customHeight="1" x14ac:dyDescent="0.15">
      <c r="A101" s="1" t="s">
        <v>311</v>
      </c>
      <c r="B101" s="1" t="s">
        <v>312</v>
      </c>
      <c r="C101" s="1" t="s">
        <v>313</v>
      </c>
      <c r="D101" s="1" t="s">
        <v>304</v>
      </c>
      <c r="E101" s="1">
        <v>57.19</v>
      </c>
      <c r="F101" s="1">
        <v>1</v>
      </c>
      <c r="G101" s="1">
        <v>1</v>
      </c>
      <c r="H101" s="1">
        <v>0</v>
      </c>
      <c r="I101" s="1">
        <v>613</v>
      </c>
      <c r="J101" s="1">
        <v>0</v>
      </c>
      <c r="K101" s="43"/>
      <c r="L101" s="1"/>
      <c r="M101" s="1"/>
      <c r="N101" s="1"/>
      <c r="O101" s="1"/>
      <c r="P101" s="1"/>
      <c r="Q101" s="1"/>
      <c r="R101" s="1"/>
      <c r="S101" s="1"/>
      <c r="T101" s="1"/>
    </row>
    <row r="102" spans="1:20" ht="15.75" customHeight="1" x14ac:dyDescent="0.15">
      <c r="A102" s="1" t="s">
        <v>314</v>
      </c>
      <c r="B102" s="1" t="s">
        <v>315</v>
      </c>
      <c r="C102" s="1" t="s">
        <v>316</v>
      </c>
      <c r="D102" s="1" t="s">
        <v>304</v>
      </c>
      <c r="E102" s="1">
        <v>70.569999999999993</v>
      </c>
      <c r="F102" s="1">
        <v>1</v>
      </c>
      <c r="G102" s="1">
        <v>1</v>
      </c>
      <c r="H102" s="1">
        <v>0</v>
      </c>
      <c r="I102" s="1">
        <v>684</v>
      </c>
      <c r="J102" s="1">
        <v>0</v>
      </c>
      <c r="K102" s="43"/>
      <c r="L102" s="1"/>
      <c r="M102" s="1"/>
      <c r="N102" s="1"/>
      <c r="O102" s="1"/>
      <c r="P102" s="1"/>
      <c r="Q102" s="1"/>
      <c r="R102" s="1"/>
      <c r="S102" s="1"/>
      <c r="T102" s="1"/>
    </row>
    <row r="103" spans="1:20" ht="15.75" customHeight="1" x14ac:dyDescent="0.15">
      <c r="A103" s="1" t="s">
        <v>317</v>
      </c>
      <c r="B103" s="1" t="s">
        <v>318</v>
      </c>
      <c r="C103" s="5" t="s">
        <v>319</v>
      </c>
      <c r="D103" s="1" t="s">
        <v>304</v>
      </c>
      <c r="E103" s="1">
        <v>72.25</v>
      </c>
      <c r="F103" s="1">
        <v>2</v>
      </c>
      <c r="G103" s="1">
        <v>0</v>
      </c>
      <c r="H103" s="1">
        <v>0</v>
      </c>
      <c r="I103" s="1">
        <v>215</v>
      </c>
      <c r="J103" s="1">
        <v>1</v>
      </c>
      <c r="K103" s="43"/>
      <c r="L103" s="1"/>
      <c r="M103" s="1"/>
      <c r="N103" s="1"/>
      <c r="O103" s="1"/>
      <c r="P103" s="1"/>
      <c r="Q103" s="1"/>
      <c r="R103" s="1"/>
      <c r="S103" s="1"/>
      <c r="T103" s="1"/>
    </row>
    <row r="104" spans="1:20" ht="15.75" customHeight="1" x14ac:dyDescent="0.15">
      <c r="A104" s="1" t="s">
        <v>320</v>
      </c>
      <c r="B104" s="1" t="s">
        <v>321</v>
      </c>
      <c r="C104" s="5" t="s">
        <v>322</v>
      </c>
      <c r="D104" s="1" t="s">
        <v>304</v>
      </c>
      <c r="E104" s="1">
        <v>63.99</v>
      </c>
      <c r="F104" s="1">
        <v>1</v>
      </c>
      <c r="G104" s="1">
        <v>0</v>
      </c>
      <c r="H104" s="1">
        <v>0</v>
      </c>
      <c r="I104" s="1">
        <v>149</v>
      </c>
      <c r="J104" s="1">
        <v>1</v>
      </c>
      <c r="K104" s="43"/>
      <c r="L104" s="1"/>
      <c r="M104" s="1"/>
      <c r="N104" s="1"/>
      <c r="O104" s="1"/>
      <c r="P104" s="1"/>
      <c r="Q104" s="1"/>
      <c r="R104" s="1"/>
      <c r="S104" s="1"/>
      <c r="T104" s="1"/>
    </row>
    <row r="105" spans="1:20" ht="15.75" customHeight="1" x14ac:dyDescent="0.15">
      <c r="A105" s="1" t="s">
        <v>323</v>
      </c>
      <c r="B105" s="1" t="s">
        <v>324</v>
      </c>
      <c r="C105" s="5" t="s">
        <v>325</v>
      </c>
      <c r="D105" s="1" t="s">
        <v>304</v>
      </c>
      <c r="E105" s="1">
        <v>61.33</v>
      </c>
      <c r="F105" s="1">
        <v>2</v>
      </c>
      <c r="G105" s="1">
        <v>0</v>
      </c>
      <c r="H105" s="1">
        <v>0</v>
      </c>
      <c r="I105" s="1">
        <v>490</v>
      </c>
      <c r="J105" s="1">
        <v>0</v>
      </c>
      <c r="K105" s="43"/>
      <c r="L105" s="1"/>
      <c r="M105" s="1"/>
      <c r="N105" s="1"/>
      <c r="O105" s="1"/>
      <c r="P105" s="1"/>
      <c r="Q105" s="1"/>
      <c r="R105" s="1"/>
      <c r="S105" s="1"/>
      <c r="T105" s="1"/>
    </row>
    <row r="106" spans="1:20" ht="15.75" customHeight="1" x14ac:dyDescent="0.15">
      <c r="A106" s="1" t="s">
        <v>326</v>
      </c>
      <c r="B106" s="1" t="s">
        <v>327</v>
      </c>
      <c r="C106" s="5" t="s">
        <v>328</v>
      </c>
      <c r="D106" s="1" t="s">
        <v>304</v>
      </c>
      <c r="E106" s="1">
        <v>83.61</v>
      </c>
      <c r="F106" s="1">
        <v>1</v>
      </c>
      <c r="G106" s="1">
        <v>1</v>
      </c>
      <c r="H106" s="1">
        <v>0</v>
      </c>
      <c r="I106" s="1">
        <v>122</v>
      </c>
      <c r="J106" s="1">
        <v>1</v>
      </c>
      <c r="K106" s="43"/>
      <c r="L106" s="1"/>
      <c r="M106" s="1"/>
      <c r="N106" s="1"/>
      <c r="O106" s="1"/>
      <c r="P106" s="1"/>
      <c r="Q106" s="1"/>
      <c r="R106" s="1"/>
      <c r="S106" s="1"/>
      <c r="T106" s="1"/>
    </row>
    <row r="107" spans="1:20" ht="15.75" customHeight="1" x14ac:dyDescent="0.15">
      <c r="A107" s="1" t="s">
        <v>329</v>
      </c>
      <c r="B107" s="1" t="s">
        <v>330</v>
      </c>
      <c r="C107" s="1" t="s">
        <v>331</v>
      </c>
      <c r="D107" s="1" t="s">
        <v>304</v>
      </c>
      <c r="E107" s="1">
        <v>69.36</v>
      </c>
      <c r="F107" s="1">
        <v>1</v>
      </c>
      <c r="G107" s="1">
        <v>0</v>
      </c>
      <c r="H107" s="1">
        <v>0</v>
      </c>
      <c r="I107" s="1">
        <v>342</v>
      </c>
      <c r="J107" s="1">
        <v>0</v>
      </c>
      <c r="K107" s="43"/>
      <c r="L107" s="1"/>
      <c r="M107" s="1"/>
      <c r="N107" s="1"/>
      <c r="O107" s="1"/>
      <c r="P107" s="1"/>
      <c r="Q107" s="1"/>
      <c r="R107" s="1"/>
      <c r="S107" s="1"/>
      <c r="T107" s="1"/>
    </row>
    <row r="108" spans="1:20" ht="15.75" customHeight="1" x14ac:dyDescent="0.15">
      <c r="A108" s="1" t="s">
        <v>332</v>
      </c>
      <c r="B108" s="1" t="s">
        <v>333</v>
      </c>
      <c r="C108" s="5" t="s">
        <v>334</v>
      </c>
      <c r="D108" s="1" t="s">
        <v>304</v>
      </c>
      <c r="E108" s="1">
        <v>78.7</v>
      </c>
      <c r="F108" s="1">
        <v>1</v>
      </c>
      <c r="G108" s="1">
        <v>0</v>
      </c>
      <c r="H108" s="1">
        <v>0</v>
      </c>
      <c r="I108" s="1">
        <v>248</v>
      </c>
      <c r="J108" s="1">
        <v>0</v>
      </c>
      <c r="K108" s="43"/>
      <c r="L108" s="1"/>
      <c r="M108" s="1"/>
      <c r="N108" s="1"/>
      <c r="O108" s="1"/>
      <c r="P108" s="1"/>
      <c r="Q108" s="1"/>
      <c r="R108" s="1"/>
      <c r="S108" s="1"/>
      <c r="T108" s="1"/>
    </row>
    <row r="109" spans="1:20" ht="15.75" customHeight="1" x14ac:dyDescent="0.15">
      <c r="A109" s="1" t="s">
        <v>335</v>
      </c>
      <c r="B109" s="1" t="s">
        <v>336</v>
      </c>
      <c r="C109" s="5" t="s">
        <v>337</v>
      </c>
      <c r="D109" s="1" t="s">
        <v>304</v>
      </c>
      <c r="E109" s="1">
        <v>60.82</v>
      </c>
      <c r="F109" s="1">
        <v>1</v>
      </c>
      <c r="G109" s="1">
        <v>1</v>
      </c>
      <c r="H109" s="1">
        <v>0</v>
      </c>
      <c r="I109" s="1">
        <v>516</v>
      </c>
      <c r="J109" s="1">
        <v>1</v>
      </c>
      <c r="K109" s="43"/>
      <c r="L109" s="1"/>
      <c r="M109" s="1"/>
      <c r="N109" s="1"/>
      <c r="O109" s="1"/>
      <c r="P109" s="1"/>
      <c r="Q109" s="1"/>
      <c r="R109" s="1"/>
      <c r="S109" s="1"/>
      <c r="T109" s="1"/>
    </row>
    <row r="110" spans="1:20" ht="15.75" customHeight="1" x14ac:dyDescent="0.15">
      <c r="A110" s="1" t="s">
        <v>338</v>
      </c>
      <c r="B110" s="1" t="s">
        <v>339</v>
      </c>
      <c r="C110" s="5" t="s">
        <v>340</v>
      </c>
      <c r="D110" s="1" t="s">
        <v>304</v>
      </c>
      <c r="E110" s="1">
        <v>54.63</v>
      </c>
      <c r="F110" s="1">
        <v>1</v>
      </c>
      <c r="G110" s="1">
        <v>0</v>
      </c>
      <c r="H110" s="1">
        <v>0</v>
      </c>
      <c r="I110" s="1">
        <v>324</v>
      </c>
      <c r="J110" s="1">
        <v>0</v>
      </c>
      <c r="K110" s="43"/>
      <c r="L110" s="1"/>
      <c r="M110" s="1"/>
      <c r="N110" s="1"/>
      <c r="O110" s="1"/>
      <c r="P110" s="1"/>
      <c r="Q110" s="1"/>
      <c r="R110" s="1"/>
      <c r="S110" s="1"/>
      <c r="T110" s="1"/>
    </row>
    <row r="111" spans="1:20" ht="15.75" customHeight="1" x14ac:dyDescent="0.15">
      <c r="A111" s="1" t="s">
        <v>341</v>
      </c>
      <c r="B111" s="1" t="s">
        <v>342</v>
      </c>
      <c r="C111" s="1" t="s">
        <v>343</v>
      </c>
      <c r="D111" s="1" t="s">
        <v>304</v>
      </c>
      <c r="E111" s="1">
        <v>65.34</v>
      </c>
      <c r="F111" s="1">
        <v>1</v>
      </c>
      <c r="G111" s="1">
        <v>0</v>
      </c>
      <c r="H111" s="1">
        <v>0</v>
      </c>
      <c r="I111" s="1">
        <v>416</v>
      </c>
      <c r="J111" s="1">
        <v>0</v>
      </c>
      <c r="K111" s="43"/>
      <c r="L111" s="1"/>
      <c r="M111" s="1"/>
      <c r="N111" s="1"/>
      <c r="O111" s="1"/>
      <c r="P111" s="1"/>
      <c r="Q111" s="1"/>
      <c r="R111" s="1"/>
      <c r="S111" s="1"/>
      <c r="T111" s="1"/>
    </row>
    <row r="112" spans="1:20" ht="15.75" customHeight="1" x14ac:dyDescent="0.15">
      <c r="A112" s="1" t="s">
        <v>344</v>
      </c>
      <c r="B112" s="1" t="s">
        <v>345</v>
      </c>
      <c r="C112" s="5" t="s">
        <v>346</v>
      </c>
      <c r="D112" s="1" t="s">
        <v>304</v>
      </c>
      <c r="E112" s="1">
        <v>61.74</v>
      </c>
      <c r="F112" s="1">
        <v>2</v>
      </c>
      <c r="G112" s="1">
        <v>1</v>
      </c>
      <c r="H112" s="1">
        <v>0</v>
      </c>
      <c r="I112" s="1">
        <v>707</v>
      </c>
      <c r="J112" s="1">
        <v>1</v>
      </c>
      <c r="K112" s="43"/>
      <c r="L112" s="1"/>
      <c r="M112" s="1"/>
      <c r="N112" s="1"/>
      <c r="O112" s="1"/>
      <c r="P112" s="1"/>
      <c r="Q112" s="1"/>
      <c r="R112" s="1"/>
      <c r="S112" s="1"/>
      <c r="T112" s="1"/>
    </row>
    <row r="113" spans="1:20" ht="15.75" customHeight="1" x14ac:dyDescent="0.15">
      <c r="A113" s="1" t="s">
        <v>347</v>
      </c>
      <c r="B113" s="1" t="s">
        <v>348</v>
      </c>
      <c r="C113" s="5" t="s">
        <v>349</v>
      </c>
      <c r="D113" s="1" t="s">
        <v>304</v>
      </c>
      <c r="E113" s="1">
        <v>82.67</v>
      </c>
      <c r="F113" s="1">
        <v>1</v>
      </c>
      <c r="G113" s="1">
        <v>1</v>
      </c>
      <c r="H113" s="1">
        <v>0</v>
      </c>
      <c r="I113" s="1">
        <v>249</v>
      </c>
      <c r="J113" s="1">
        <v>0</v>
      </c>
      <c r="K113" s="43"/>
      <c r="L113" s="1"/>
      <c r="M113" s="1"/>
      <c r="N113" s="1"/>
      <c r="O113" s="1"/>
      <c r="P113" s="1"/>
      <c r="Q113" s="1"/>
      <c r="R113" s="1"/>
      <c r="S113" s="1"/>
      <c r="T113" s="1"/>
    </row>
    <row r="114" spans="1:20" ht="15.75" customHeight="1" x14ac:dyDescent="0.15">
      <c r="A114" s="1" t="s">
        <v>350</v>
      </c>
      <c r="B114" s="1" t="s">
        <v>351</v>
      </c>
      <c r="C114" s="5" t="s">
        <v>352</v>
      </c>
      <c r="D114" s="1" t="s">
        <v>304</v>
      </c>
      <c r="E114" s="1">
        <v>51.24</v>
      </c>
      <c r="F114" s="1">
        <v>1</v>
      </c>
      <c r="G114" s="1">
        <v>1</v>
      </c>
      <c r="H114" s="1">
        <v>0</v>
      </c>
      <c r="I114" s="1">
        <v>376</v>
      </c>
      <c r="J114" s="1">
        <v>1</v>
      </c>
      <c r="K114" s="43"/>
      <c r="L114" s="1"/>
      <c r="M114" s="1"/>
      <c r="N114" s="1"/>
      <c r="O114" s="1"/>
      <c r="P114" s="1"/>
      <c r="Q114" s="1"/>
      <c r="R114" s="1"/>
      <c r="S114" s="1"/>
      <c r="T114" s="1"/>
    </row>
    <row r="115" spans="1:20" ht="15.75" customHeight="1" x14ac:dyDescent="0.15">
      <c r="A115" s="1" t="s">
        <v>353</v>
      </c>
      <c r="B115" s="1" t="s">
        <v>354</v>
      </c>
      <c r="C115" s="5" t="s">
        <v>355</v>
      </c>
      <c r="D115" s="1" t="s">
        <v>304</v>
      </c>
      <c r="E115" s="1">
        <v>43.53</v>
      </c>
      <c r="F115" s="1">
        <v>1</v>
      </c>
      <c r="G115" s="1">
        <v>0</v>
      </c>
      <c r="H115" s="1">
        <v>0</v>
      </c>
      <c r="I115" s="1">
        <v>598</v>
      </c>
      <c r="J115" s="1">
        <v>0</v>
      </c>
      <c r="K115" s="43"/>
      <c r="L115" s="1"/>
      <c r="M115" s="1"/>
      <c r="N115" s="1"/>
      <c r="O115" s="1"/>
      <c r="P115" s="1"/>
      <c r="Q115" s="1"/>
      <c r="R115" s="1"/>
      <c r="S115" s="1"/>
      <c r="T115" s="1"/>
    </row>
    <row r="116" spans="1:20" ht="15.75" customHeight="1" x14ac:dyDescent="0.15">
      <c r="A116" s="1" t="s">
        <v>356</v>
      </c>
      <c r="B116" s="1" t="s">
        <v>357</v>
      </c>
      <c r="C116" s="5" t="s">
        <v>358</v>
      </c>
      <c r="D116" s="1" t="s">
        <v>304</v>
      </c>
      <c r="E116" s="1">
        <v>28.11</v>
      </c>
      <c r="F116" s="1">
        <v>1</v>
      </c>
      <c r="G116" s="1">
        <v>0</v>
      </c>
      <c r="H116" s="1">
        <v>0</v>
      </c>
      <c r="I116" s="1">
        <v>36</v>
      </c>
      <c r="J116" s="1">
        <v>1</v>
      </c>
      <c r="K116" s="43"/>
      <c r="L116" s="1"/>
      <c r="M116" s="1"/>
      <c r="N116" s="1"/>
      <c r="O116" s="1"/>
      <c r="P116" s="1"/>
      <c r="Q116" s="1"/>
      <c r="R116" s="1"/>
      <c r="S116" s="1"/>
      <c r="T116" s="1"/>
    </row>
    <row r="117" spans="1:20" ht="15.75" customHeight="1" x14ac:dyDescent="0.15">
      <c r="A117" s="1" t="s">
        <v>359</v>
      </c>
      <c r="B117" s="1" t="s">
        <v>360</v>
      </c>
      <c r="C117" s="5" t="s">
        <v>361</v>
      </c>
      <c r="D117" s="1" t="s">
        <v>304</v>
      </c>
      <c r="E117" s="1">
        <v>60.59</v>
      </c>
      <c r="F117" s="1">
        <v>1</v>
      </c>
      <c r="G117" s="1">
        <v>0</v>
      </c>
      <c r="H117" s="1">
        <v>0</v>
      </c>
      <c r="I117" s="1">
        <v>316</v>
      </c>
      <c r="J117" s="1">
        <v>0</v>
      </c>
      <c r="K117" s="43"/>
      <c r="L117" s="1"/>
      <c r="M117" s="1"/>
      <c r="N117" s="1"/>
      <c r="O117" s="1"/>
      <c r="P117" s="1"/>
      <c r="Q117" s="1"/>
      <c r="R117" s="1"/>
      <c r="S117" s="1"/>
      <c r="T117" s="1"/>
    </row>
    <row r="118" spans="1:20" ht="15.75" customHeight="1" x14ac:dyDescent="0.15">
      <c r="A118" s="1" t="s">
        <v>362</v>
      </c>
      <c r="B118" s="1" t="s">
        <v>363</v>
      </c>
      <c r="C118" s="5" t="s">
        <v>364</v>
      </c>
      <c r="D118" s="1" t="s">
        <v>304</v>
      </c>
      <c r="E118" s="1">
        <v>60.23</v>
      </c>
      <c r="F118" s="1">
        <v>2</v>
      </c>
      <c r="G118" s="1">
        <v>1</v>
      </c>
      <c r="H118" s="1">
        <v>0</v>
      </c>
      <c r="I118" s="1">
        <v>284</v>
      </c>
      <c r="J118" s="1">
        <v>0</v>
      </c>
      <c r="K118" s="43"/>
      <c r="L118" s="1"/>
      <c r="M118" s="1"/>
      <c r="N118" s="1"/>
      <c r="O118" s="1"/>
      <c r="P118" s="1"/>
      <c r="Q118" s="1"/>
      <c r="R118" s="1"/>
      <c r="S118" s="1"/>
      <c r="T118" s="1"/>
    </row>
    <row r="119" spans="1:20" ht="15.75" customHeight="1" x14ac:dyDescent="0.15">
      <c r="A119" s="1" t="s">
        <v>365</v>
      </c>
      <c r="B119" s="1" t="s">
        <v>366</v>
      </c>
      <c r="C119" s="5" t="s">
        <v>367</v>
      </c>
      <c r="D119" s="1" t="s">
        <v>304</v>
      </c>
      <c r="E119" s="1">
        <v>60.67</v>
      </c>
      <c r="F119" s="1">
        <v>1</v>
      </c>
      <c r="G119" s="1">
        <v>1</v>
      </c>
      <c r="H119" s="1">
        <v>0</v>
      </c>
      <c r="I119" s="1">
        <v>338</v>
      </c>
      <c r="J119" s="1">
        <v>0</v>
      </c>
      <c r="K119" s="43"/>
      <c r="L119" s="1"/>
      <c r="M119" s="1"/>
      <c r="N119" s="1"/>
      <c r="O119" s="1"/>
      <c r="P119" s="1"/>
      <c r="Q119" s="1"/>
      <c r="R119" s="1"/>
      <c r="S119" s="1"/>
      <c r="T119" s="1"/>
    </row>
    <row r="120" spans="1:20" ht="15.75" customHeight="1" x14ac:dyDescent="0.15">
      <c r="A120" s="1" t="s">
        <v>368</v>
      </c>
      <c r="B120" s="1" t="s">
        <v>369</v>
      </c>
      <c r="C120" s="5" t="s">
        <v>370</v>
      </c>
      <c r="D120" s="1" t="s">
        <v>304</v>
      </c>
      <c r="E120" s="1">
        <v>67.11</v>
      </c>
      <c r="F120" s="1">
        <v>1</v>
      </c>
      <c r="G120" s="1">
        <v>1</v>
      </c>
      <c r="H120" s="1">
        <v>0</v>
      </c>
      <c r="I120" s="1">
        <v>127</v>
      </c>
      <c r="J120" s="1">
        <v>1</v>
      </c>
      <c r="K120" s="43"/>
      <c r="L120" s="1"/>
      <c r="M120" s="1"/>
      <c r="N120" s="1"/>
      <c r="O120" s="1"/>
      <c r="P120" s="1"/>
      <c r="Q120" s="1"/>
      <c r="R120" s="1"/>
      <c r="S120" s="1"/>
      <c r="T120" s="1"/>
    </row>
    <row r="121" spans="1:20" ht="15.75" customHeight="1" x14ac:dyDescent="0.15">
      <c r="A121" s="1" t="s">
        <v>371</v>
      </c>
      <c r="B121" s="1" t="s">
        <v>372</v>
      </c>
      <c r="C121" s="5" t="s">
        <v>373</v>
      </c>
      <c r="D121" s="1" t="s">
        <v>304</v>
      </c>
      <c r="E121" s="1">
        <v>57.61</v>
      </c>
      <c r="F121" s="1">
        <v>2</v>
      </c>
      <c r="G121" s="1">
        <v>1</v>
      </c>
      <c r="H121" s="1">
        <v>0</v>
      </c>
      <c r="I121" s="1">
        <v>493</v>
      </c>
      <c r="J121" s="1">
        <v>1</v>
      </c>
      <c r="K121" s="43"/>
      <c r="L121" s="1"/>
      <c r="M121" s="1"/>
      <c r="N121" s="1"/>
      <c r="O121" s="1"/>
      <c r="P121" s="1"/>
      <c r="Q121" s="1"/>
      <c r="R121" s="1"/>
      <c r="S121" s="1"/>
      <c r="T121" s="1"/>
    </row>
    <row r="122" spans="1:20" ht="15.75" customHeight="1" x14ac:dyDescent="0.15">
      <c r="A122" s="1" t="s">
        <v>374</v>
      </c>
      <c r="B122" s="1" t="s">
        <v>375</v>
      </c>
      <c r="C122" s="5" t="s">
        <v>376</v>
      </c>
      <c r="D122" s="1" t="s">
        <v>304</v>
      </c>
      <c r="E122" s="1">
        <v>53.19</v>
      </c>
      <c r="F122" s="1">
        <v>1</v>
      </c>
      <c r="G122" s="1">
        <v>0</v>
      </c>
      <c r="H122" s="1">
        <v>0</v>
      </c>
      <c r="I122" s="1">
        <v>680</v>
      </c>
      <c r="J122" s="1">
        <v>0</v>
      </c>
      <c r="K122" s="43"/>
      <c r="L122" s="1"/>
      <c r="M122" s="1"/>
      <c r="N122" s="1"/>
      <c r="O122" s="1"/>
      <c r="P122" s="1"/>
      <c r="Q122" s="1"/>
      <c r="R122" s="1"/>
      <c r="S122" s="1"/>
      <c r="T122" s="1"/>
    </row>
    <row r="123" spans="1:20" ht="15.75" customHeight="1" x14ac:dyDescent="0.15">
      <c r="A123" s="1" t="s">
        <v>377</v>
      </c>
      <c r="B123" s="1" t="s">
        <v>378</v>
      </c>
      <c r="C123" s="1" t="s">
        <v>379</v>
      </c>
      <c r="D123" s="1" t="s">
        <v>304</v>
      </c>
      <c r="E123" s="1">
        <v>57.99</v>
      </c>
      <c r="F123" s="1">
        <v>1</v>
      </c>
      <c r="G123" s="1">
        <v>0</v>
      </c>
      <c r="H123" s="1">
        <v>0</v>
      </c>
      <c r="I123" s="1">
        <v>334</v>
      </c>
      <c r="J123" s="1">
        <v>0</v>
      </c>
      <c r="K123" s="43"/>
      <c r="L123" s="1"/>
      <c r="M123" s="1"/>
      <c r="N123" s="1"/>
      <c r="O123" s="1"/>
      <c r="P123" s="1"/>
      <c r="Q123" s="1"/>
      <c r="R123" s="1"/>
      <c r="S123" s="1"/>
      <c r="T123" s="1"/>
    </row>
    <row r="124" spans="1:20" ht="15.75" customHeight="1" x14ac:dyDescent="0.15">
      <c r="A124" s="1" t="s">
        <v>380</v>
      </c>
      <c r="B124" s="1" t="s">
        <v>381</v>
      </c>
      <c r="C124" s="5" t="s">
        <v>382</v>
      </c>
      <c r="D124" s="1" t="s">
        <v>304</v>
      </c>
      <c r="E124" s="1">
        <v>71.33</v>
      </c>
      <c r="F124" s="1">
        <v>1</v>
      </c>
      <c r="G124" s="1">
        <v>1</v>
      </c>
      <c r="H124" s="1">
        <v>0</v>
      </c>
      <c r="I124" s="1">
        <v>355</v>
      </c>
      <c r="J124" s="1">
        <v>1</v>
      </c>
      <c r="K124" s="43"/>
      <c r="L124" s="1"/>
      <c r="M124" s="1"/>
      <c r="N124" s="1"/>
      <c r="O124" s="1"/>
      <c r="P124" s="1"/>
      <c r="Q124" s="1"/>
      <c r="R124" s="1"/>
      <c r="S124" s="1"/>
      <c r="T124" s="1"/>
    </row>
    <row r="125" spans="1:20" ht="15.75" customHeight="1" x14ac:dyDescent="0.15">
      <c r="A125" s="1" t="s">
        <v>383</v>
      </c>
      <c r="B125" s="1" t="s">
        <v>384</v>
      </c>
      <c r="C125" s="5" t="s">
        <v>385</v>
      </c>
      <c r="D125" s="1" t="s">
        <v>304</v>
      </c>
      <c r="E125" s="1">
        <v>60.7</v>
      </c>
      <c r="F125" s="1">
        <v>1</v>
      </c>
      <c r="G125" s="1">
        <v>0</v>
      </c>
      <c r="H125" s="1">
        <v>0</v>
      </c>
      <c r="I125" s="1">
        <v>765</v>
      </c>
      <c r="J125" s="1">
        <v>1</v>
      </c>
      <c r="K125" s="43"/>
      <c r="L125" s="1"/>
      <c r="M125" s="1"/>
      <c r="N125" s="1"/>
      <c r="O125" s="1"/>
      <c r="P125" s="1"/>
      <c r="Q125" s="1"/>
      <c r="R125" s="1"/>
      <c r="S125" s="1"/>
      <c r="T125" s="1"/>
    </row>
    <row r="126" spans="1:20" ht="15.75" customHeight="1" x14ac:dyDescent="0.15">
      <c r="A126" s="1" t="s">
        <v>386</v>
      </c>
      <c r="B126" s="1" t="s">
        <v>387</v>
      </c>
      <c r="C126" s="5" t="s">
        <v>388</v>
      </c>
      <c r="D126" s="1" t="s">
        <v>304</v>
      </c>
      <c r="E126" s="1">
        <v>58.98</v>
      </c>
      <c r="F126" s="1">
        <v>2</v>
      </c>
      <c r="G126" s="1">
        <v>1</v>
      </c>
      <c r="H126" s="1">
        <v>0</v>
      </c>
      <c r="I126" s="1">
        <v>188</v>
      </c>
      <c r="J126" s="1">
        <v>1</v>
      </c>
      <c r="K126" s="43"/>
      <c r="L126" s="1"/>
      <c r="M126" s="1"/>
      <c r="N126" s="1"/>
      <c r="O126" s="1"/>
      <c r="P126" s="1"/>
      <c r="Q126" s="1"/>
      <c r="R126" s="1"/>
      <c r="S126" s="1"/>
      <c r="T126" s="1"/>
    </row>
    <row r="127" spans="1:20" ht="13" x14ac:dyDescent="0.15">
      <c r="A127" s="1" t="s">
        <v>389</v>
      </c>
      <c r="B127" s="1" t="s">
        <v>390</v>
      </c>
      <c r="C127" s="5" t="s">
        <v>391</v>
      </c>
      <c r="D127" s="1" t="s">
        <v>304</v>
      </c>
      <c r="E127" s="1">
        <v>64.790000000000006</v>
      </c>
      <c r="F127" s="1">
        <v>1</v>
      </c>
      <c r="G127" s="1">
        <v>0</v>
      </c>
      <c r="H127" s="1">
        <v>0</v>
      </c>
      <c r="I127" s="1">
        <v>259</v>
      </c>
      <c r="J127" s="1">
        <v>0</v>
      </c>
      <c r="K127" s="43"/>
      <c r="L127" s="1"/>
      <c r="M127" s="1"/>
      <c r="N127" s="1"/>
      <c r="O127" s="1"/>
      <c r="P127" s="1"/>
      <c r="Q127" s="1"/>
      <c r="R127" s="1"/>
      <c r="S127" s="1"/>
      <c r="T127" s="1"/>
    </row>
    <row r="128" spans="1:20" ht="13" x14ac:dyDescent="0.15">
      <c r="A128" s="1" t="s">
        <v>392</v>
      </c>
      <c r="B128" s="1" t="s">
        <v>393</v>
      </c>
      <c r="C128" s="5" t="s">
        <v>394</v>
      </c>
      <c r="D128" s="1" t="s">
        <v>304</v>
      </c>
      <c r="E128" s="1">
        <v>62.97</v>
      </c>
      <c r="F128" s="1">
        <v>2</v>
      </c>
      <c r="G128" s="1">
        <v>0</v>
      </c>
      <c r="H128" s="1">
        <v>0</v>
      </c>
      <c r="I128" s="1">
        <v>596</v>
      </c>
      <c r="J128" s="1">
        <v>0</v>
      </c>
      <c r="K128" s="43"/>
      <c r="L128" s="1"/>
      <c r="M128" s="1"/>
      <c r="N128" s="1"/>
      <c r="O128" s="1"/>
      <c r="P128" s="1"/>
      <c r="Q128" s="1"/>
      <c r="R128" s="1"/>
      <c r="S128" s="1"/>
      <c r="T128" s="1"/>
    </row>
    <row r="129" spans="1:20" ht="13" x14ac:dyDescent="0.15">
      <c r="A129" s="1" t="s">
        <v>395</v>
      </c>
      <c r="B129" s="1" t="s">
        <v>396</v>
      </c>
      <c r="C129" s="5" t="s">
        <v>397</v>
      </c>
      <c r="D129" s="1" t="s">
        <v>304</v>
      </c>
      <c r="E129" s="1">
        <v>45.97</v>
      </c>
      <c r="F129" s="1">
        <v>1</v>
      </c>
      <c r="G129" s="1">
        <v>0</v>
      </c>
      <c r="H129" s="1">
        <v>0</v>
      </c>
      <c r="I129" s="1">
        <v>256</v>
      </c>
      <c r="J129" s="1">
        <v>0</v>
      </c>
      <c r="K129" s="43"/>
      <c r="L129" s="1"/>
      <c r="M129" s="1"/>
      <c r="N129" s="1"/>
      <c r="O129" s="1"/>
      <c r="P129" s="1"/>
      <c r="Q129" s="1"/>
      <c r="R129" s="1"/>
      <c r="S129" s="1"/>
      <c r="T129" s="1"/>
    </row>
    <row r="130" spans="1:20" ht="13" x14ac:dyDescent="0.15">
      <c r="A130" s="1" t="s">
        <v>398</v>
      </c>
      <c r="B130" s="1" t="s">
        <v>399</v>
      </c>
      <c r="C130" s="5" t="s">
        <v>400</v>
      </c>
      <c r="D130" s="1" t="s">
        <v>304</v>
      </c>
      <c r="E130" s="1">
        <v>51.81</v>
      </c>
      <c r="F130" s="1">
        <v>1</v>
      </c>
      <c r="G130" s="1">
        <v>0</v>
      </c>
      <c r="H130" s="1">
        <v>0</v>
      </c>
      <c r="I130" s="1">
        <v>455</v>
      </c>
      <c r="J130" s="1">
        <v>0</v>
      </c>
      <c r="K130" s="43"/>
      <c r="L130" s="1"/>
      <c r="M130" s="1"/>
      <c r="N130" s="1"/>
      <c r="O130" s="1"/>
      <c r="P130" s="1"/>
      <c r="Q130" s="1"/>
      <c r="R130" s="1"/>
      <c r="S130" s="1"/>
      <c r="T130" s="1"/>
    </row>
    <row r="131" spans="1:20" ht="13" x14ac:dyDescent="0.15">
      <c r="A131" s="1" t="s">
        <v>401</v>
      </c>
      <c r="B131" s="1" t="s">
        <v>402</v>
      </c>
      <c r="C131" s="1" t="s">
        <v>403</v>
      </c>
      <c r="D131" s="1" t="s">
        <v>304</v>
      </c>
      <c r="E131" s="1">
        <v>49.61</v>
      </c>
      <c r="F131" s="1">
        <v>2</v>
      </c>
      <c r="G131" s="1">
        <v>1</v>
      </c>
      <c r="H131" s="1">
        <v>0</v>
      </c>
      <c r="I131" s="1">
        <v>1410</v>
      </c>
      <c r="J131" s="1">
        <v>0</v>
      </c>
      <c r="K131" s="43"/>
      <c r="L131" s="1"/>
      <c r="M131" s="1"/>
      <c r="N131" s="1"/>
      <c r="O131" s="1"/>
      <c r="P131" s="1"/>
      <c r="Q131" s="1"/>
      <c r="R131" s="1"/>
      <c r="S131" s="1"/>
      <c r="T131" s="1"/>
    </row>
    <row r="132" spans="1:20" ht="13" x14ac:dyDescent="0.15">
      <c r="A132" s="1" t="s">
        <v>404</v>
      </c>
      <c r="B132" s="1" t="s">
        <v>405</v>
      </c>
      <c r="C132" s="5" t="s">
        <v>406</v>
      </c>
      <c r="D132" s="1" t="s">
        <v>304</v>
      </c>
      <c r="E132" s="1">
        <v>60.63</v>
      </c>
      <c r="F132" s="1">
        <v>2</v>
      </c>
      <c r="G132" s="1">
        <v>0</v>
      </c>
      <c r="H132" s="1">
        <v>0</v>
      </c>
      <c r="I132" s="1">
        <v>582</v>
      </c>
      <c r="J132" s="1">
        <v>0</v>
      </c>
      <c r="K132" s="43"/>
      <c r="L132" s="1"/>
      <c r="M132" s="1"/>
      <c r="N132" s="1"/>
      <c r="O132" s="1"/>
      <c r="P132" s="1"/>
      <c r="Q132" s="1"/>
      <c r="R132" s="1"/>
      <c r="S132" s="1"/>
      <c r="T132" s="1"/>
    </row>
    <row r="133" spans="1:20" ht="13" x14ac:dyDescent="0.15">
      <c r="A133" s="1" t="s">
        <v>407</v>
      </c>
      <c r="B133" s="1" t="s">
        <v>408</v>
      </c>
      <c r="C133" s="5" t="s">
        <v>409</v>
      </c>
      <c r="D133" s="1" t="s">
        <v>304</v>
      </c>
      <c r="E133" s="1">
        <v>47.22</v>
      </c>
      <c r="F133" s="1">
        <v>1</v>
      </c>
      <c r="G133" s="1">
        <v>0</v>
      </c>
      <c r="H133" s="1">
        <v>0</v>
      </c>
      <c r="I133" s="1">
        <v>664</v>
      </c>
      <c r="J133" s="1">
        <v>0</v>
      </c>
      <c r="K133" s="43"/>
      <c r="L133" s="1"/>
      <c r="M133" s="1"/>
      <c r="N133" s="1"/>
      <c r="O133" s="1"/>
      <c r="P133" s="1"/>
      <c r="Q133" s="1"/>
      <c r="R133" s="1"/>
      <c r="S133" s="1"/>
      <c r="T133" s="1"/>
    </row>
    <row r="134" spans="1:20" ht="13" x14ac:dyDescent="0.15">
      <c r="A134" s="1" t="s">
        <v>410</v>
      </c>
      <c r="B134" s="1" t="s">
        <v>411</v>
      </c>
      <c r="C134" s="5" t="s">
        <v>412</v>
      </c>
      <c r="D134" s="1" t="s">
        <v>304</v>
      </c>
      <c r="E134" s="1">
        <v>81.42</v>
      </c>
      <c r="F134" s="1">
        <v>1</v>
      </c>
      <c r="G134" s="1">
        <v>0</v>
      </c>
      <c r="H134" s="1">
        <v>0</v>
      </c>
      <c r="I134" s="1">
        <v>33</v>
      </c>
      <c r="J134" s="1">
        <v>0</v>
      </c>
      <c r="K134" s="43"/>
      <c r="L134" s="1"/>
      <c r="M134" s="1"/>
      <c r="N134" s="1"/>
      <c r="O134" s="1"/>
      <c r="P134" s="1"/>
      <c r="Q134" s="1"/>
      <c r="R134" s="1"/>
      <c r="S134" s="1"/>
      <c r="T134" s="1"/>
    </row>
    <row r="135" spans="1:20" ht="13" x14ac:dyDescent="0.15">
      <c r="A135" s="1" t="s">
        <v>413</v>
      </c>
      <c r="B135" s="1" t="s">
        <v>414</v>
      </c>
      <c r="C135" s="5" t="s">
        <v>415</v>
      </c>
      <c r="D135" s="1" t="s">
        <v>304</v>
      </c>
      <c r="E135" s="1">
        <v>76.36</v>
      </c>
      <c r="F135" s="1">
        <v>2</v>
      </c>
      <c r="G135" s="1">
        <v>1</v>
      </c>
      <c r="H135" s="1">
        <v>0</v>
      </c>
      <c r="I135" s="1">
        <v>735</v>
      </c>
      <c r="J135" s="1">
        <v>1</v>
      </c>
      <c r="K135" s="43"/>
      <c r="L135" s="1"/>
      <c r="M135" s="1"/>
      <c r="N135" s="1"/>
      <c r="O135" s="1"/>
      <c r="P135" s="1"/>
      <c r="Q135" s="1"/>
      <c r="R135" s="1"/>
      <c r="S135" s="1"/>
      <c r="T135" s="1"/>
    </row>
    <row r="136" spans="1:20" ht="13" x14ac:dyDescent="0.15">
      <c r="A136" s="1" t="s">
        <v>416</v>
      </c>
      <c r="B136" s="1" t="s">
        <v>417</v>
      </c>
      <c r="C136" s="5" t="s">
        <v>418</v>
      </c>
      <c r="D136" s="1" t="s">
        <v>304</v>
      </c>
      <c r="E136" s="1">
        <v>75.06</v>
      </c>
      <c r="F136" s="1">
        <v>1</v>
      </c>
      <c r="G136" s="1">
        <v>0</v>
      </c>
      <c r="H136" s="1">
        <v>0</v>
      </c>
      <c r="I136" s="1">
        <v>51</v>
      </c>
      <c r="J136" s="1">
        <v>1</v>
      </c>
      <c r="K136" s="43"/>
      <c r="L136" s="1"/>
      <c r="M136" s="1"/>
      <c r="N136" s="1"/>
      <c r="O136" s="1"/>
      <c r="P136" s="1"/>
      <c r="Q136" s="1"/>
      <c r="R136" s="1"/>
      <c r="S136" s="1"/>
      <c r="T136" s="1"/>
    </row>
    <row r="137" spans="1:20" ht="13" x14ac:dyDescent="0.15">
      <c r="A137" s="1" t="s">
        <v>419</v>
      </c>
      <c r="B137" s="1" t="s">
        <v>420</v>
      </c>
      <c r="C137" s="5" t="s">
        <v>421</v>
      </c>
      <c r="D137" s="1" t="s">
        <v>304</v>
      </c>
      <c r="E137" s="1">
        <v>72.709999999999994</v>
      </c>
      <c r="F137" s="1">
        <v>2</v>
      </c>
      <c r="G137" s="1">
        <v>1</v>
      </c>
      <c r="H137" s="1">
        <v>0</v>
      </c>
      <c r="I137" s="1">
        <v>510</v>
      </c>
      <c r="J137" s="1">
        <v>0</v>
      </c>
      <c r="K137" s="43"/>
      <c r="L137" s="1"/>
      <c r="M137" s="1"/>
      <c r="N137" s="1"/>
      <c r="O137" s="1"/>
      <c r="P137" s="1"/>
      <c r="Q137" s="1"/>
      <c r="R137" s="1"/>
      <c r="S137" s="1"/>
      <c r="T137" s="1"/>
    </row>
    <row r="138" spans="1:20" ht="13" x14ac:dyDescent="0.15">
      <c r="A138" s="1" t="s">
        <v>422</v>
      </c>
      <c r="B138" s="1" t="s">
        <v>423</v>
      </c>
      <c r="C138" s="1" t="s">
        <v>424</v>
      </c>
      <c r="D138" s="1" t="s">
        <v>304</v>
      </c>
      <c r="E138" s="1">
        <v>68.19</v>
      </c>
      <c r="F138" s="1">
        <v>1</v>
      </c>
      <c r="G138" s="1">
        <v>1</v>
      </c>
      <c r="H138" s="1">
        <v>0</v>
      </c>
      <c r="I138" s="1">
        <v>191</v>
      </c>
      <c r="J138" s="1">
        <v>1</v>
      </c>
      <c r="K138" s="43"/>
      <c r="L138" s="1"/>
      <c r="M138" s="1"/>
      <c r="N138" s="1"/>
      <c r="O138" s="1"/>
      <c r="P138" s="1"/>
      <c r="Q138" s="1"/>
      <c r="R138" s="1"/>
      <c r="S138" s="1"/>
      <c r="T138" s="1"/>
    </row>
    <row r="139" spans="1:20" ht="13" x14ac:dyDescent="0.15">
      <c r="A139" s="1" t="s">
        <v>425</v>
      </c>
      <c r="B139" s="1" t="s">
        <v>426</v>
      </c>
      <c r="C139" s="5" t="s">
        <v>427</v>
      </c>
      <c r="D139" s="1" t="s">
        <v>304</v>
      </c>
      <c r="E139" s="1">
        <v>51.54</v>
      </c>
      <c r="F139" s="1">
        <v>2</v>
      </c>
      <c r="G139" s="1">
        <v>1</v>
      </c>
      <c r="H139" s="1">
        <v>0</v>
      </c>
      <c r="I139" s="1">
        <v>578</v>
      </c>
      <c r="J139" s="1">
        <v>0</v>
      </c>
      <c r="K139" s="43"/>
      <c r="L139" s="1"/>
      <c r="M139" s="1"/>
      <c r="N139" s="1"/>
      <c r="O139" s="1"/>
      <c r="P139" s="1"/>
      <c r="Q139" s="1"/>
      <c r="R139" s="1"/>
      <c r="S139" s="1"/>
      <c r="T139" s="1"/>
    </row>
    <row r="140" spans="1:20" ht="13" x14ac:dyDescent="0.15">
      <c r="A140" s="1" t="s">
        <v>428</v>
      </c>
      <c r="B140" s="1" t="s">
        <v>429</v>
      </c>
      <c r="C140" s="5" t="s">
        <v>430</v>
      </c>
      <c r="D140" s="1" t="s">
        <v>304</v>
      </c>
      <c r="E140" s="1">
        <v>69.2</v>
      </c>
      <c r="F140" s="1">
        <v>1</v>
      </c>
      <c r="G140" s="1">
        <v>0</v>
      </c>
      <c r="H140" s="1">
        <v>0</v>
      </c>
      <c r="I140" s="1">
        <v>114</v>
      </c>
      <c r="J140" s="1">
        <v>1</v>
      </c>
      <c r="K140" s="43"/>
      <c r="L140" s="1"/>
      <c r="M140" s="1"/>
      <c r="N140" s="1"/>
      <c r="O140" s="1"/>
      <c r="P140" s="1"/>
      <c r="Q140" s="1"/>
      <c r="R140" s="1"/>
      <c r="S140" s="1"/>
      <c r="T140" s="1"/>
    </row>
    <row r="141" spans="1:20" ht="13" x14ac:dyDescent="0.15">
      <c r="A141" s="1" t="s">
        <v>431</v>
      </c>
      <c r="B141" s="1" t="s">
        <v>432</v>
      </c>
      <c r="C141" s="5" t="s">
        <v>433</v>
      </c>
      <c r="D141" s="1" t="s">
        <v>304</v>
      </c>
      <c r="E141" s="1">
        <v>55.17</v>
      </c>
      <c r="F141" s="1">
        <v>1</v>
      </c>
      <c r="G141" s="1">
        <v>0</v>
      </c>
      <c r="H141" s="1">
        <v>0</v>
      </c>
      <c r="I141" s="1">
        <v>820</v>
      </c>
      <c r="J141" s="1">
        <v>0</v>
      </c>
      <c r="K141" s="43"/>
      <c r="L141" s="1"/>
      <c r="M141" s="1"/>
      <c r="N141" s="1"/>
      <c r="O141" s="1"/>
      <c r="P141" s="1"/>
      <c r="Q141" s="1"/>
      <c r="R141" s="1"/>
      <c r="S141" s="1"/>
      <c r="T141" s="1"/>
    </row>
    <row r="142" spans="1:20" ht="13" x14ac:dyDescent="0.15">
      <c r="A142" s="1" t="s">
        <v>434</v>
      </c>
      <c r="B142" s="1" t="s">
        <v>435</v>
      </c>
      <c r="C142" s="5" t="s">
        <v>436</v>
      </c>
      <c r="D142" s="1" t="s">
        <v>304</v>
      </c>
      <c r="E142" s="1">
        <v>22.79</v>
      </c>
      <c r="F142" s="1">
        <v>2</v>
      </c>
      <c r="G142" s="1">
        <v>0</v>
      </c>
      <c r="H142" s="1">
        <v>0</v>
      </c>
      <c r="I142" s="1">
        <v>99</v>
      </c>
      <c r="J142" s="1">
        <v>0</v>
      </c>
      <c r="K142" s="43"/>
      <c r="L142" s="1"/>
      <c r="M142" s="1"/>
      <c r="N142" s="1"/>
      <c r="O142" s="1"/>
      <c r="P142" s="1"/>
      <c r="Q142" s="1"/>
      <c r="R142" s="1"/>
      <c r="S142" s="1"/>
      <c r="T142" s="1"/>
    </row>
    <row r="143" spans="1:20" ht="13" x14ac:dyDescent="0.15">
      <c r="A143" s="1" t="s">
        <v>437</v>
      </c>
      <c r="B143" s="1" t="s">
        <v>438</v>
      </c>
      <c r="C143" s="5" t="s">
        <v>439</v>
      </c>
      <c r="D143" s="1" t="s">
        <v>304</v>
      </c>
      <c r="E143" s="1">
        <v>78.13</v>
      </c>
      <c r="F143" s="1">
        <v>1</v>
      </c>
      <c r="G143" s="1">
        <v>0</v>
      </c>
      <c r="H143" s="1">
        <v>0</v>
      </c>
      <c r="I143" s="1">
        <v>384</v>
      </c>
      <c r="J143" s="1">
        <v>1</v>
      </c>
      <c r="K143" s="43"/>
      <c r="L143" s="1"/>
      <c r="M143" s="1"/>
      <c r="N143" s="1"/>
      <c r="O143" s="1"/>
      <c r="P143" s="1"/>
      <c r="Q143" s="1"/>
      <c r="R143" s="1"/>
      <c r="S143" s="1"/>
      <c r="T143" s="1"/>
    </row>
    <row r="144" spans="1:20" ht="13" x14ac:dyDescent="0.15">
      <c r="A144" s="1" t="s">
        <v>440</v>
      </c>
      <c r="B144" s="1" t="s">
        <v>441</v>
      </c>
      <c r="C144" s="1" t="s">
        <v>442</v>
      </c>
      <c r="D144" s="1" t="s">
        <v>304</v>
      </c>
      <c r="E144" s="1">
        <v>50.03</v>
      </c>
      <c r="F144" s="1">
        <v>1</v>
      </c>
      <c r="G144" s="1">
        <v>1</v>
      </c>
      <c r="H144" s="1">
        <v>0</v>
      </c>
      <c r="I144" s="1">
        <v>1227</v>
      </c>
      <c r="J144" s="1">
        <v>0</v>
      </c>
      <c r="K144" s="43"/>
      <c r="L144" s="1"/>
      <c r="M144" s="1"/>
      <c r="N144" s="1"/>
      <c r="O144" s="1"/>
      <c r="P144" s="1"/>
      <c r="Q144" s="1"/>
      <c r="R144" s="1"/>
      <c r="S144" s="1"/>
      <c r="T144" s="1"/>
    </row>
    <row r="145" spans="1:20" ht="13" x14ac:dyDescent="0.15">
      <c r="A145" s="1" t="s">
        <v>443</v>
      </c>
      <c r="B145" s="1" t="s">
        <v>444</v>
      </c>
      <c r="C145" s="1" t="s">
        <v>445</v>
      </c>
      <c r="D145" s="1" t="s">
        <v>304</v>
      </c>
      <c r="E145" s="1">
        <v>64.760000000000005</v>
      </c>
      <c r="F145" s="1">
        <v>1</v>
      </c>
      <c r="G145" s="1">
        <v>0</v>
      </c>
      <c r="H145" s="1">
        <v>0</v>
      </c>
      <c r="I145" s="1">
        <v>374</v>
      </c>
      <c r="J145" s="1">
        <v>1</v>
      </c>
      <c r="K145" s="43"/>
      <c r="L145" s="1"/>
      <c r="M145" s="1"/>
      <c r="N145" s="1"/>
      <c r="O145" s="1"/>
      <c r="P145" s="1"/>
      <c r="Q145" s="1"/>
      <c r="R145" s="1"/>
      <c r="S145" s="1"/>
      <c r="T145" s="1"/>
    </row>
    <row r="146" spans="1:20" ht="13" x14ac:dyDescent="0.15">
      <c r="A146" s="1" t="s">
        <v>446</v>
      </c>
      <c r="B146" s="1" t="s">
        <v>447</v>
      </c>
      <c r="C146" s="5" t="s">
        <v>448</v>
      </c>
      <c r="D146" s="1" t="s">
        <v>304</v>
      </c>
      <c r="E146" s="1">
        <v>76.13</v>
      </c>
      <c r="F146" s="1">
        <v>1</v>
      </c>
      <c r="G146" s="1">
        <v>0</v>
      </c>
      <c r="H146" s="1">
        <v>0</v>
      </c>
      <c r="I146" s="1">
        <v>234</v>
      </c>
      <c r="J146" s="1">
        <v>0</v>
      </c>
      <c r="K146" s="43"/>
      <c r="L146" s="1"/>
      <c r="M146" s="1"/>
      <c r="N146" s="1"/>
      <c r="O146" s="1"/>
      <c r="P146" s="1"/>
      <c r="Q146" s="1"/>
      <c r="R146" s="1"/>
      <c r="S146" s="1"/>
      <c r="T146" s="1"/>
    </row>
    <row r="147" spans="1:20" ht="13" x14ac:dyDescent="0.15">
      <c r="A147" s="1" t="s">
        <v>449</v>
      </c>
      <c r="B147" s="1" t="s">
        <v>450</v>
      </c>
      <c r="C147" s="5" t="s">
        <v>451</v>
      </c>
      <c r="D147" s="1" t="s">
        <v>304</v>
      </c>
      <c r="E147" s="1">
        <v>29.01</v>
      </c>
      <c r="F147" s="1">
        <v>1</v>
      </c>
      <c r="G147" s="1">
        <v>0</v>
      </c>
      <c r="H147" s="1">
        <v>0</v>
      </c>
      <c r="I147" s="1">
        <v>138</v>
      </c>
      <c r="J147" s="1">
        <v>1</v>
      </c>
      <c r="K147" s="43"/>
      <c r="L147" s="1"/>
      <c r="M147" s="1"/>
      <c r="N147" s="1"/>
      <c r="O147" s="1"/>
      <c r="P147" s="1"/>
      <c r="Q147" s="1"/>
      <c r="R147" s="1"/>
      <c r="S147" s="1"/>
      <c r="T147" s="1"/>
    </row>
    <row r="148" spans="1:20" ht="13" x14ac:dyDescent="0.15">
      <c r="A148" s="1" t="s">
        <v>452</v>
      </c>
      <c r="B148" s="1" t="s">
        <v>453</v>
      </c>
      <c r="C148" s="5" t="s">
        <v>454</v>
      </c>
      <c r="D148" s="1" t="s">
        <v>304</v>
      </c>
      <c r="E148" s="1">
        <v>61.97</v>
      </c>
      <c r="F148" s="1">
        <v>1</v>
      </c>
      <c r="G148" s="1">
        <v>1</v>
      </c>
      <c r="H148" s="1">
        <v>0</v>
      </c>
      <c r="I148" s="1">
        <v>61</v>
      </c>
      <c r="J148" s="1">
        <v>1</v>
      </c>
      <c r="K148" s="43"/>
      <c r="L148" s="1"/>
      <c r="M148" s="1"/>
      <c r="N148" s="1"/>
      <c r="O148" s="1"/>
      <c r="P148" s="1"/>
      <c r="Q148" s="1"/>
      <c r="R148" s="1"/>
      <c r="S148" s="1"/>
      <c r="T148" s="1"/>
    </row>
    <row r="149" spans="1:20" ht="13" x14ac:dyDescent="0.15">
      <c r="A149" s="1" t="s">
        <v>455</v>
      </c>
      <c r="B149" s="1" t="s">
        <v>456</v>
      </c>
      <c r="C149" s="5" t="s">
        <v>457</v>
      </c>
      <c r="D149" s="1" t="s">
        <v>304</v>
      </c>
      <c r="E149" s="1">
        <v>66.180000000000007</v>
      </c>
      <c r="F149" s="1">
        <v>2</v>
      </c>
      <c r="G149" s="1">
        <v>0</v>
      </c>
      <c r="H149" s="1">
        <v>0</v>
      </c>
      <c r="I149" s="1">
        <v>70</v>
      </c>
      <c r="J149" s="1">
        <v>1</v>
      </c>
      <c r="K149" s="43"/>
      <c r="L149" s="1"/>
      <c r="M149" s="1"/>
      <c r="N149" s="1"/>
      <c r="O149" s="1"/>
      <c r="P149" s="1"/>
      <c r="Q149" s="1"/>
      <c r="R149" s="1"/>
      <c r="S149" s="1"/>
      <c r="T149" s="1"/>
    </row>
    <row r="150" spans="1:20" ht="13" x14ac:dyDescent="0.15">
      <c r="A150" s="1" t="s">
        <v>458</v>
      </c>
      <c r="B150" s="1" t="s">
        <v>459</v>
      </c>
      <c r="C150" s="5" t="s">
        <v>460</v>
      </c>
      <c r="D150" s="1" t="s">
        <v>304</v>
      </c>
      <c r="E150" s="1">
        <v>61.42</v>
      </c>
      <c r="F150" s="1">
        <v>1</v>
      </c>
      <c r="G150" s="1">
        <v>0</v>
      </c>
      <c r="H150" s="1">
        <v>0</v>
      </c>
      <c r="I150" s="1">
        <v>98</v>
      </c>
      <c r="J150" s="1">
        <v>1</v>
      </c>
      <c r="K150" s="43"/>
      <c r="L150" s="1"/>
      <c r="M150" s="1"/>
      <c r="N150" s="1"/>
      <c r="O150" s="1"/>
      <c r="P150" s="1"/>
      <c r="Q150" s="1"/>
      <c r="R150" s="1"/>
      <c r="S150" s="1"/>
      <c r="T150" s="1"/>
    </row>
    <row r="151" spans="1:20" ht="13" x14ac:dyDescent="0.15">
      <c r="A151" s="1" t="s">
        <v>461</v>
      </c>
      <c r="B151" s="1" t="s">
        <v>462</v>
      </c>
      <c r="C151" s="5" t="s">
        <v>463</v>
      </c>
      <c r="D151" s="1" t="s">
        <v>304</v>
      </c>
      <c r="E151" s="1">
        <v>75.430000000000007</v>
      </c>
      <c r="F151" s="1">
        <v>2</v>
      </c>
      <c r="G151" s="1">
        <v>1</v>
      </c>
      <c r="H151" s="1">
        <v>0</v>
      </c>
      <c r="I151" s="1">
        <v>75</v>
      </c>
      <c r="J151" s="1">
        <v>0</v>
      </c>
      <c r="K151" s="43"/>
      <c r="L151" s="1"/>
      <c r="M151" s="1"/>
      <c r="N151" s="1"/>
      <c r="O151" s="1"/>
      <c r="P151" s="1"/>
      <c r="Q151" s="1"/>
      <c r="R151" s="1"/>
      <c r="S151" s="1"/>
      <c r="T151" s="1"/>
    </row>
    <row r="152" spans="1:20" ht="13" x14ac:dyDescent="0.15">
      <c r="A152" s="1" t="s">
        <v>464</v>
      </c>
      <c r="B152" s="1" t="s">
        <v>465</v>
      </c>
      <c r="C152" s="5" t="s">
        <v>466</v>
      </c>
      <c r="D152" s="1" t="s">
        <v>304</v>
      </c>
      <c r="E152" s="1">
        <v>52.12</v>
      </c>
      <c r="F152" s="1">
        <v>1</v>
      </c>
      <c r="G152" s="1">
        <v>0</v>
      </c>
      <c r="H152" s="1">
        <v>0</v>
      </c>
      <c r="I152" s="1">
        <v>531</v>
      </c>
      <c r="J152" s="1">
        <v>0</v>
      </c>
      <c r="K152" s="43"/>
      <c r="L152" s="1"/>
      <c r="M152" s="1"/>
      <c r="N152" s="1"/>
      <c r="O152" s="1"/>
      <c r="P152" s="1"/>
      <c r="Q152" s="1"/>
      <c r="R152" s="1"/>
      <c r="S152" s="1"/>
      <c r="T152" s="1"/>
    </row>
    <row r="153" spans="1:20" ht="13" x14ac:dyDescent="0.15">
      <c r="A153" s="1" t="s">
        <v>467</v>
      </c>
      <c r="B153" s="1" t="s">
        <v>468</v>
      </c>
      <c r="C153" s="1" t="s">
        <v>469</v>
      </c>
      <c r="D153" s="1" t="s">
        <v>304</v>
      </c>
      <c r="E153" s="1">
        <v>60.66</v>
      </c>
      <c r="F153" s="1">
        <v>2</v>
      </c>
      <c r="G153" s="1">
        <v>1</v>
      </c>
      <c r="H153" s="1">
        <v>0</v>
      </c>
      <c r="I153" s="1">
        <v>1527</v>
      </c>
      <c r="J153" s="1">
        <v>1</v>
      </c>
      <c r="K153" s="43"/>
      <c r="L153" s="1"/>
      <c r="M153" s="1"/>
      <c r="N153" s="1"/>
      <c r="O153" s="1"/>
      <c r="P153" s="1"/>
      <c r="Q153" s="1"/>
      <c r="R153" s="1"/>
      <c r="S153" s="1"/>
      <c r="T153" s="1"/>
    </row>
    <row r="154" spans="1:20" ht="13" x14ac:dyDescent="0.15">
      <c r="A154" s="1" t="s">
        <v>470</v>
      </c>
      <c r="B154" s="1" t="s">
        <v>471</v>
      </c>
      <c r="C154" s="5" t="s">
        <v>472</v>
      </c>
      <c r="D154" s="1" t="s">
        <v>304</v>
      </c>
      <c r="E154" s="1">
        <v>71.760000000000005</v>
      </c>
      <c r="F154" s="1">
        <v>1</v>
      </c>
      <c r="G154" s="1">
        <v>0</v>
      </c>
      <c r="H154" s="1">
        <v>0</v>
      </c>
      <c r="I154" s="1">
        <v>248</v>
      </c>
      <c r="J154" s="1">
        <v>1</v>
      </c>
      <c r="K154" s="43"/>
      <c r="L154" s="1"/>
      <c r="M154" s="1"/>
      <c r="N154" s="1"/>
      <c r="O154" s="1"/>
      <c r="P154" s="1"/>
      <c r="Q154" s="1"/>
      <c r="R154" s="1"/>
      <c r="S154" s="1"/>
      <c r="T154" s="1"/>
    </row>
    <row r="155" spans="1:20" ht="13" x14ac:dyDescent="0.15">
      <c r="A155" s="1" t="s">
        <v>473</v>
      </c>
      <c r="B155" s="1" t="s">
        <v>474</v>
      </c>
      <c r="C155" s="5" t="s">
        <v>475</v>
      </c>
      <c r="D155" s="1" t="s">
        <v>304</v>
      </c>
      <c r="E155" s="1">
        <v>48.71</v>
      </c>
      <c r="F155" s="1">
        <v>2</v>
      </c>
      <c r="G155" s="1">
        <v>0</v>
      </c>
      <c r="H155" s="1">
        <v>0</v>
      </c>
      <c r="I155" s="1">
        <v>610</v>
      </c>
      <c r="J155" s="1">
        <v>0</v>
      </c>
      <c r="K155" s="43"/>
      <c r="L155" s="1"/>
      <c r="M155" s="1"/>
      <c r="N155" s="1"/>
      <c r="O155" s="1"/>
      <c r="P155" s="1"/>
      <c r="Q155" s="1"/>
      <c r="R155" s="1"/>
      <c r="S155" s="1"/>
      <c r="T155" s="1"/>
    </row>
    <row r="156" spans="1:20" ht="13" x14ac:dyDescent="0.15">
      <c r="A156" s="1" t="s">
        <v>476</v>
      </c>
      <c r="B156" s="1" t="s">
        <v>477</v>
      </c>
      <c r="C156" s="1" t="s">
        <v>478</v>
      </c>
      <c r="D156" s="1" t="s">
        <v>304</v>
      </c>
      <c r="E156" s="1">
        <v>64.16</v>
      </c>
      <c r="F156" s="1">
        <v>2</v>
      </c>
      <c r="G156" s="1">
        <v>0</v>
      </c>
      <c r="H156" s="1">
        <v>0</v>
      </c>
      <c r="I156" s="1">
        <v>503</v>
      </c>
      <c r="J156" s="1">
        <v>1</v>
      </c>
      <c r="K156" s="43"/>
      <c r="L156" s="1"/>
      <c r="M156" s="1"/>
      <c r="N156" s="1"/>
      <c r="O156" s="1"/>
      <c r="P156" s="1"/>
      <c r="Q156" s="1"/>
      <c r="R156" s="1"/>
      <c r="S156" s="1"/>
      <c r="T156" s="1"/>
    </row>
    <row r="157" spans="1:20" ht="13" x14ac:dyDescent="0.15">
      <c r="A157" s="1" t="s">
        <v>479</v>
      </c>
      <c r="B157" s="1" t="s">
        <v>480</v>
      </c>
      <c r="C157" s="5" t="s">
        <v>481</v>
      </c>
      <c r="D157" s="1" t="s">
        <v>304</v>
      </c>
      <c r="E157" s="1">
        <v>74.22</v>
      </c>
      <c r="F157" s="1">
        <v>2</v>
      </c>
      <c r="G157" s="1">
        <v>0</v>
      </c>
      <c r="H157" s="1">
        <v>0</v>
      </c>
      <c r="I157" s="1">
        <v>104</v>
      </c>
      <c r="J157" s="1">
        <v>1</v>
      </c>
      <c r="K157" s="43"/>
      <c r="L157" s="1"/>
      <c r="M157" s="1"/>
      <c r="N157" s="1"/>
      <c r="O157" s="1"/>
      <c r="P157" s="1"/>
      <c r="Q157" s="1"/>
      <c r="R157" s="1"/>
      <c r="S157" s="1"/>
      <c r="T157" s="1"/>
    </row>
    <row r="158" spans="1:20" ht="13" x14ac:dyDescent="0.15">
      <c r="A158" s="1" t="s">
        <v>482</v>
      </c>
      <c r="B158" s="1" t="s">
        <v>483</v>
      </c>
      <c r="C158" s="5" t="s">
        <v>484</v>
      </c>
      <c r="D158" s="1" t="s">
        <v>304</v>
      </c>
      <c r="E158" s="1">
        <v>87.59</v>
      </c>
      <c r="F158" s="1">
        <v>1</v>
      </c>
      <c r="G158" s="1">
        <v>0</v>
      </c>
      <c r="H158" s="1">
        <v>0</v>
      </c>
      <c r="I158" s="1">
        <v>440</v>
      </c>
      <c r="J158" s="1">
        <v>0</v>
      </c>
      <c r="K158" s="43"/>
      <c r="L158" s="1"/>
      <c r="M158" s="1"/>
      <c r="N158" s="1"/>
      <c r="O158" s="1"/>
      <c r="P158" s="1"/>
      <c r="Q158" s="1"/>
      <c r="R158" s="1"/>
      <c r="S158" s="1"/>
      <c r="T158" s="1"/>
    </row>
    <row r="159" spans="1:20" ht="13" x14ac:dyDescent="0.15">
      <c r="A159" s="1" t="s">
        <v>485</v>
      </c>
      <c r="B159" s="1" t="s">
        <v>486</v>
      </c>
      <c r="C159" s="5" t="s">
        <v>487</v>
      </c>
      <c r="D159" s="1" t="s">
        <v>304</v>
      </c>
      <c r="E159" s="1">
        <v>56.09</v>
      </c>
      <c r="F159" s="1">
        <v>2</v>
      </c>
      <c r="G159" s="1">
        <v>1</v>
      </c>
      <c r="H159" s="1">
        <v>0</v>
      </c>
      <c r="I159" s="1">
        <v>497</v>
      </c>
      <c r="J159" s="1">
        <v>1</v>
      </c>
      <c r="K159" s="43"/>
      <c r="L159" s="1"/>
      <c r="M159" s="1"/>
      <c r="N159" s="1"/>
      <c r="O159" s="1"/>
      <c r="P159" s="1"/>
      <c r="Q159" s="1"/>
      <c r="R159" s="1"/>
      <c r="S159" s="1"/>
      <c r="T159" s="1"/>
    </row>
    <row r="160" spans="1:20" ht="13" x14ac:dyDescent="0.15">
      <c r="A160" s="1" t="s">
        <v>488</v>
      </c>
      <c r="B160" s="1" t="s">
        <v>489</v>
      </c>
      <c r="C160" s="1" t="s">
        <v>490</v>
      </c>
      <c r="D160" s="1" t="s">
        <v>304</v>
      </c>
      <c r="E160" s="1">
        <v>66.36</v>
      </c>
      <c r="F160" s="1">
        <v>1</v>
      </c>
      <c r="G160" s="44">
        <v>1</v>
      </c>
      <c r="H160" s="1">
        <v>0</v>
      </c>
      <c r="I160" s="1">
        <v>688</v>
      </c>
      <c r="J160" s="1">
        <v>0</v>
      </c>
      <c r="K160" s="43"/>
      <c r="L160" s="1"/>
      <c r="M160" s="44"/>
      <c r="N160" s="1"/>
      <c r="O160" s="1"/>
      <c r="P160" s="1"/>
      <c r="Q160" s="1"/>
      <c r="R160" s="1"/>
      <c r="S160" s="1"/>
      <c r="T160" s="1"/>
    </row>
    <row r="161" spans="1:20" ht="13" x14ac:dyDescent="0.15">
      <c r="A161" s="1" t="s">
        <v>491</v>
      </c>
      <c r="B161" s="1" t="s">
        <v>492</v>
      </c>
      <c r="C161" s="5" t="s">
        <v>493</v>
      </c>
      <c r="D161" s="1" t="s">
        <v>304</v>
      </c>
      <c r="E161" s="1">
        <v>82.41</v>
      </c>
      <c r="F161" s="1">
        <v>2</v>
      </c>
      <c r="G161" s="1">
        <v>0</v>
      </c>
      <c r="H161" s="1">
        <v>0</v>
      </c>
      <c r="I161" s="1">
        <v>80</v>
      </c>
      <c r="J161" s="1">
        <v>1</v>
      </c>
      <c r="K161" s="43"/>
      <c r="L161" s="1"/>
      <c r="M161" s="1"/>
      <c r="N161" s="1"/>
      <c r="O161" s="1"/>
      <c r="P161" s="1"/>
      <c r="Q161" s="1"/>
      <c r="R161" s="1"/>
      <c r="S161" s="1"/>
      <c r="T161" s="1"/>
    </row>
    <row r="162" spans="1:20" ht="13" x14ac:dyDescent="0.15">
      <c r="A162" s="1" t="s">
        <v>494</v>
      </c>
      <c r="B162" s="1" t="s">
        <v>495</v>
      </c>
      <c r="C162" s="5" t="s">
        <v>496</v>
      </c>
      <c r="D162" s="1" t="s">
        <v>304</v>
      </c>
      <c r="E162" s="1">
        <v>66.16</v>
      </c>
      <c r="F162" s="1">
        <v>1</v>
      </c>
      <c r="G162" s="1">
        <v>0</v>
      </c>
      <c r="H162" s="1">
        <v>0</v>
      </c>
      <c r="I162" s="1">
        <v>199</v>
      </c>
      <c r="J162" s="1">
        <v>1</v>
      </c>
      <c r="K162" s="43"/>
      <c r="L162" s="1"/>
      <c r="M162" s="1"/>
      <c r="N162" s="1"/>
      <c r="O162" s="1"/>
      <c r="P162" s="1"/>
      <c r="Q162" s="1"/>
      <c r="R162" s="1"/>
      <c r="S162" s="1"/>
      <c r="T162" s="1"/>
    </row>
    <row r="163" spans="1:20" ht="13" x14ac:dyDescent="0.15">
      <c r="A163" s="1" t="s">
        <v>497</v>
      </c>
      <c r="B163" s="1" t="s">
        <v>498</v>
      </c>
      <c r="C163" s="5" t="s">
        <v>499</v>
      </c>
      <c r="D163" s="1" t="s">
        <v>304</v>
      </c>
      <c r="E163" s="1">
        <v>62.89</v>
      </c>
      <c r="F163" s="1">
        <v>1</v>
      </c>
      <c r="G163" s="1">
        <v>0</v>
      </c>
      <c r="H163" s="1">
        <v>0</v>
      </c>
      <c r="I163" s="1">
        <v>443</v>
      </c>
      <c r="J163" s="1">
        <v>1</v>
      </c>
      <c r="K163" s="43"/>
      <c r="L163" s="1"/>
      <c r="M163" s="1"/>
      <c r="N163" s="1"/>
      <c r="O163" s="1"/>
      <c r="P163" s="1"/>
      <c r="Q163" s="1"/>
      <c r="R163" s="1"/>
      <c r="S163" s="1"/>
      <c r="T163" s="1"/>
    </row>
    <row r="164" spans="1:20" ht="13" x14ac:dyDescent="0.15">
      <c r="A164" s="1" t="s">
        <v>500</v>
      </c>
      <c r="B164" s="1" t="s">
        <v>501</v>
      </c>
      <c r="C164" s="5" t="s">
        <v>502</v>
      </c>
      <c r="D164" s="1" t="s">
        <v>304</v>
      </c>
      <c r="E164" s="1">
        <v>65.75</v>
      </c>
      <c r="F164" s="1">
        <v>2</v>
      </c>
      <c r="G164" s="1">
        <v>1</v>
      </c>
      <c r="H164" s="1">
        <v>0</v>
      </c>
      <c r="I164" s="1">
        <v>635</v>
      </c>
      <c r="J164" s="1">
        <v>0</v>
      </c>
      <c r="K164" s="43"/>
      <c r="L164" s="1"/>
      <c r="M164" s="1"/>
      <c r="N164" s="1"/>
      <c r="O164" s="1"/>
      <c r="P164" s="1"/>
      <c r="Q164" s="1"/>
      <c r="R164" s="1"/>
      <c r="S164" s="1"/>
      <c r="T164" s="1"/>
    </row>
    <row r="165" spans="1:20" ht="13" x14ac:dyDescent="0.15">
      <c r="A165" s="1" t="s">
        <v>503</v>
      </c>
      <c r="B165" s="1" t="s">
        <v>504</v>
      </c>
      <c r="C165" s="1" t="s">
        <v>505</v>
      </c>
      <c r="D165" s="1" t="s">
        <v>304</v>
      </c>
      <c r="E165" s="1">
        <v>73.62</v>
      </c>
      <c r="F165" s="1">
        <v>1</v>
      </c>
      <c r="G165" s="1">
        <v>1</v>
      </c>
      <c r="H165" s="1">
        <v>0</v>
      </c>
      <c r="I165" s="1">
        <v>240</v>
      </c>
      <c r="J165" s="1">
        <v>1</v>
      </c>
      <c r="K165" s="43"/>
      <c r="L165" s="1"/>
      <c r="M165" s="1"/>
      <c r="N165" s="1"/>
      <c r="O165" s="1"/>
      <c r="P165" s="1"/>
      <c r="Q165" s="1"/>
      <c r="R165" s="1"/>
      <c r="S165" s="1"/>
      <c r="T165" s="1"/>
    </row>
    <row r="166" spans="1:20" ht="13" x14ac:dyDescent="0.15">
      <c r="A166" s="1" t="s">
        <v>506</v>
      </c>
      <c r="B166" s="1" t="s">
        <v>507</v>
      </c>
      <c r="C166" s="5" t="s">
        <v>508</v>
      </c>
      <c r="D166" s="1" t="s">
        <v>304</v>
      </c>
      <c r="E166" s="1">
        <v>62.74</v>
      </c>
      <c r="F166" s="1">
        <v>1</v>
      </c>
      <c r="G166" s="1">
        <v>0</v>
      </c>
      <c r="H166" s="1">
        <v>0</v>
      </c>
      <c r="I166" s="1">
        <v>44</v>
      </c>
      <c r="J166" s="1">
        <v>1</v>
      </c>
      <c r="K166" s="43"/>
      <c r="L166" s="1"/>
      <c r="M166" s="1"/>
      <c r="N166" s="1"/>
      <c r="O166" s="1"/>
      <c r="P166" s="1"/>
      <c r="Q166" s="1"/>
      <c r="R166" s="1"/>
      <c r="S166" s="1"/>
      <c r="T166" s="1"/>
    </row>
    <row r="167" spans="1:20" ht="13" x14ac:dyDescent="0.15">
      <c r="A167" s="1" t="s">
        <v>509</v>
      </c>
      <c r="B167" s="1" t="s">
        <v>510</v>
      </c>
      <c r="C167" s="5" t="s">
        <v>511</v>
      </c>
      <c r="D167" s="1" t="s">
        <v>304</v>
      </c>
      <c r="E167" s="1">
        <v>55.59</v>
      </c>
      <c r="F167" s="1">
        <v>1</v>
      </c>
      <c r="G167" s="1">
        <v>1</v>
      </c>
      <c r="H167" s="1">
        <v>0</v>
      </c>
      <c r="I167" s="1">
        <v>879</v>
      </c>
      <c r="J167" s="1">
        <v>1</v>
      </c>
      <c r="K167" s="43"/>
      <c r="L167" s="1"/>
      <c r="M167" s="1"/>
      <c r="N167" s="1"/>
      <c r="O167" s="1"/>
      <c r="P167" s="1"/>
      <c r="Q167" s="1"/>
      <c r="R167" s="1"/>
      <c r="S167" s="1"/>
      <c r="T167" s="1"/>
    </row>
    <row r="168" spans="1:20" ht="13" x14ac:dyDescent="0.15">
      <c r="A168" s="1" t="s">
        <v>512</v>
      </c>
      <c r="B168" s="1" t="s">
        <v>513</v>
      </c>
      <c r="C168" s="5" t="s">
        <v>514</v>
      </c>
      <c r="D168" s="1" t="s">
        <v>304</v>
      </c>
      <c r="E168" s="1">
        <v>47.9</v>
      </c>
      <c r="F168" s="1">
        <v>1</v>
      </c>
      <c r="G168" s="1">
        <v>0</v>
      </c>
      <c r="H168" s="1">
        <v>0</v>
      </c>
      <c r="I168" s="1">
        <v>423</v>
      </c>
      <c r="J168" s="1">
        <v>1</v>
      </c>
      <c r="K168" s="43"/>
      <c r="L168" s="1"/>
      <c r="M168" s="1"/>
      <c r="N168" s="1"/>
      <c r="O168" s="1"/>
      <c r="P168" s="1"/>
      <c r="Q168" s="1"/>
      <c r="R168" s="1"/>
      <c r="S168" s="1"/>
      <c r="T168" s="1"/>
    </row>
    <row r="169" spans="1:20" ht="13" x14ac:dyDescent="0.15">
      <c r="A169" s="1" t="s">
        <v>515</v>
      </c>
      <c r="B169" s="1" t="s">
        <v>516</v>
      </c>
      <c r="C169" s="5" t="s">
        <v>517</v>
      </c>
      <c r="D169" s="1" t="s">
        <v>304</v>
      </c>
      <c r="E169" s="1">
        <v>59.75</v>
      </c>
      <c r="F169" s="1">
        <v>1</v>
      </c>
      <c r="G169" s="1">
        <v>0</v>
      </c>
      <c r="H169" s="1">
        <v>0</v>
      </c>
      <c r="I169" s="1">
        <v>420</v>
      </c>
      <c r="J169" s="1">
        <v>1</v>
      </c>
      <c r="K169" s="43"/>
      <c r="L169" s="1"/>
      <c r="M169" s="1"/>
      <c r="N169" s="1"/>
      <c r="O169" s="1"/>
      <c r="P169" s="1"/>
      <c r="Q169" s="1"/>
      <c r="R169" s="1"/>
      <c r="S169" s="1"/>
      <c r="T169" s="1"/>
    </row>
    <row r="170" spans="1:20" ht="13" x14ac:dyDescent="0.15">
      <c r="A170" s="1" t="s">
        <v>518</v>
      </c>
      <c r="B170" s="1" t="s">
        <v>519</v>
      </c>
      <c r="C170" s="5" t="s">
        <v>520</v>
      </c>
      <c r="D170" s="1" t="s">
        <v>304</v>
      </c>
      <c r="E170" s="1">
        <v>67.430000000000007</v>
      </c>
      <c r="F170" s="1">
        <v>1</v>
      </c>
      <c r="G170" s="1">
        <v>0</v>
      </c>
      <c r="H170" s="1">
        <v>0</v>
      </c>
      <c r="I170" s="1">
        <v>618</v>
      </c>
      <c r="J170" s="1">
        <v>0</v>
      </c>
      <c r="K170" s="43"/>
      <c r="L170" s="1"/>
      <c r="M170" s="1"/>
      <c r="N170" s="1"/>
      <c r="O170" s="1"/>
      <c r="P170" s="1"/>
      <c r="Q170" s="1"/>
      <c r="R170" s="1"/>
      <c r="S170" s="1"/>
      <c r="T170" s="1"/>
    </row>
    <row r="171" spans="1:20" ht="13" x14ac:dyDescent="0.15">
      <c r="A171" s="1" t="s">
        <v>521</v>
      </c>
      <c r="B171" s="1" t="s">
        <v>522</v>
      </c>
      <c r="C171" s="5" t="s">
        <v>523</v>
      </c>
      <c r="D171" s="1" t="s">
        <v>304</v>
      </c>
      <c r="E171" s="1">
        <v>51.56</v>
      </c>
      <c r="F171" s="1">
        <v>1</v>
      </c>
      <c r="G171" s="1">
        <v>1</v>
      </c>
      <c r="H171" s="1">
        <v>0</v>
      </c>
      <c r="I171" s="1">
        <v>480</v>
      </c>
      <c r="J171" s="1">
        <v>1</v>
      </c>
      <c r="K171" s="43"/>
      <c r="L171" s="1"/>
      <c r="M171" s="1"/>
      <c r="N171" s="1"/>
      <c r="O171" s="1"/>
      <c r="P171" s="1"/>
      <c r="Q171" s="1"/>
      <c r="R171" s="1"/>
      <c r="S171" s="1"/>
      <c r="T171" s="1"/>
    </row>
    <row r="172" spans="1:20" ht="13" x14ac:dyDescent="0.15">
      <c r="A172" s="1" t="s">
        <v>524</v>
      </c>
      <c r="B172" s="1" t="s">
        <v>525</v>
      </c>
      <c r="C172" s="1" t="s">
        <v>526</v>
      </c>
      <c r="D172" s="1" t="s">
        <v>304</v>
      </c>
      <c r="E172" s="1">
        <v>81.77</v>
      </c>
      <c r="F172" s="1">
        <v>1</v>
      </c>
      <c r="G172" s="1">
        <v>1</v>
      </c>
      <c r="H172" s="1">
        <v>0</v>
      </c>
      <c r="I172" s="1">
        <v>117</v>
      </c>
      <c r="J172" s="1">
        <v>0</v>
      </c>
      <c r="K172" s="43"/>
      <c r="L172" s="1"/>
      <c r="M172" s="1"/>
      <c r="N172" s="1"/>
      <c r="O172" s="1"/>
      <c r="P172" s="1"/>
      <c r="Q172" s="1"/>
      <c r="R172" s="1"/>
      <c r="S172" s="1"/>
      <c r="T172" s="1"/>
    </row>
    <row r="173" spans="1:20" ht="13" x14ac:dyDescent="0.15">
      <c r="A173" s="1" t="s">
        <v>527</v>
      </c>
      <c r="B173" s="1" t="s">
        <v>528</v>
      </c>
      <c r="C173" s="5" t="s">
        <v>529</v>
      </c>
      <c r="D173" s="1" t="s">
        <v>304</v>
      </c>
      <c r="E173" s="1">
        <v>63.11</v>
      </c>
      <c r="F173" s="1">
        <v>1</v>
      </c>
      <c r="G173" s="1">
        <v>1</v>
      </c>
      <c r="H173" s="1">
        <v>0</v>
      </c>
      <c r="I173" s="1">
        <v>862</v>
      </c>
      <c r="J173" s="1">
        <v>1</v>
      </c>
      <c r="K173" s="43"/>
      <c r="L173" s="1"/>
      <c r="M173" s="1"/>
      <c r="N173" s="1"/>
      <c r="O173" s="1"/>
      <c r="P173" s="1"/>
      <c r="Q173" s="1"/>
      <c r="R173" s="1"/>
      <c r="S173" s="1"/>
      <c r="T173" s="1"/>
    </row>
    <row r="174" spans="1:20" ht="13" x14ac:dyDescent="0.15">
      <c r="A174" s="1" t="s">
        <v>530</v>
      </c>
      <c r="B174" s="1" t="s">
        <v>531</v>
      </c>
      <c r="C174" s="5" t="s">
        <v>532</v>
      </c>
      <c r="D174" s="1" t="s">
        <v>304</v>
      </c>
      <c r="E174" s="1">
        <v>65.81</v>
      </c>
      <c r="F174" s="1">
        <v>2</v>
      </c>
      <c r="G174" s="1">
        <v>0</v>
      </c>
      <c r="H174" s="1">
        <v>0</v>
      </c>
      <c r="I174" s="1">
        <v>351</v>
      </c>
      <c r="J174" s="1">
        <v>0</v>
      </c>
      <c r="K174" s="43"/>
      <c r="L174" s="1"/>
      <c r="M174" s="1"/>
      <c r="N174" s="1"/>
      <c r="O174" s="1"/>
      <c r="P174" s="1"/>
      <c r="Q174" s="1"/>
      <c r="R174" s="1"/>
      <c r="S174" s="1"/>
      <c r="T174" s="1"/>
    </row>
    <row r="175" spans="1:20" ht="13" x14ac:dyDescent="0.15">
      <c r="A175" s="1" t="s">
        <v>533</v>
      </c>
      <c r="B175" s="1" t="s">
        <v>534</v>
      </c>
      <c r="C175" s="5" t="s">
        <v>535</v>
      </c>
      <c r="D175" s="1" t="s">
        <v>304</v>
      </c>
      <c r="E175" s="1">
        <v>69.22</v>
      </c>
      <c r="F175" s="1">
        <v>2</v>
      </c>
      <c r="G175" s="1">
        <v>0</v>
      </c>
      <c r="H175" s="1">
        <v>0</v>
      </c>
      <c r="I175" s="1">
        <v>297</v>
      </c>
      <c r="J175" s="1">
        <v>1</v>
      </c>
      <c r="K175" s="43"/>
      <c r="L175" s="1"/>
      <c r="M175" s="1"/>
      <c r="N175" s="1"/>
      <c r="O175" s="1"/>
      <c r="P175" s="1"/>
      <c r="Q175" s="1"/>
      <c r="R175" s="1"/>
      <c r="S175" s="1"/>
      <c r="T175" s="1"/>
    </row>
    <row r="176" spans="1:20" ht="13" x14ac:dyDescent="0.15">
      <c r="A176" s="1" t="s">
        <v>536</v>
      </c>
      <c r="B176" s="1" t="s">
        <v>537</v>
      </c>
      <c r="C176" s="1" t="s">
        <v>538</v>
      </c>
      <c r="D176" s="1" t="s">
        <v>304</v>
      </c>
      <c r="E176" s="1">
        <v>67.63</v>
      </c>
      <c r="F176" s="1">
        <v>1</v>
      </c>
      <c r="G176" s="45">
        <v>1</v>
      </c>
      <c r="H176" s="1">
        <v>0</v>
      </c>
      <c r="I176" s="1">
        <v>692</v>
      </c>
      <c r="J176" s="1">
        <v>1</v>
      </c>
      <c r="K176" s="43"/>
      <c r="L176" s="1"/>
      <c r="M176" s="45"/>
      <c r="N176" s="1"/>
      <c r="O176" s="1"/>
      <c r="P176" s="1"/>
      <c r="Q176" s="1"/>
      <c r="R176" s="1"/>
      <c r="S176" s="1"/>
      <c r="T176" s="1"/>
    </row>
    <row r="177" spans="1:20" ht="13" x14ac:dyDescent="0.15">
      <c r="A177" s="1" t="s">
        <v>539</v>
      </c>
      <c r="B177" s="1" t="s">
        <v>540</v>
      </c>
      <c r="C177" s="1" t="s">
        <v>541</v>
      </c>
      <c r="D177" s="1" t="s">
        <v>304</v>
      </c>
      <c r="E177" s="1">
        <v>70.75</v>
      </c>
      <c r="F177" s="1">
        <v>1</v>
      </c>
      <c r="G177" s="1">
        <v>0</v>
      </c>
      <c r="H177" s="1">
        <v>0</v>
      </c>
      <c r="I177" s="1">
        <v>580</v>
      </c>
      <c r="J177" s="1">
        <v>0</v>
      </c>
      <c r="K177" s="43"/>
      <c r="L177" s="1"/>
      <c r="M177" s="1"/>
      <c r="N177" s="1"/>
      <c r="O177" s="1"/>
      <c r="P177" s="1"/>
      <c r="Q177" s="1"/>
      <c r="R177" s="1"/>
      <c r="S177" s="1"/>
      <c r="T177" s="1"/>
    </row>
    <row r="178" spans="1:20" ht="13" x14ac:dyDescent="0.15">
      <c r="A178" s="1" t="s">
        <v>542</v>
      </c>
      <c r="B178" s="1" t="s">
        <v>543</v>
      </c>
      <c r="C178" s="5" t="s">
        <v>544</v>
      </c>
      <c r="D178" s="1" t="s">
        <v>304</v>
      </c>
      <c r="E178" s="1">
        <v>57.26</v>
      </c>
      <c r="F178" s="1">
        <v>1</v>
      </c>
      <c r="G178" s="1">
        <v>0</v>
      </c>
      <c r="H178" s="1">
        <v>0</v>
      </c>
      <c r="I178" s="1">
        <v>21</v>
      </c>
      <c r="J178" s="1">
        <v>0</v>
      </c>
      <c r="K178" s="43"/>
      <c r="L178" s="1"/>
      <c r="M178" s="1"/>
      <c r="N178" s="1"/>
      <c r="O178" s="1"/>
      <c r="P178" s="1"/>
      <c r="Q178" s="1"/>
      <c r="R178" s="1"/>
      <c r="S178" s="1"/>
      <c r="T178" s="1"/>
    </row>
    <row r="179" spans="1:20" ht="13" x14ac:dyDescent="0.15">
      <c r="A179" s="1" t="s">
        <v>545</v>
      </c>
      <c r="B179" s="1" t="s">
        <v>546</v>
      </c>
      <c r="C179" s="5" t="s">
        <v>547</v>
      </c>
      <c r="D179" s="1" t="s">
        <v>304</v>
      </c>
      <c r="E179" s="1">
        <v>70.81</v>
      </c>
      <c r="F179" s="1">
        <v>1</v>
      </c>
      <c r="G179" s="1">
        <v>1</v>
      </c>
      <c r="H179" s="1">
        <v>0</v>
      </c>
      <c r="I179" s="1">
        <v>343</v>
      </c>
      <c r="J179" s="1">
        <v>1</v>
      </c>
      <c r="K179" s="43"/>
      <c r="L179" s="1"/>
      <c r="M179" s="1"/>
      <c r="N179" s="1"/>
      <c r="O179" s="1"/>
      <c r="P179" s="1"/>
      <c r="Q179" s="1"/>
      <c r="R179" s="1"/>
      <c r="S179" s="1"/>
      <c r="T179" s="1"/>
    </row>
    <row r="180" spans="1:20" ht="13" x14ac:dyDescent="0.15">
      <c r="A180" s="1" t="s">
        <v>548</v>
      </c>
      <c r="B180" s="1" t="s">
        <v>549</v>
      </c>
      <c r="C180" s="5" t="s">
        <v>550</v>
      </c>
      <c r="D180" s="1" t="s">
        <v>304</v>
      </c>
      <c r="E180" s="1">
        <v>77.45</v>
      </c>
      <c r="F180" s="1">
        <v>2</v>
      </c>
      <c r="G180" s="1">
        <v>1</v>
      </c>
      <c r="H180" s="1">
        <v>0</v>
      </c>
      <c r="I180" s="1">
        <v>303</v>
      </c>
      <c r="J180" s="1">
        <v>0</v>
      </c>
      <c r="K180" s="43"/>
      <c r="L180" s="1"/>
      <c r="M180" s="1"/>
      <c r="N180" s="1"/>
      <c r="O180" s="1"/>
      <c r="P180" s="1"/>
      <c r="Q180" s="1"/>
      <c r="R180" s="1"/>
      <c r="S180" s="1"/>
      <c r="T180" s="1"/>
    </row>
    <row r="181" spans="1:20" ht="13" x14ac:dyDescent="0.15">
      <c r="A181" s="1" t="s">
        <v>551</v>
      </c>
      <c r="B181" s="1" t="s">
        <v>552</v>
      </c>
      <c r="C181" s="5" t="s">
        <v>553</v>
      </c>
      <c r="D181" s="1" t="s">
        <v>304</v>
      </c>
      <c r="E181" s="1">
        <v>64.650000000000006</v>
      </c>
      <c r="F181" s="1">
        <v>1</v>
      </c>
      <c r="G181" s="1">
        <v>0</v>
      </c>
      <c r="H181" s="1">
        <v>0</v>
      </c>
      <c r="I181" s="1">
        <v>211</v>
      </c>
      <c r="J181" s="1">
        <v>1</v>
      </c>
      <c r="K181" s="43"/>
      <c r="L181" s="1"/>
      <c r="M181" s="1"/>
      <c r="N181" s="1"/>
      <c r="O181" s="1"/>
      <c r="P181" s="1"/>
      <c r="Q181" s="1"/>
      <c r="R181" s="1"/>
      <c r="S181" s="1"/>
      <c r="T181" s="1"/>
    </row>
    <row r="182" spans="1:20" ht="13" x14ac:dyDescent="0.15">
      <c r="A182" s="1" t="s">
        <v>554</v>
      </c>
      <c r="B182" s="1" t="s">
        <v>555</v>
      </c>
      <c r="C182" s="5" t="s">
        <v>556</v>
      </c>
      <c r="D182" s="1" t="s">
        <v>304</v>
      </c>
      <c r="E182" s="1">
        <v>73.05</v>
      </c>
      <c r="F182" s="1">
        <v>1</v>
      </c>
      <c r="G182" s="1">
        <v>1</v>
      </c>
      <c r="H182" s="1">
        <v>0</v>
      </c>
      <c r="I182" s="1">
        <v>434</v>
      </c>
      <c r="J182" s="1">
        <v>0</v>
      </c>
      <c r="K182" s="43"/>
      <c r="L182" s="1"/>
      <c r="M182" s="1"/>
      <c r="N182" s="1"/>
      <c r="O182" s="1"/>
      <c r="P182" s="1"/>
      <c r="Q182" s="1"/>
      <c r="R182" s="1"/>
      <c r="S182" s="1"/>
      <c r="T182" s="1"/>
    </row>
    <row r="183" spans="1:20" ht="13" x14ac:dyDescent="0.15">
      <c r="A183" s="1" t="s">
        <v>557</v>
      </c>
      <c r="B183" s="1" t="s">
        <v>558</v>
      </c>
      <c r="C183" s="5" t="s">
        <v>559</v>
      </c>
      <c r="D183" s="1" t="s">
        <v>304</v>
      </c>
      <c r="E183" s="1">
        <v>71.63</v>
      </c>
      <c r="F183" s="1">
        <v>1</v>
      </c>
      <c r="G183" s="1">
        <v>1</v>
      </c>
      <c r="H183" s="1">
        <v>0</v>
      </c>
      <c r="I183" s="1">
        <v>996</v>
      </c>
      <c r="J183" s="1">
        <v>1</v>
      </c>
      <c r="K183" s="43"/>
      <c r="L183" s="1"/>
      <c r="M183" s="1"/>
      <c r="N183" s="1"/>
      <c r="O183" s="1"/>
      <c r="P183" s="1"/>
      <c r="Q183" s="1"/>
      <c r="R183" s="1"/>
      <c r="S183" s="1"/>
      <c r="T183" s="1"/>
    </row>
    <row r="184" spans="1:20" ht="13" x14ac:dyDescent="0.15">
      <c r="A184" s="1" t="s">
        <v>560</v>
      </c>
      <c r="B184" s="1" t="s">
        <v>561</v>
      </c>
      <c r="C184" s="5" t="s">
        <v>562</v>
      </c>
      <c r="D184" s="1" t="s">
        <v>304</v>
      </c>
      <c r="E184" s="1">
        <v>76.150000000000006</v>
      </c>
      <c r="F184" s="1">
        <v>1</v>
      </c>
      <c r="G184" s="1">
        <v>0</v>
      </c>
      <c r="H184" s="1">
        <v>0</v>
      </c>
      <c r="I184" s="1">
        <v>157</v>
      </c>
      <c r="J184" s="1">
        <v>1</v>
      </c>
      <c r="K184" s="43"/>
      <c r="L184" s="1"/>
      <c r="M184" s="1"/>
      <c r="N184" s="1"/>
      <c r="O184" s="1"/>
      <c r="P184" s="1"/>
      <c r="Q184" s="1"/>
      <c r="R184" s="1"/>
      <c r="S184" s="1"/>
      <c r="T184" s="1"/>
    </row>
    <row r="185" spans="1:20" ht="13" x14ac:dyDescent="0.15">
      <c r="A185" s="1" t="s">
        <v>563</v>
      </c>
      <c r="B185" s="1" t="s">
        <v>564</v>
      </c>
      <c r="C185" s="5" t="s">
        <v>565</v>
      </c>
      <c r="D185" s="1" t="s">
        <v>304</v>
      </c>
      <c r="E185" s="1">
        <v>63.68</v>
      </c>
      <c r="F185" s="1">
        <v>1</v>
      </c>
      <c r="G185" s="1">
        <v>0</v>
      </c>
      <c r="H185" s="1">
        <v>0</v>
      </c>
      <c r="I185" s="1">
        <v>154</v>
      </c>
      <c r="J185" s="1">
        <v>1</v>
      </c>
      <c r="K185" s="43"/>
      <c r="L185" s="1"/>
      <c r="M185" s="1"/>
      <c r="N185" s="1"/>
      <c r="O185" s="1"/>
      <c r="P185" s="1"/>
      <c r="Q185" s="1"/>
      <c r="R185" s="1"/>
      <c r="S185" s="1"/>
      <c r="T185" s="1"/>
    </row>
    <row r="186" spans="1:20" ht="13" x14ac:dyDescent="0.15">
      <c r="A186" s="1" t="s">
        <v>566</v>
      </c>
      <c r="B186" s="1" t="s">
        <v>567</v>
      </c>
      <c r="C186" s="5" t="s">
        <v>568</v>
      </c>
      <c r="D186" s="1" t="s">
        <v>304</v>
      </c>
      <c r="E186" s="1">
        <v>51.23</v>
      </c>
      <c r="F186" s="1">
        <v>2</v>
      </c>
      <c r="G186" s="1">
        <v>1</v>
      </c>
      <c r="H186" s="1">
        <v>0</v>
      </c>
      <c r="I186" s="1">
        <v>601</v>
      </c>
      <c r="J186" s="1">
        <v>0</v>
      </c>
      <c r="K186" s="43"/>
      <c r="L186" s="1"/>
      <c r="M186" s="1"/>
      <c r="N186" s="1"/>
      <c r="O186" s="1"/>
      <c r="P186" s="1"/>
      <c r="Q186" s="1"/>
      <c r="R186" s="1"/>
      <c r="S186" s="1"/>
      <c r="T186" s="1"/>
    </row>
    <row r="187" spans="1:20" ht="13" x14ac:dyDescent="0.15">
      <c r="A187" s="1" t="s">
        <v>569</v>
      </c>
      <c r="B187" s="1" t="s">
        <v>570</v>
      </c>
      <c r="C187" s="5" t="s">
        <v>571</v>
      </c>
      <c r="D187" s="1" t="s">
        <v>304</v>
      </c>
      <c r="E187" s="1">
        <v>58.52</v>
      </c>
      <c r="F187" s="1">
        <v>1</v>
      </c>
      <c r="G187" s="1">
        <v>0</v>
      </c>
      <c r="H187" s="1">
        <v>0</v>
      </c>
      <c r="I187" s="1">
        <v>226</v>
      </c>
      <c r="J187" s="1">
        <v>1</v>
      </c>
      <c r="K187" s="43"/>
      <c r="L187" s="1"/>
      <c r="M187" s="1"/>
      <c r="N187" s="1"/>
      <c r="O187" s="1"/>
      <c r="P187" s="1"/>
      <c r="Q187" s="1"/>
      <c r="R187" s="1"/>
      <c r="S187" s="1"/>
      <c r="T187" s="1"/>
    </row>
    <row r="188" spans="1:20" ht="13" x14ac:dyDescent="0.15">
      <c r="A188" s="1" t="s">
        <v>572</v>
      </c>
      <c r="B188" s="1" t="s">
        <v>573</v>
      </c>
      <c r="C188" s="5" t="s">
        <v>574</v>
      </c>
      <c r="D188" s="1" t="s">
        <v>304</v>
      </c>
      <c r="E188" s="1">
        <v>75.88</v>
      </c>
      <c r="F188" s="1">
        <v>1</v>
      </c>
      <c r="G188" s="1">
        <v>0</v>
      </c>
      <c r="H188" s="1">
        <v>0</v>
      </c>
      <c r="I188" s="1">
        <v>48</v>
      </c>
      <c r="J188" s="1">
        <v>0</v>
      </c>
      <c r="K188" s="43"/>
      <c r="L188" s="1"/>
      <c r="M188" s="1"/>
      <c r="N188" s="1"/>
      <c r="O188" s="1"/>
      <c r="P188" s="1"/>
      <c r="Q188" s="1"/>
      <c r="R188" s="1"/>
      <c r="S188" s="1"/>
      <c r="T188" s="1"/>
    </row>
    <row r="189" spans="1:20" ht="13" x14ac:dyDescent="0.15">
      <c r="A189" s="1" t="s">
        <v>575</v>
      </c>
      <c r="B189" s="1" t="s">
        <v>576</v>
      </c>
      <c r="C189" s="5" t="s">
        <v>577</v>
      </c>
      <c r="D189" s="1" t="s">
        <v>304</v>
      </c>
      <c r="E189" s="1">
        <v>56.37</v>
      </c>
      <c r="F189" s="1">
        <v>1</v>
      </c>
      <c r="G189" s="1">
        <v>1</v>
      </c>
      <c r="H189" s="1">
        <v>0</v>
      </c>
      <c r="I189" s="1">
        <v>516</v>
      </c>
      <c r="J189" s="1">
        <v>0</v>
      </c>
      <c r="K189" s="43"/>
      <c r="L189" s="1"/>
      <c r="M189" s="1"/>
      <c r="N189" s="1"/>
      <c r="O189" s="1"/>
      <c r="P189" s="1"/>
      <c r="Q189" s="1"/>
      <c r="R189" s="1"/>
      <c r="S189" s="1"/>
      <c r="T189" s="1"/>
    </row>
    <row r="190" spans="1:20" ht="13" x14ac:dyDescent="0.15">
      <c r="A190" s="1" t="s">
        <v>578</v>
      </c>
      <c r="B190" s="1" t="s">
        <v>579</v>
      </c>
      <c r="C190" s="5" t="s">
        <v>580</v>
      </c>
      <c r="D190" s="1" t="s">
        <v>304</v>
      </c>
      <c r="E190" s="1">
        <v>78.41</v>
      </c>
      <c r="F190" s="1">
        <v>1</v>
      </c>
      <c r="G190" s="1">
        <v>0</v>
      </c>
      <c r="H190" s="1">
        <v>0</v>
      </c>
      <c r="I190" s="1">
        <v>528</v>
      </c>
      <c r="J190" s="1">
        <v>1</v>
      </c>
      <c r="K190" s="43"/>
      <c r="L190" s="1"/>
      <c r="M190" s="1"/>
      <c r="N190" s="1"/>
      <c r="O190" s="1"/>
      <c r="P190" s="1"/>
      <c r="Q190" s="1"/>
      <c r="R190" s="1"/>
      <c r="S190" s="1"/>
      <c r="T190" s="1"/>
    </row>
    <row r="191" spans="1:20" ht="13" x14ac:dyDescent="0.15">
      <c r="A191" s="1" t="s">
        <v>581</v>
      </c>
      <c r="B191" s="1" t="s">
        <v>582</v>
      </c>
      <c r="C191" s="5" t="s">
        <v>583</v>
      </c>
      <c r="D191" s="1" t="s">
        <v>304</v>
      </c>
      <c r="E191" s="1">
        <v>61.02</v>
      </c>
      <c r="F191" s="1">
        <v>2</v>
      </c>
      <c r="G191" s="1">
        <v>0</v>
      </c>
      <c r="H191" s="1">
        <v>0</v>
      </c>
      <c r="I191" s="1">
        <v>192</v>
      </c>
      <c r="J191" s="1">
        <v>1</v>
      </c>
      <c r="K191" s="43"/>
      <c r="L191" s="1"/>
      <c r="M191" s="1"/>
      <c r="N191" s="1"/>
      <c r="O191" s="1"/>
      <c r="P191" s="1"/>
      <c r="Q191" s="1"/>
      <c r="R191" s="1"/>
      <c r="S191" s="1"/>
      <c r="T191" s="1"/>
    </row>
    <row r="192" spans="1:20" ht="13" x14ac:dyDescent="0.15">
      <c r="A192" s="1" t="s">
        <v>584</v>
      </c>
      <c r="B192" s="1" t="s">
        <v>585</v>
      </c>
      <c r="C192" s="1" t="s">
        <v>586</v>
      </c>
      <c r="D192" s="1" t="s">
        <v>304</v>
      </c>
      <c r="E192" s="1">
        <v>61.82</v>
      </c>
      <c r="F192" s="1">
        <v>2</v>
      </c>
      <c r="G192" s="1">
        <v>1</v>
      </c>
      <c r="H192" s="1">
        <v>0</v>
      </c>
      <c r="I192" s="1">
        <v>1145</v>
      </c>
      <c r="J192" s="1">
        <v>1</v>
      </c>
      <c r="K192" s="43"/>
      <c r="L192" s="1"/>
      <c r="M192" s="1"/>
      <c r="N192" s="1"/>
      <c r="O192" s="1"/>
      <c r="P192" s="1"/>
      <c r="Q192" s="1"/>
      <c r="R192" s="1"/>
      <c r="S192" s="1"/>
      <c r="T192" s="1"/>
    </row>
    <row r="193" spans="1:20" ht="13" x14ac:dyDescent="0.15">
      <c r="A193" s="1" t="s">
        <v>587</v>
      </c>
      <c r="B193" s="1" t="s">
        <v>588</v>
      </c>
      <c r="C193" s="5" t="s">
        <v>589</v>
      </c>
      <c r="D193" s="1" t="s">
        <v>304</v>
      </c>
      <c r="E193" s="1">
        <v>74.849999999999994</v>
      </c>
      <c r="F193" s="1">
        <v>1</v>
      </c>
      <c r="G193" s="1">
        <v>1</v>
      </c>
      <c r="H193" s="1">
        <v>0</v>
      </c>
      <c r="I193" s="1">
        <v>1020</v>
      </c>
      <c r="J193" s="1">
        <v>1</v>
      </c>
      <c r="K193" s="43"/>
      <c r="L193" s="1"/>
      <c r="M193" s="1"/>
      <c r="N193" s="1"/>
      <c r="O193" s="1"/>
      <c r="P193" s="1"/>
      <c r="Q193" s="1"/>
      <c r="R193" s="1"/>
      <c r="S193" s="1"/>
      <c r="T193" s="1"/>
    </row>
    <row r="194" spans="1:20" ht="15" x14ac:dyDescent="0.2">
      <c r="A194" s="3" t="s">
        <v>590</v>
      </c>
      <c r="B194" s="1" t="s">
        <v>591</v>
      </c>
      <c r="C194" s="5" t="s">
        <v>592</v>
      </c>
      <c r="D194" s="1" t="s">
        <v>304</v>
      </c>
      <c r="E194" s="1">
        <v>42.61</v>
      </c>
      <c r="F194" s="1">
        <v>1</v>
      </c>
      <c r="G194" s="1">
        <v>1</v>
      </c>
      <c r="H194" s="1">
        <v>0</v>
      </c>
      <c r="I194" s="1">
        <v>617</v>
      </c>
      <c r="J194" s="1">
        <v>0</v>
      </c>
      <c r="K194" s="43"/>
      <c r="L194" s="1"/>
      <c r="M194" s="1"/>
      <c r="N194" s="1"/>
      <c r="O194" s="1"/>
      <c r="P194" s="1"/>
      <c r="Q194" s="1"/>
      <c r="R194" s="1"/>
      <c r="S194" s="1"/>
      <c r="T194" s="1"/>
    </row>
    <row r="195" spans="1:20" ht="15" x14ac:dyDescent="0.2">
      <c r="A195" s="3" t="s">
        <v>593</v>
      </c>
      <c r="B195" s="1" t="s">
        <v>594</v>
      </c>
      <c r="C195" s="1" t="s">
        <v>595</v>
      </c>
      <c r="D195" s="1" t="s">
        <v>304</v>
      </c>
      <c r="E195" s="1">
        <v>63.59</v>
      </c>
      <c r="F195" s="1">
        <v>1</v>
      </c>
      <c r="G195" s="1">
        <v>0</v>
      </c>
      <c r="H195" s="1">
        <v>0</v>
      </c>
      <c r="I195" s="1">
        <v>730</v>
      </c>
      <c r="J195" s="1">
        <v>0</v>
      </c>
      <c r="K195" s="43"/>
      <c r="L195" s="1"/>
      <c r="M195" s="1"/>
      <c r="N195" s="1"/>
      <c r="O195" s="1"/>
      <c r="P195" s="1"/>
      <c r="Q195" s="1"/>
      <c r="R195" s="1"/>
      <c r="S195" s="1"/>
      <c r="T195" s="1"/>
    </row>
    <row r="196" spans="1:20" ht="13" x14ac:dyDescent="0.15">
      <c r="A196" s="1" t="s">
        <v>596</v>
      </c>
      <c r="B196" s="1" t="s">
        <v>597</v>
      </c>
      <c r="C196" s="5" t="s">
        <v>598</v>
      </c>
      <c r="D196" s="1" t="s">
        <v>304</v>
      </c>
      <c r="E196" s="1">
        <v>64.91</v>
      </c>
      <c r="F196" s="1">
        <v>1</v>
      </c>
      <c r="G196" s="1">
        <v>1</v>
      </c>
      <c r="H196" s="1">
        <v>0</v>
      </c>
      <c r="I196" s="1">
        <v>370</v>
      </c>
      <c r="J196" s="1">
        <v>0</v>
      </c>
      <c r="K196" s="43"/>
      <c r="L196" s="1"/>
      <c r="M196" s="1"/>
      <c r="N196" s="1"/>
      <c r="O196" s="1"/>
      <c r="P196" s="1"/>
      <c r="Q196" s="1"/>
      <c r="R196" s="1"/>
      <c r="S196" s="1"/>
      <c r="T196" s="1"/>
    </row>
    <row r="197" spans="1:20" ht="13" x14ac:dyDescent="0.15">
      <c r="A197" s="1" t="s">
        <v>599</v>
      </c>
      <c r="B197" s="1" t="s">
        <v>600</v>
      </c>
      <c r="C197" s="5" t="s">
        <v>601</v>
      </c>
      <c r="D197" s="1" t="s">
        <v>304</v>
      </c>
      <c r="E197" s="1">
        <v>71.27</v>
      </c>
      <c r="F197" s="1">
        <v>1</v>
      </c>
      <c r="G197" s="1">
        <v>1</v>
      </c>
      <c r="H197" s="1">
        <v>0</v>
      </c>
      <c r="I197" s="1">
        <v>376</v>
      </c>
      <c r="J197" s="1">
        <v>1</v>
      </c>
      <c r="K197" s="43"/>
      <c r="L197" s="1"/>
      <c r="M197" s="1"/>
      <c r="N197" s="1"/>
      <c r="O197" s="1"/>
      <c r="P197" s="1"/>
      <c r="Q197" s="1"/>
      <c r="R197" s="1"/>
      <c r="S197" s="1"/>
      <c r="T197" s="1"/>
    </row>
    <row r="198" spans="1:20" ht="13" x14ac:dyDescent="0.15">
      <c r="A198" s="1" t="s">
        <v>602</v>
      </c>
      <c r="B198" s="1" t="s">
        <v>603</v>
      </c>
      <c r="C198" s="5" t="s">
        <v>604</v>
      </c>
      <c r="D198" s="1" t="s">
        <v>304</v>
      </c>
      <c r="E198" s="1">
        <v>59.47</v>
      </c>
      <c r="F198" s="1">
        <v>2</v>
      </c>
      <c r="G198" s="1">
        <v>0</v>
      </c>
      <c r="H198" s="1">
        <v>0</v>
      </c>
      <c r="I198" s="1">
        <v>565</v>
      </c>
      <c r="J198" s="1">
        <v>0</v>
      </c>
      <c r="K198" s="43"/>
      <c r="L198" s="1"/>
      <c r="M198" s="1"/>
      <c r="N198" s="1"/>
      <c r="O198" s="1"/>
      <c r="P198" s="1"/>
      <c r="Q198" s="1"/>
      <c r="R198" s="1"/>
      <c r="S198" s="1"/>
      <c r="T198" s="1"/>
    </row>
    <row r="199" spans="1:20" ht="13" x14ac:dyDescent="0.15">
      <c r="A199" s="1" t="s">
        <v>605</v>
      </c>
      <c r="B199" s="1" t="s">
        <v>606</v>
      </c>
      <c r="C199" s="5" t="s">
        <v>607</v>
      </c>
      <c r="D199" s="1" t="s">
        <v>304</v>
      </c>
      <c r="E199" s="1">
        <v>60.63</v>
      </c>
      <c r="F199" s="1">
        <v>1</v>
      </c>
      <c r="G199" s="1">
        <v>0</v>
      </c>
      <c r="H199" s="1">
        <v>0</v>
      </c>
      <c r="I199" s="1">
        <v>516</v>
      </c>
      <c r="J199" s="1">
        <v>0</v>
      </c>
      <c r="K199" s="43"/>
      <c r="L199" s="1"/>
      <c r="M199" s="1"/>
      <c r="N199" s="1"/>
      <c r="O199" s="1"/>
      <c r="P199" s="1"/>
      <c r="Q199" s="1"/>
      <c r="R199" s="1"/>
      <c r="S199" s="1"/>
      <c r="T199" s="1"/>
    </row>
    <row r="200" spans="1:20" ht="13" x14ac:dyDescent="0.15">
      <c r="A200" s="1" t="s">
        <v>608</v>
      </c>
      <c r="B200" s="1" t="s">
        <v>609</v>
      </c>
      <c r="C200" s="5" t="s">
        <v>610</v>
      </c>
      <c r="D200" s="1" t="s">
        <v>304</v>
      </c>
      <c r="E200" s="1">
        <v>59.66</v>
      </c>
      <c r="F200" s="1">
        <v>1</v>
      </c>
      <c r="G200" s="1">
        <v>0</v>
      </c>
      <c r="H200" s="1">
        <v>0</v>
      </c>
      <c r="I200" s="1">
        <v>114</v>
      </c>
      <c r="J200" s="1">
        <v>1</v>
      </c>
      <c r="K200" s="43"/>
      <c r="L200" s="1"/>
      <c r="M200" s="1"/>
      <c r="N200" s="1"/>
      <c r="O200" s="1"/>
      <c r="P200" s="1"/>
      <c r="Q200" s="1"/>
      <c r="R200" s="1"/>
      <c r="S200" s="1"/>
      <c r="T200" s="1"/>
    </row>
    <row r="201" spans="1:20" ht="13" x14ac:dyDescent="0.15">
      <c r="A201" s="1" t="s">
        <v>611</v>
      </c>
      <c r="B201" s="1" t="s">
        <v>612</v>
      </c>
      <c r="C201" s="1" t="s">
        <v>613</v>
      </c>
      <c r="D201" s="1" t="s">
        <v>304</v>
      </c>
      <c r="E201" s="1">
        <v>50.86</v>
      </c>
      <c r="F201" s="1">
        <v>1</v>
      </c>
      <c r="G201" s="1">
        <v>0</v>
      </c>
      <c r="H201" s="1">
        <v>0</v>
      </c>
      <c r="I201" s="1">
        <v>538</v>
      </c>
      <c r="J201" s="1">
        <v>0</v>
      </c>
      <c r="K201" s="43"/>
      <c r="L201" s="1"/>
      <c r="M201" s="1"/>
      <c r="N201" s="1"/>
      <c r="O201" s="1"/>
      <c r="P201" s="1"/>
      <c r="Q201" s="1"/>
      <c r="R201" s="1"/>
      <c r="S201" s="1"/>
      <c r="T201" s="1"/>
    </row>
    <row r="202" spans="1:20" ht="13" x14ac:dyDescent="0.15">
      <c r="A202" s="1" t="s">
        <v>614</v>
      </c>
      <c r="B202" s="1" t="s">
        <v>615</v>
      </c>
      <c r="C202" s="1" t="s">
        <v>616</v>
      </c>
      <c r="D202" s="1" t="s">
        <v>304</v>
      </c>
      <c r="E202" s="1">
        <v>48.74</v>
      </c>
      <c r="F202" s="1">
        <v>1</v>
      </c>
      <c r="G202" s="1">
        <v>0</v>
      </c>
      <c r="H202" s="1">
        <v>0</v>
      </c>
      <c r="I202" s="1">
        <v>1178</v>
      </c>
      <c r="J202" s="1">
        <v>0</v>
      </c>
      <c r="K202" s="43"/>
      <c r="L202" s="1"/>
      <c r="M202" s="1"/>
      <c r="N202" s="1"/>
      <c r="O202" s="1"/>
      <c r="P202" s="1"/>
      <c r="Q202" s="1"/>
      <c r="R202" s="1"/>
      <c r="S202" s="1"/>
      <c r="T202" s="1"/>
    </row>
    <row r="203" spans="1:20" ht="13" x14ac:dyDescent="0.15">
      <c r="A203" s="1" t="s">
        <v>617</v>
      </c>
      <c r="B203" s="1" t="s">
        <v>618</v>
      </c>
      <c r="C203" s="5" t="s">
        <v>619</v>
      </c>
      <c r="D203" s="1" t="s">
        <v>304</v>
      </c>
      <c r="E203" s="1">
        <v>71.680000000000007</v>
      </c>
      <c r="F203" s="1">
        <v>2</v>
      </c>
      <c r="G203" s="1">
        <v>0</v>
      </c>
      <c r="H203" s="1">
        <v>0</v>
      </c>
      <c r="I203" s="1">
        <v>371</v>
      </c>
      <c r="J203" s="1">
        <v>0</v>
      </c>
      <c r="K203" s="43"/>
      <c r="L203" s="1"/>
      <c r="M203" s="1"/>
      <c r="N203" s="1"/>
      <c r="O203" s="1"/>
      <c r="P203" s="1"/>
      <c r="Q203" s="1"/>
      <c r="R203" s="1"/>
      <c r="S203" s="1"/>
      <c r="T203" s="1"/>
    </row>
    <row r="204" spans="1:20" ht="13" x14ac:dyDescent="0.15">
      <c r="A204" s="1" t="s">
        <v>620</v>
      </c>
      <c r="B204" s="1" t="s">
        <v>621</v>
      </c>
      <c r="C204" s="5" t="s">
        <v>622</v>
      </c>
      <c r="D204" s="1" t="s">
        <v>304</v>
      </c>
      <c r="E204" s="1">
        <v>77.39</v>
      </c>
      <c r="F204" s="1">
        <v>1</v>
      </c>
      <c r="G204" s="1">
        <v>0</v>
      </c>
      <c r="H204" s="1">
        <v>0</v>
      </c>
      <c r="I204" s="1">
        <v>127</v>
      </c>
      <c r="J204" s="1">
        <v>0</v>
      </c>
      <c r="K204" s="43"/>
      <c r="L204" s="1"/>
      <c r="M204" s="1"/>
      <c r="N204" s="1"/>
      <c r="O204" s="1"/>
      <c r="P204" s="1"/>
      <c r="Q204" s="1"/>
      <c r="R204" s="1"/>
      <c r="S204" s="1"/>
      <c r="T204" s="1"/>
    </row>
    <row r="205" spans="1:20" ht="13" x14ac:dyDescent="0.15">
      <c r="A205" s="1" t="s">
        <v>623</v>
      </c>
      <c r="B205" s="1" t="s">
        <v>624</v>
      </c>
      <c r="C205" s="5" t="s">
        <v>625</v>
      </c>
      <c r="D205" s="1" t="s">
        <v>304</v>
      </c>
      <c r="E205" s="1">
        <v>86.64</v>
      </c>
      <c r="F205" s="1">
        <v>2</v>
      </c>
      <c r="G205" s="1">
        <v>1</v>
      </c>
      <c r="H205" s="1">
        <v>0</v>
      </c>
      <c r="I205" s="1">
        <v>106</v>
      </c>
      <c r="J205" s="1">
        <v>1</v>
      </c>
      <c r="K205" s="43"/>
      <c r="L205" s="1"/>
      <c r="M205" s="1"/>
      <c r="N205" s="1"/>
      <c r="O205" s="1"/>
      <c r="P205" s="1"/>
      <c r="Q205" s="1"/>
      <c r="R205" s="1"/>
      <c r="S205" s="1"/>
      <c r="T205" s="1"/>
    </row>
    <row r="206" spans="1:20" ht="13" x14ac:dyDescent="0.15">
      <c r="A206" s="1" t="s">
        <v>626</v>
      </c>
      <c r="B206" s="1" t="s">
        <v>627</v>
      </c>
      <c r="C206" s="5" t="s">
        <v>628</v>
      </c>
      <c r="D206" s="1" t="s">
        <v>304</v>
      </c>
      <c r="E206" s="1">
        <v>73.05</v>
      </c>
      <c r="F206" s="1">
        <v>1</v>
      </c>
      <c r="G206" s="1">
        <v>0</v>
      </c>
      <c r="H206" s="1">
        <v>0</v>
      </c>
      <c r="I206" s="1">
        <v>85</v>
      </c>
      <c r="J206" s="1">
        <v>0</v>
      </c>
      <c r="K206" s="43"/>
      <c r="L206" s="1"/>
      <c r="M206" s="1"/>
      <c r="N206" s="1"/>
      <c r="O206" s="1"/>
      <c r="P206" s="1"/>
      <c r="Q206" s="1"/>
      <c r="R206" s="1"/>
      <c r="S206" s="1"/>
      <c r="T206" s="1"/>
    </row>
    <row r="207" spans="1:20" ht="13" x14ac:dyDescent="0.15">
      <c r="A207" s="1" t="s">
        <v>629</v>
      </c>
      <c r="B207" s="1" t="s">
        <v>630</v>
      </c>
      <c r="C207" s="5" t="s">
        <v>631</v>
      </c>
      <c r="D207" s="1" t="s">
        <v>304</v>
      </c>
      <c r="E207" s="1">
        <v>53.63</v>
      </c>
      <c r="F207" s="1">
        <v>2</v>
      </c>
      <c r="G207" s="1">
        <v>0</v>
      </c>
      <c r="H207" s="1">
        <v>0</v>
      </c>
      <c r="I207" s="1">
        <v>464</v>
      </c>
      <c r="J207" s="1">
        <v>1</v>
      </c>
      <c r="K207" s="43"/>
      <c r="L207" s="1"/>
      <c r="M207" s="1"/>
      <c r="N207" s="1"/>
      <c r="O207" s="1"/>
      <c r="P207" s="1"/>
      <c r="Q207" s="1"/>
      <c r="R207" s="1"/>
      <c r="S207" s="1"/>
      <c r="T207" s="1"/>
    </row>
    <row r="208" spans="1:20" ht="13" x14ac:dyDescent="0.15">
      <c r="A208" s="1" t="s">
        <v>632</v>
      </c>
      <c r="B208" s="1" t="s">
        <v>633</v>
      </c>
      <c r="C208" s="5" t="s">
        <v>634</v>
      </c>
      <c r="D208" s="1" t="s">
        <v>304</v>
      </c>
      <c r="E208" s="1">
        <v>68.67</v>
      </c>
      <c r="F208" s="1">
        <v>1</v>
      </c>
      <c r="G208" s="1">
        <v>1</v>
      </c>
      <c r="H208" s="1">
        <v>0</v>
      </c>
      <c r="I208" s="1">
        <v>1205</v>
      </c>
      <c r="J208" s="1">
        <v>0</v>
      </c>
      <c r="K208" s="43"/>
      <c r="L208" s="1"/>
      <c r="M208" s="1"/>
      <c r="N208" s="1"/>
      <c r="O208" s="1"/>
      <c r="P208" s="1"/>
      <c r="Q208" s="1"/>
      <c r="R208" s="1"/>
      <c r="S208" s="1"/>
      <c r="T208" s="1"/>
    </row>
    <row r="209" spans="1:20" ht="13" x14ac:dyDescent="0.15">
      <c r="A209" s="1" t="s">
        <v>635</v>
      </c>
      <c r="B209" s="1" t="s">
        <v>636</v>
      </c>
      <c r="C209" s="5" t="s">
        <v>637</v>
      </c>
      <c r="D209" s="1" t="s">
        <v>304</v>
      </c>
      <c r="E209" s="1">
        <v>73.319999999999993</v>
      </c>
      <c r="F209" s="1">
        <v>2</v>
      </c>
      <c r="G209" s="1">
        <v>1</v>
      </c>
      <c r="H209" s="1">
        <v>0</v>
      </c>
      <c r="I209" s="1">
        <v>449</v>
      </c>
      <c r="J209" s="1">
        <v>1</v>
      </c>
      <c r="K209" s="43"/>
      <c r="L209" s="1"/>
      <c r="M209" s="1"/>
      <c r="N209" s="1"/>
      <c r="O209" s="1"/>
      <c r="P209" s="1"/>
      <c r="Q209" s="1"/>
      <c r="R209" s="1"/>
      <c r="S209" s="1"/>
      <c r="T209" s="1"/>
    </row>
    <row r="210" spans="1:20" ht="13" x14ac:dyDescent="0.15">
      <c r="A210" s="1" t="s">
        <v>638</v>
      </c>
      <c r="B210" s="1" t="s">
        <v>639</v>
      </c>
      <c r="C210" s="5" t="s">
        <v>640</v>
      </c>
      <c r="D210" s="1" t="s">
        <v>304</v>
      </c>
      <c r="E210" s="1">
        <v>59.21</v>
      </c>
      <c r="F210" s="1">
        <v>2</v>
      </c>
      <c r="G210" s="1">
        <v>1</v>
      </c>
      <c r="H210" s="1">
        <v>0</v>
      </c>
      <c r="I210" s="1">
        <v>350</v>
      </c>
      <c r="J210" s="1">
        <v>0</v>
      </c>
      <c r="K210" s="43"/>
      <c r="L210" s="1"/>
      <c r="M210" s="1"/>
      <c r="N210" s="1"/>
      <c r="O210" s="1"/>
      <c r="P210" s="1"/>
      <c r="Q210" s="1"/>
      <c r="R210" s="1"/>
      <c r="S210" s="1"/>
      <c r="T210" s="1"/>
    </row>
    <row r="211" spans="1:20" ht="13" x14ac:dyDescent="0.15">
      <c r="A211" s="1" t="s">
        <v>641</v>
      </c>
      <c r="B211" s="1" t="s">
        <v>642</v>
      </c>
      <c r="C211" s="5" t="s">
        <v>643</v>
      </c>
      <c r="D211" s="1" t="s">
        <v>304</v>
      </c>
      <c r="E211" s="1">
        <v>61.15</v>
      </c>
      <c r="F211" s="1">
        <v>1</v>
      </c>
      <c r="G211" s="1">
        <v>1</v>
      </c>
      <c r="H211" s="1">
        <v>0</v>
      </c>
      <c r="I211" s="1">
        <v>289</v>
      </c>
      <c r="J211" s="1">
        <v>1</v>
      </c>
      <c r="K211" s="43"/>
      <c r="L211" s="1"/>
      <c r="M211" s="1"/>
      <c r="N211" s="1"/>
      <c r="O211" s="1"/>
      <c r="P211" s="1"/>
      <c r="Q211" s="1"/>
      <c r="R211" s="1"/>
      <c r="S211" s="1"/>
      <c r="T211" s="1"/>
    </row>
    <row r="212" spans="1:20" ht="13" x14ac:dyDescent="0.15">
      <c r="A212" s="1" t="s">
        <v>644</v>
      </c>
      <c r="B212" s="1" t="s">
        <v>645</v>
      </c>
      <c r="C212" s="5" t="s">
        <v>646</v>
      </c>
      <c r="D212" s="1" t="s">
        <v>304</v>
      </c>
      <c r="E212" s="1">
        <v>72.819999999999993</v>
      </c>
      <c r="F212" s="1">
        <v>1</v>
      </c>
      <c r="G212" s="1">
        <v>1</v>
      </c>
      <c r="H212" s="1">
        <v>0</v>
      </c>
      <c r="I212" s="1">
        <v>302</v>
      </c>
      <c r="J212" s="1">
        <v>0</v>
      </c>
      <c r="K212" s="43"/>
      <c r="L212" s="1"/>
      <c r="M212" s="1"/>
      <c r="N212" s="1"/>
      <c r="O212" s="1"/>
      <c r="P212" s="1"/>
      <c r="Q212" s="1"/>
      <c r="R212" s="1"/>
      <c r="S212" s="1"/>
      <c r="T212" s="1"/>
    </row>
    <row r="213" spans="1:20" ht="13" x14ac:dyDescent="0.15">
      <c r="A213" s="1" t="s">
        <v>647</v>
      </c>
      <c r="B213" s="1" t="s">
        <v>648</v>
      </c>
      <c r="C213" s="5" t="s">
        <v>649</v>
      </c>
      <c r="D213" s="1" t="s">
        <v>304</v>
      </c>
      <c r="E213" s="1">
        <v>81.290000000000006</v>
      </c>
      <c r="F213" s="1">
        <v>2</v>
      </c>
      <c r="G213" s="1">
        <v>1</v>
      </c>
      <c r="H213" s="1">
        <v>0</v>
      </c>
      <c r="I213" s="1">
        <v>990</v>
      </c>
      <c r="J213" s="1">
        <v>0</v>
      </c>
      <c r="K213" s="43"/>
      <c r="L213" s="1"/>
      <c r="M213" s="1"/>
      <c r="N213" s="1"/>
      <c r="O213" s="1"/>
      <c r="P213" s="1"/>
      <c r="Q213" s="1"/>
      <c r="R213" s="1"/>
      <c r="S213" s="1"/>
      <c r="T213" s="1"/>
    </row>
    <row r="214" spans="1:20" ht="13" x14ac:dyDescent="0.15">
      <c r="A214" s="6" t="s">
        <v>650</v>
      </c>
      <c r="B214" s="1" t="s">
        <v>651</v>
      </c>
      <c r="C214" s="1" t="s">
        <v>652</v>
      </c>
      <c r="D214" s="1" t="s">
        <v>304</v>
      </c>
      <c r="E214" s="1">
        <v>82.36</v>
      </c>
      <c r="F214" s="1">
        <v>2</v>
      </c>
      <c r="G214" s="1">
        <v>0</v>
      </c>
      <c r="H214" s="1">
        <v>0</v>
      </c>
      <c r="I214" s="1">
        <v>409</v>
      </c>
      <c r="J214" s="1">
        <v>0</v>
      </c>
      <c r="K214" s="43"/>
      <c r="L214" s="1"/>
      <c r="M214" s="1"/>
      <c r="N214" s="1"/>
      <c r="O214" s="1"/>
      <c r="P214" s="1"/>
      <c r="Q214" s="1"/>
      <c r="R214" s="1"/>
      <c r="S214" s="1"/>
      <c r="T214" s="1"/>
    </row>
    <row r="215" spans="1:20" ht="13" x14ac:dyDescent="0.15">
      <c r="A215" s="1" t="s">
        <v>653</v>
      </c>
      <c r="B215" s="1" t="s">
        <v>654</v>
      </c>
      <c r="C215" s="5" t="s">
        <v>655</v>
      </c>
      <c r="D215" s="1" t="s">
        <v>304</v>
      </c>
      <c r="E215" s="1">
        <v>75.08</v>
      </c>
      <c r="F215" s="1">
        <v>1</v>
      </c>
      <c r="G215" s="1">
        <v>0</v>
      </c>
      <c r="H215" s="1">
        <v>0</v>
      </c>
      <c r="I215" s="1">
        <v>648</v>
      </c>
      <c r="J215" s="1">
        <v>1</v>
      </c>
      <c r="K215" s="43"/>
      <c r="L215" s="1"/>
      <c r="M215" s="1"/>
      <c r="N215" s="1"/>
      <c r="O215" s="1"/>
      <c r="P215" s="1"/>
      <c r="Q215" s="1"/>
      <c r="R215" s="1"/>
      <c r="S215" s="1"/>
      <c r="T215" s="1"/>
    </row>
    <row r="216" spans="1:20" ht="13" x14ac:dyDescent="0.15">
      <c r="A216" s="1" t="s">
        <v>656</v>
      </c>
      <c r="B216" s="1" t="s">
        <v>657</v>
      </c>
      <c r="C216" s="5" t="s">
        <v>658</v>
      </c>
      <c r="D216" s="1" t="s">
        <v>304</v>
      </c>
      <c r="E216" s="1">
        <v>53.34</v>
      </c>
      <c r="F216" s="1">
        <v>1</v>
      </c>
      <c r="G216" s="1">
        <v>0</v>
      </c>
      <c r="H216" s="1">
        <v>0</v>
      </c>
      <c r="I216" s="1">
        <v>285</v>
      </c>
      <c r="J216" s="1">
        <v>1</v>
      </c>
      <c r="K216" s="43"/>
      <c r="L216" s="1"/>
      <c r="M216" s="1"/>
      <c r="N216" s="1"/>
      <c r="O216" s="1"/>
      <c r="P216" s="1"/>
      <c r="Q216" s="1"/>
      <c r="R216" s="1"/>
      <c r="S216" s="1"/>
      <c r="T216" s="1"/>
    </row>
    <row r="217" spans="1:20" ht="13" x14ac:dyDescent="0.15">
      <c r="A217" s="1" t="s">
        <v>659</v>
      </c>
      <c r="B217" s="1" t="s">
        <v>660</v>
      </c>
      <c r="C217" s="5" t="s">
        <v>661</v>
      </c>
      <c r="D217" s="1" t="s">
        <v>304</v>
      </c>
      <c r="E217" s="1">
        <v>48.97</v>
      </c>
      <c r="F217" s="1">
        <v>1</v>
      </c>
      <c r="G217" s="1">
        <v>0</v>
      </c>
      <c r="H217" s="1">
        <v>0</v>
      </c>
      <c r="I217" s="1">
        <v>742</v>
      </c>
      <c r="J217" s="1">
        <v>1</v>
      </c>
      <c r="K217" s="43"/>
      <c r="L217" s="1"/>
      <c r="M217" s="1"/>
      <c r="N217" s="1"/>
      <c r="O217" s="1"/>
      <c r="P217" s="1"/>
      <c r="Q217" s="1"/>
      <c r="R217" s="1"/>
      <c r="S217" s="1"/>
      <c r="T217" s="1"/>
    </row>
    <row r="218" spans="1:20" ht="13" x14ac:dyDescent="0.15">
      <c r="A218" s="1" t="s">
        <v>662</v>
      </c>
      <c r="B218" s="1" t="s">
        <v>663</v>
      </c>
      <c r="C218" s="5" t="s">
        <v>664</v>
      </c>
      <c r="D218" s="1" t="s">
        <v>304</v>
      </c>
      <c r="E218" s="1">
        <v>67.09</v>
      </c>
      <c r="F218" s="1">
        <v>2</v>
      </c>
      <c r="G218" s="1">
        <v>0</v>
      </c>
      <c r="H218" s="1">
        <v>0</v>
      </c>
      <c r="I218" s="1">
        <v>389</v>
      </c>
      <c r="J218" s="1">
        <v>0</v>
      </c>
      <c r="K218" s="43"/>
      <c r="L218" s="1"/>
      <c r="M218" s="1"/>
      <c r="N218" s="1"/>
      <c r="O218" s="1"/>
      <c r="P218" s="1"/>
      <c r="Q218" s="1"/>
      <c r="R218" s="1"/>
      <c r="S218" s="1"/>
      <c r="T218" s="1"/>
    </row>
    <row r="219" spans="1:20" ht="13" x14ac:dyDescent="0.15">
      <c r="A219" s="1" t="s">
        <v>665</v>
      </c>
      <c r="B219" s="1" t="s">
        <v>666</v>
      </c>
      <c r="C219" s="5" t="s">
        <v>667</v>
      </c>
      <c r="D219" s="1" t="s">
        <v>304</v>
      </c>
      <c r="E219" s="1">
        <v>48.02</v>
      </c>
      <c r="F219" s="1">
        <v>1</v>
      </c>
      <c r="G219" s="1">
        <v>0</v>
      </c>
      <c r="H219" s="1">
        <v>0</v>
      </c>
      <c r="I219" s="1">
        <v>922</v>
      </c>
      <c r="J219" s="1">
        <v>0</v>
      </c>
      <c r="K219" s="43"/>
      <c r="L219" s="1"/>
      <c r="M219" s="1"/>
      <c r="N219" s="1"/>
      <c r="O219" s="1"/>
      <c r="P219" s="1"/>
      <c r="Q219" s="1"/>
      <c r="R219" s="1"/>
      <c r="S219" s="1"/>
      <c r="T219" s="1"/>
    </row>
    <row r="220" spans="1:20" ht="13" x14ac:dyDescent="0.15">
      <c r="A220" s="1" t="s">
        <v>668</v>
      </c>
      <c r="B220" s="1" t="s">
        <v>669</v>
      </c>
      <c r="C220" s="5" t="s">
        <v>670</v>
      </c>
      <c r="D220" s="1" t="s">
        <v>304</v>
      </c>
      <c r="E220" s="1">
        <v>74.45</v>
      </c>
      <c r="F220" s="1">
        <v>1</v>
      </c>
      <c r="G220" s="1">
        <v>1</v>
      </c>
      <c r="H220" s="1">
        <v>0</v>
      </c>
      <c r="I220" s="1">
        <v>496</v>
      </c>
      <c r="J220" s="1">
        <v>0</v>
      </c>
      <c r="K220" s="43"/>
      <c r="L220" s="1"/>
      <c r="M220" s="1"/>
      <c r="N220" s="1"/>
      <c r="O220" s="1"/>
      <c r="P220" s="1"/>
      <c r="Q220" s="1"/>
      <c r="R220" s="1"/>
      <c r="S220" s="1"/>
      <c r="T220" s="1"/>
    </row>
    <row r="221" spans="1:20" ht="13" x14ac:dyDescent="0.15">
      <c r="A221" s="1" t="s">
        <v>671</v>
      </c>
      <c r="B221" s="1" t="s">
        <v>672</v>
      </c>
      <c r="C221" s="5" t="s">
        <v>673</v>
      </c>
      <c r="D221" s="1" t="s">
        <v>304</v>
      </c>
      <c r="E221" s="1">
        <v>59.99</v>
      </c>
      <c r="F221" s="1">
        <v>1</v>
      </c>
      <c r="G221" s="1">
        <v>1</v>
      </c>
      <c r="H221" s="1">
        <v>0</v>
      </c>
      <c r="I221" s="1">
        <v>1451</v>
      </c>
      <c r="J221" s="1">
        <v>0</v>
      </c>
      <c r="K221" s="43"/>
      <c r="L221" s="1"/>
      <c r="M221" s="1"/>
      <c r="N221" s="1"/>
      <c r="O221" s="1"/>
      <c r="P221" s="1"/>
      <c r="Q221" s="1"/>
      <c r="R221" s="1"/>
      <c r="S221" s="1"/>
      <c r="T221" s="1"/>
    </row>
    <row r="222" spans="1:20" ht="13" x14ac:dyDescent="0.15">
      <c r="A222" s="1" t="s">
        <v>674</v>
      </c>
      <c r="B222" s="1" t="s">
        <v>675</v>
      </c>
      <c r="C222" s="5" t="s">
        <v>676</v>
      </c>
      <c r="D222" s="1" t="s">
        <v>304</v>
      </c>
      <c r="E222" s="1">
        <v>20.74</v>
      </c>
      <c r="F222" s="1">
        <v>2</v>
      </c>
      <c r="G222" s="1">
        <v>0</v>
      </c>
      <c r="H222" s="1">
        <v>0</v>
      </c>
      <c r="I222" s="1">
        <v>36</v>
      </c>
      <c r="J222" s="1">
        <v>1</v>
      </c>
      <c r="K222" s="43"/>
      <c r="L222" s="1"/>
      <c r="M222" s="1"/>
      <c r="N222" s="1"/>
      <c r="O222" s="1"/>
      <c r="P222" s="1"/>
      <c r="Q222" s="1"/>
      <c r="R222" s="1"/>
      <c r="S222" s="1"/>
      <c r="T222" s="1"/>
    </row>
    <row r="223" spans="1:20" ht="13" x14ac:dyDescent="0.15">
      <c r="A223" s="1" t="s">
        <v>677</v>
      </c>
      <c r="B223" s="1" t="s">
        <v>678</v>
      </c>
      <c r="C223" s="5" t="s">
        <v>679</v>
      </c>
      <c r="D223" s="1" t="s">
        <v>304</v>
      </c>
      <c r="E223" s="1">
        <v>60.38</v>
      </c>
      <c r="F223" s="1">
        <v>1</v>
      </c>
      <c r="G223" s="1">
        <v>0</v>
      </c>
      <c r="H223" s="1">
        <v>0</v>
      </c>
      <c r="I223" s="1">
        <v>395</v>
      </c>
      <c r="J223" s="1">
        <v>1</v>
      </c>
      <c r="K223" s="43"/>
      <c r="L223" s="1"/>
      <c r="M223" s="1"/>
      <c r="N223" s="1"/>
      <c r="O223" s="1"/>
      <c r="P223" s="1"/>
      <c r="Q223" s="1"/>
      <c r="R223" s="1"/>
      <c r="S223" s="1"/>
      <c r="T223" s="1"/>
    </row>
    <row r="224" spans="1:20" ht="13" x14ac:dyDescent="0.15">
      <c r="A224" s="1" t="s">
        <v>680</v>
      </c>
      <c r="B224" s="1" t="s">
        <v>681</v>
      </c>
      <c r="C224" s="1" t="s">
        <v>682</v>
      </c>
      <c r="D224" s="1" t="s">
        <v>304</v>
      </c>
      <c r="E224" s="1">
        <v>68.959999999999994</v>
      </c>
      <c r="F224" s="1">
        <v>2</v>
      </c>
      <c r="G224" s="1">
        <v>0</v>
      </c>
      <c r="H224" s="1">
        <v>0</v>
      </c>
      <c r="I224" s="1">
        <v>336</v>
      </c>
      <c r="J224" s="1">
        <v>0</v>
      </c>
      <c r="K224" s="43"/>
      <c r="L224" s="1"/>
      <c r="M224" s="1"/>
      <c r="N224" s="1"/>
      <c r="O224" s="1"/>
      <c r="P224" s="1"/>
      <c r="Q224" s="1"/>
      <c r="R224" s="1"/>
      <c r="S224" s="1"/>
      <c r="T224" s="1"/>
    </row>
    <row r="225" spans="1:20" ht="13" x14ac:dyDescent="0.15">
      <c r="A225" s="1" t="s">
        <v>683</v>
      </c>
      <c r="B225" s="1" t="s">
        <v>684</v>
      </c>
      <c r="C225" s="5" t="s">
        <v>685</v>
      </c>
      <c r="D225" s="1" t="s">
        <v>304</v>
      </c>
      <c r="E225" s="1">
        <v>73.2</v>
      </c>
      <c r="F225" s="1">
        <v>1</v>
      </c>
      <c r="G225" s="1">
        <v>0</v>
      </c>
      <c r="H225" s="1">
        <v>0</v>
      </c>
      <c r="I225" s="1">
        <v>744</v>
      </c>
      <c r="J225" s="1">
        <v>0</v>
      </c>
      <c r="K225" s="43"/>
      <c r="L225" s="1"/>
      <c r="M225" s="1"/>
      <c r="N225" s="1"/>
      <c r="O225" s="1"/>
      <c r="P225" s="1"/>
      <c r="Q225" s="1"/>
      <c r="R225" s="1"/>
      <c r="S225" s="1"/>
      <c r="T225" s="1"/>
    </row>
    <row r="226" spans="1:20" ht="13" x14ac:dyDescent="0.15">
      <c r="A226" s="1" t="s">
        <v>686</v>
      </c>
      <c r="B226" s="1" t="s">
        <v>687</v>
      </c>
      <c r="C226" s="5" t="s">
        <v>688</v>
      </c>
      <c r="D226" s="1" t="s">
        <v>304</v>
      </c>
      <c r="E226" s="1">
        <v>40.04</v>
      </c>
      <c r="F226" s="1">
        <v>1</v>
      </c>
      <c r="G226" s="1">
        <v>0</v>
      </c>
      <c r="H226" s="1">
        <v>0</v>
      </c>
      <c r="I226" s="1">
        <v>411</v>
      </c>
      <c r="J226" s="1">
        <v>0</v>
      </c>
      <c r="K226" s="43"/>
      <c r="L226" s="1"/>
      <c r="M226" s="1"/>
      <c r="N226" s="1"/>
      <c r="O226" s="1"/>
      <c r="P226" s="1"/>
      <c r="Q226" s="1"/>
      <c r="R226" s="1"/>
      <c r="S226" s="1"/>
      <c r="T226" s="1"/>
    </row>
    <row r="227" spans="1:20" ht="13" x14ac:dyDescent="0.15">
      <c r="A227" s="1" t="s">
        <v>689</v>
      </c>
      <c r="B227" s="1" t="s">
        <v>690</v>
      </c>
      <c r="C227" s="5" t="s">
        <v>691</v>
      </c>
      <c r="D227" s="1" t="s">
        <v>304</v>
      </c>
      <c r="E227" s="1">
        <v>68.38</v>
      </c>
      <c r="F227" s="1">
        <v>1</v>
      </c>
      <c r="G227" s="1">
        <v>0</v>
      </c>
      <c r="H227" s="1">
        <v>0</v>
      </c>
      <c r="I227" s="1">
        <v>443</v>
      </c>
      <c r="J227" s="1">
        <v>1</v>
      </c>
      <c r="K227" s="43"/>
      <c r="L227" s="1"/>
      <c r="M227" s="1"/>
      <c r="N227" s="1"/>
      <c r="O227" s="1"/>
      <c r="P227" s="1"/>
      <c r="Q227" s="1"/>
      <c r="R227" s="1"/>
      <c r="S227" s="1"/>
      <c r="T227" s="1"/>
    </row>
    <row r="228" spans="1:20" ht="13" x14ac:dyDescent="0.15">
      <c r="A228" s="1" t="s">
        <v>692</v>
      </c>
      <c r="B228" s="1" t="s">
        <v>693</v>
      </c>
      <c r="C228" s="5" t="s">
        <v>694</v>
      </c>
      <c r="D228" s="1" t="s">
        <v>304</v>
      </c>
      <c r="E228" s="1">
        <v>57.82</v>
      </c>
      <c r="F228" s="1">
        <v>1</v>
      </c>
      <c r="G228" s="1">
        <v>0</v>
      </c>
      <c r="H228" s="1">
        <v>0</v>
      </c>
      <c r="I228" s="1">
        <v>223</v>
      </c>
      <c r="J228" s="1">
        <v>1</v>
      </c>
      <c r="K228" s="43"/>
      <c r="L228" s="1"/>
      <c r="M228" s="1"/>
      <c r="N228" s="1"/>
      <c r="O228" s="1"/>
      <c r="P228" s="1"/>
      <c r="Q228" s="1"/>
      <c r="R228" s="1"/>
      <c r="S228" s="1"/>
      <c r="T228" s="1"/>
    </row>
    <row r="229" spans="1:20" ht="13" x14ac:dyDescent="0.15">
      <c r="A229" s="1" t="s">
        <v>695</v>
      </c>
      <c r="B229" s="1" t="s">
        <v>696</v>
      </c>
      <c r="C229" s="5" t="s">
        <v>697</v>
      </c>
      <c r="D229" s="1" t="s">
        <v>304</v>
      </c>
      <c r="E229" s="1">
        <v>71.650000000000006</v>
      </c>
      <c r="F229" s="1">
        <v>2</v>
      </c>
      <c r="G229" s="1">
        <v>0</v>
      </c>
      <c r="H229" s="1">
        <v>0</v>
      </c>
      <c r="I229" s="1">
        <v>136</v>
      </c>
      <c r="J229" s="1">
        <v>1</v>
      </c>
      <c r="K229" s="43"/>
      <c r="L229" s="1"/>
      <c r="M229" s="1"/>
      <c r="N229" s="1"/>
      <c r="O229" s="1"/>
      <c r="P229" s="1"/>
      <c r="Q229" s="1"/>
      <c r="R229" s="1"/>
      <c r="S229" s="1"/>
      <c r="T229" s="1"/>
    </row>
    <row r="230" spans="1:20" ht="13" x14ac:dyDescent="0.15">
      <c r="A230" s="1" t="s">
        <v>698</v>
      </c>
      <c r="B230" s="1" t="s">
        <v>699</v>
      </c>
      <c r="C230" s="5" t="s">
        <v>700</v>
      </c>
      <c r="D230" s="1" t="s">
        <v>304</v>
      </c>
      <c r="E230" s="1">
        <v>57.59</v>
      </c>
      <c r="F230" s="1">
        <v>1</v>
      </c>
      <c r="G230" s="1">
        <v>0</v>
      </c>
      <c r="H230" s="1">
        <v>0</v>
      </c>
      <c r="I230" s="1">
        <v>171</v>
      </c>
      <c r="J230" s="1">
        <v>0</v>
      </c>
      <c r="K230" s="43"/>
      <c r="L230" s="1"/>
      <c r="M230" s="1"/>
      <c r="N230" s="1"/>
      <c r="O230" s="1"/>
      <c r="P230" s="1"/>
      <c r="Q230" s="1"/>
      <c r="R230" s="1"/>
      <c r="S230" s="1"/>
      <c r="T230" s="1"/>
    </row>
    <row r="231" spans="1:20" ht="13" x14ac:dyDescent="0.15">
      <c r="A231" s="1" t="s">
        <v>701</v>
      </c>
      <c r="B231" s="1" t="s">
        <v>702</v>
      </c>
      <c r="C231" s="5" t="s">
        <v>703</v>
      </c>
      <c r="D231" s="1" t="s">
        <v>304</v>
      </c>
      <c r="E231" s="1">
        <v>61.92</v>
      </c>
      <c r="F231" s="1">
        <v>2</v>
      </c>
      <c r="G231" s="1">
        <v>0</v>
      </c>
      <c r="H231" s="1">
        <v>0</v>
      </c>
      <c r="I231" s="1">
        <v>381</v>
      </c>
      <c r="J231" s="1">
        <v>0</v>
      </c>
      <c r="K231" s="43"/>
      <c r="L231" s="1"/>
      <c r="M231" s="1"/>
      <c r="N231" s="1"/>
      <c r="O231" s="1"/>
      <c r="P231" s="1"/>
      <c r="Q231" s="1"/>
      <c r="R231" s="1"/>
      <c r="S231" s="1"/>
      <c r="T231" s="1"/>
    </row>
    <row r="232" spans="1:20" ht="13" x14ac:dyDescent="0.15">
      <c r="A232" s="1" t="s">
        <v>704</v>
      </c>
      <c r="B232" s="1" t="s">
        <v>705</v>
      </c>
      <c r="C232" s="5" t="s">
        <v>706</v>
      </c>
      <c r="D232" s="1" t="s">
        <v>304</v>
      </c>
      <c r="E232" s="1">
        <v>50.93</v>
      </c>
      <c r="F232" s="1">
        <v>1</v>
      </c>
      <c r="G232" s="1">
        <v>1</v>
      </c>
      <c r="H232" s="1">
        <v>1</v>
      </c>
      <c r="I232" s="1">
        <v>781</v>
      </c>
      <c r="J232" s="1">
        <v>0</v>
      </c>
      <c r="K232" s="43"/>
      <c r="L232" s="1"/>
      <c r="M232" s="1"/>
      <c r="N232" s="1"/>
      <c r="O232" s="1"/>
      <c r="P232" s="1"/>
      <c r="Q232" s="1"/>
      <c r="R232" s="1"/>
      <c r="S232" s="1"/>
      <c r="T232" s="1"/>
    </row>
    <row r="233" spans="1:20" ht="13" x14ac:dyDescent="0.15">
      <c r="A233" s="1" t="s">
        <v>707</v>
      </c>
      <c r="B233" s="1" t="s">
        <v>708</v>
      </c>
      <c r="C233" s="5" t="s">
        <v>709</v>
      </c>
      <c r="D233" s="1" t="s">
        <v>304</v>
      </c>
      <c r="E233" s="1">
        <v>49.52</v>
      </c>
      <c r="F233" s="1">
        <v>1</v>
      </c>
      <c r="G233" s="1">
        <v>0</v>
      </c>
      <c r="H233" s="1">
        <v>0</v>
      </c>
      <c r="I233" s="1">
        <v>170</v>
      </c>
      <c r="J233" s="1">
        <v>0</v>
      </c>
      <c r="K233" s="43"/>
      <c r="L233" s="1"/>
      <c r="M233" s="1"/>
      <c r="N233" s="1"/>
      <c r="O233" s="1"/>
      <c r="P233" s="1"/>
      <c r="Q233" s="1"/>
      <c r="R233" s="1"/>
      <c r="S233" s="1"/>
      <c r="T233" s="1"/>
    </row>
    <row r="234" spans="1:20" ht="13" x14ac:dyDescent="0.15">
      <c r="A234" s="1" t="s">
        <v>710</v>
      </c>
      <c r="B234" s="1" t="s">
        <v>711</v>
      </c>
      <c r="C234" s="5" t="s">
        <v>712</v>
      </c>
      <c r="D234" s="1" t="s">
        <v>304</v>
      </c>
      <c r="E234" s="1">
        <v>53.07</v>
      </c>
      <c r="F234" s="1">
        <v>2</v>
      </c>
      <c r="G234" s="1">
        <v>0</v>
      </c>
      <c r="H234" s="1">
        <v>0</v>
      </c>
      <c r="I234" s="1">
        <v>270</v>
      </c>
      <c r="J234" s="1">
        <v>0</v>
      </c>
      <c r="K234" s="43"/>
      <c r="L234" s="1"/>
      <c r="M234" s="1"/>
      <c r="N234" s="1"/>
      <c r="O234" s="1"/>
      <c r="P234" s="1"/>
      <c r="Q234" s="1"/>
      <c r="R234" s="1"/>
      <c r="S234" s="1"/>
      <c r="T234" s="1"/>
    </row>
    <row r="235" spans="1:20" ht="13" x14ac:dyDescent="0.15">
      <c r="A235" s="1" t="s">
        <v>713</v>
      </c>
      <c r="B235" s="1" t="s">
        <v>714</v>
      </c>
      <c r="C235" s="5" t="s">
        <v>715</v>
      </c>
      <c r="D235" s="1" t="s">
        <v>304</v>
      </c>
      <c r="E235" s="1">
        <v>68.540000000000006</v>
      </c>
      <c r="F235" s="1">
        <v>1</v>
      </c>
      <c r="G235" s="1">
        <v>0</v>
      </c>
      <c r="H235" s="1">
        <v>0</v>
      </c>
      <c r="I235" s="1">
        <v>363</v>
      </c>
      <c r="J235" s="1">
        <v>1</v>
      </c>
      <c r="K235" s="43"/>
      <c r="L235" s="1"/>
      <c r="M235" s="1"/>
      <c r="N235" s="1"/>
      <c r="O235" s="1"/>
      <c r="P235" s="1"/>
      <c r="Q235" s="1"/>
      <c r="R235" s="1"/>
      <c r="S235" s="1"/>
      <c r="T235" s="1"/>
    </row>
    <row r="236" spans="1:20" ht="13" x14ac:dyDescent="0.15">
      <c r="A236" s="1" t="s">
        <v>716</v>
      </c>
      <c r="B236" s="1" t="s">
        <v>717</v>
      </c>
      <c r="C236" s="5" t="s">
        <v>718</v>
      </c>
      <c r="D236" s="1" t="s">
        <v>304</v>
      </c>
      <c r="E236" s="1">
        <v>51.75</v>
      </c>
      <c r="F236" s="1">
        <v>2</v>
      </c>
      <c r="G236" s="1">
        <v>0</v>
      </c>
      <c r="H236" s="1">
        <v>0</v>
      </c>
      <c r="I236" s="1">
        <v>360</v>
      </c>
      <c r="J236" s="1">
        <v>1</v>
      </c>
      <c r="K236" s="43"/>
      <c r="L236" s="1"/>
      <c r="M236" s="1"/>
      <c r="N236" s="1"/>
      <c r="O236" s="1"/>
      <c r="P236" s="1"/>
      <c r="Q236" s="1"/>
      <c r="R236" s="1"/>
      <c r="S236" s="1"/>
      <c r="T236" s="1"/>
    </row>
    <row r="237" spans="1:20" ht="13" x14ac:dyDescent="0.15">
      <c r="A237" s="1" t="s">
        <v>719</v>
      </c>
      <c r="B237" s="1" t="s">
        <v>720</v>
      </c>
      <c r="C237" s="5" t="s">
        <v>721</v>
      </c>
      <c r="D237" s="1" t="s">
        <v>304</v>
      </c>
      <c r="E237" s="1">
        <v>78.89</v>
      </c>
      <c r="F237" s="1">
        <v>2</v>
      </c>
      <c r="G237" s="1">
        <v>1</v>
      </c>
      <c r="H237" s="1">
        <v>0</v>
      </c>
      <c r="I237" s="1">
        <v>93</v>
      </c>
      <c r="J237" s="1">
        <v>1</v>
      </c>
      <c r="K237" s="43"/>
      <c r="L237" s="1"/>
      <c r="M237" s="1"/>
      <c r="N237" s="1"/>
      <c r="O237" s="1"/>
      <c r="P237" s="1"/>
      <c r="Q237" s="1"/>
      <c r="R237" s="1"/>
      <c r="S237" s="1"/>
      <c r="T237" s="1"/>
    </row>
    <row r="238" spans="1:20" ht="13" x14ac:dyDescent="0.15">
      <c r="A238" s="1" t="s">
        <v>722</v>
      </c>
      <c r="B238" s="1" t="s">
        <v>723</v>
      </c>
      <c r="C238" s="5" t="s">
        <v>724</v>
      </c>
      <c r="D238" s="1" t="s">
        <v>304</v>
      </c>
      <c r="E238" s="1">
        <v>51.88</v>
      </c>
      <c r="F238" s="1">
        <v>1</v>
      </c>
      <c r="G238" s="1">
        <v>0</v>
      </c>
      <c r="H238" s="1">
        <v>0</v>
      </c>
      <c r="I238" s="1">
        <v>123</v>
      </c>
      <c r="J238" s="1">
        <v>1</v>
      </c>
      <c r="K238" s="43"/>
      <c r="L238" s="1"/>
      <c r="M238" s="1"/>
      <c r="N238" s="1"/>
      <c r="O238" s="1"/>
      <c r="P238" s="1"/>
      <c r="Q238" s="1"/>
      <c r="R238" s="1"/>
      <c r="S238" s="1"/>
      <c r="T238" s="1"/>
    </row>
    <row r="239" spans="1:20" ht="13" x14ac:dyDescent="0.15">
      <c r="A239" s="1" t="s">
        <v>725</v>
      </c>
      <c r="B239" s="1" t="s">
        <v>726</v>
      </c>
      <c r="C239" s="5" t="s">
        <v>727</v>
      </c>
      <c r="D239" s="1" t="s">
        <v>304</v>
      </c>
      <c r="E239" s="1">
        <v>59.92</v>
      </c>
      <c r="F239" s="1">
        <v>1</v>
      </c>
      <c r="G239" s="1">
        <v>1</v>
      </c>
      <c r="H239" s="1">
        <v>0</v>
      </c>
      <c r="I239" s="1">
        <v>451</v>
      </c>
      <c r="J239" s="1">
        <v>1</v>
      </c>
      <c r="K239" s="43"/>
      <c r="L239" s="1"/>
      <c r="M239" s="1"/>
      <c r="N239" s="1"/>
      <c r="O239" s="1"/>
      <c r="P239" s="1"/>
      <c r="Q239" s="1"/>
      <c r="R239" s="1"/>
      <c r="S239" s="1"/>
      <c r="T239" s="1"/>
    </row>
    <row r="240" spans="1:20" ht="13" x14ac:dyDescent="0.15">
      <c r="A240" s="1" t="s">
        <v>728</v>
      </c>
      <c r="B240" s="1" t="s">
        <v>729</v>
      </c>
      <c r="C240" s="5" t="s">
        <v>730</v>
      </c>
      <c r="D240" s="1" t="s">
        <v>304</v>
      </c>
      <c r="E240" s="1">
        <v>77.03</v>
      </c>
      <c r="F240" s="1">
        <v>2</v>
      </c>
      <c r="G240" s="1">
        <v>0</v>
      </c>
      <c r="H240" s="1">
        <v>0</v>
      </c>
      <c r="I240" s="1">
        <v>173</v>
      </c>
      <c r="J240" s="1">
        <v>1</v>
      </c>
      <c r="K240" s="43"/>
      <c r="L240" s="1"/>
      <c r="M240" s="1"/>
      <c r="N240" s="1"/>
      <c r="O240" s="1"/>
      <c r="P240" s="1"/>
      <c r="Q240" s="1"/>
      <c r="R240" s="1"/>
      <c r="S240" s="1"/>
      <c r="T240" s="1"/>
    </row>
    <row r="241" spans="1:20" ht="13" x14ac:dyDescent="0.15">
      <c r="A241" s="1" t="s">
        <v>731</v>
      </c>
      <c r="B241" s="1" t="s">
        <v>732</v>
      </c>
      <c r="C241" s="1" t="s">
        <v>733</v>
      </c>
      <c r="D241" s="1" t="s">
        <v>304</v>
      </c>
      <c r="E241" s="1">
        <v>45.54</v>
      </c>
      <c r="F241" s="1">
        <v>2</v>
      </c>
      <c r="G241" s="1">
        <v>0</v>
      </c>
      <c r="H241" s="1">
        <v>0</v>
      </c>
      <c r="I241" s="1">
        <v>524</v>
      </c>
      <c r="J241" s="1">
        <v>0</v>
      </c>
      <c r="K241" s="43"/>
      <c r="L241" s="1"/>
      <c r="M241" s="1"/>
      <c r="N241" s="1"/>
      <c r="O241" s="1"/>
      <c r="P241" s="1"/>
      <c r="Q241" s="1"/>
      <c r="R241" s="1"/>
      <c r="S241" s="1"/>
      <c r="T241" s="1"/>
    </row>
    <row r="242" spans="1:20" ht="13" x14ac:dyDescent="0.15">
      <c r="A242" s="1" t="s">
        <v>734</v>
      </c>
      <c r="B242" s="1" t="s">
        <v>735</v>
      </c>
      <c r="C242" s="5" t="s">
        <v>736</v>
      </c>
      <c r="D242" s="1" t="s">
        <v>304</v>
      </c>
      <c r="E242" s="1">
        <v>65.97</v>
      </c>
      <c r="F242" s="1">
        <v>1</v>
      </c>
      <c r="G242" s="1">
        <v>0</v>
      </c>
      <c r="H242" s="1">
        <v>0</v>
      </c>
      <c r="I242" s="1">
        <v>738</v>
      </c>
      <c r="J242" s="1">
        <v>1</v>
      </c>
      <c r="K242" s="43"/>
      <c r="L242" s="1"/>
      <c r="M242" s="1"/>
      <c r="N242" s="1"/>
      <c r="O242" s="1"/>
      <c r="P242" s="1"/>
      <c r="Q242" s="1"/>
      <c r="R242" s="1"/>
      <c r="S242" s="1"/>
      <c r="T242" s="1"/>
    </row>
    <row r="243" spans="1:20" ht="13" x14ac:dyDescent="0.15">
      <c r="A243" s="1" t="s">
        <v>737</v>
      </c>
      <c r="B243" s="1" t="s">
        <v>738</v>
      </c>
      <c r="C243" s="1" t="s">
        <v>739</v>
      </c>
      <c r="D243" s="1" t="s">
        <v>304</v>
      </c>
      <c r="E243" s="1">
        <v>70.540000000000006</v>
      </c>
      <c r="F243" s="1">
        <v>1</v>
      </c>
      <c r="G243" s="1">
        <v>0</v>
      </c>
      <c r="H243" s="1">
        <v>0</v>
      </c>
      <c r="I243" s="1">
        <v>200</v>
      </c>
      <c r="J243" s="1">
        <v>1</v>
      </c>
      <c r="K243" s="43"/>
      <c r="L243" s="1"/>
      <c r="M243" s="1"/>
      <c r="N243" s="1"/>
      <c r="O243" s="1"/>
      <c r="P243" s="1"/>
      <c r="Q243" s="1"/>
      <c r="R243" s="1"/>
      <c r="S243" s="1"/>
      <c r="T243" s="1"/>
    </row>
    <row r="244" spans="1:20" ht="13" x14ac:dyDescent="0.15">
      <c r="A244" s="1" t="s">
        <v>740</v>
      </c>
      <c r="B244" s="1" t="s">
        <v>741</v>
      </c>
      <c r="C244" s="5" t="s">
        <v>742</v>
      </c>
      <c r="D244" s="1" t="s">
        <v>304</v>
      </c>
      <c r="E244" s="1">
        <v>73.91</v>
      </c>
      <c r="F244" s="1">
        <v>1</v>
      </c>
      <c r="G244" s="1">
        <v>1</v>
      </c>
      <c r="H244" s="1">
        <v>0</v>
      </c>
      <c r="I244" s="1">
        <v>376</v>
      </c>
      <c r="J244" s="1">
        <v>1</v>
      </c>
      <c r="K244" s="43"/>
      <c r="L244" s="1"/>
      <c r="M244" s="1"/>
      <c r="N244" s="1"/>
      <c r="O244" s="1"/>
      <c r="P244" s="1"/>
      <c r="Q244" s="1"/>
      <c r="R244" s="1"/>
      <c r="S244" s="1"/>
      <c r="T244" s="1"/>
    </row>
    <row r="245" spans="1:20" ht="13" x14ac:dyDescent="0.15">
      <c r="A245" s="1" t="s">
        <v>743</v>
      </c>
      <c r="B245" s="1" t="s">
        <v>744</v>
      </c>
      <c r="C245" s="5" t="s">
        <v>745</v>
      </c>
      <c r="D245" s="1" t="s">
        <v>304</v>
      </c>
      <c r="E245" s="1">
        <v>62.34</v>
      </c>
      <c r="F245" s="1">
        <v>1</v>
      </c>
      <c r="G245" s="1">
        <v>0</v>
      </c>
      <c r="H245" s="1">
        <v>0</v>
      </c>
      <c r="I245" s="1">
        <v>288</v>
      </c>
      <c r="J245" s="1">
        <v>0</v>
      </c>
      <c r="K245" s="43"/>
      <c r="L245" s="1"/>
      <c r="M245" s="1"/>
      <c r="N245" s="1"/>
      <c r="O245" s="1"/>
      <c r="P245" s="1"/>
      <c r="Q245" s="1"/>
      <c r="R245" s="1"/>
      <c r="S245" s="1"/>
      <c r="T245" s="1"/>
    </row>
    <row r="246" spans="1:20" ht="13" x14ac:dyDescent="0.15">
      <c r="A246" s="1" t="s">
        <v>746</v>
      </c>
      <c r="B246" s="1" t="s">
        <v>747</v>
      </c>
      <c r="C246" s="5" t="s">
        <v>748</v>
      </c>
      <c r="D246" s="1" t="s">
        <v>304</v>
      </c>
      <c r="E246" s="1">
        <v>65.53</v>
      </c>
      <c r="F246" s="1">
        <v>1</v>
      </c>
      <c r="G246" s="1">
        <v>1</v>
      </c>
      <c r="H246" s="1">
        <v>0</v>
      </c>
      <c r="I246" s="1">
        <v>63</v>
      </c>
      <c r="J246" s="1">
        <v>1</v>
      </c>
      <c r="K246" s="43"/>
      <c r="L246" s="1"/>
      <c r="M246" s="1"/>
      <c r="N246" s="1"/>
      <c r="O246" s="1"/>
      <c r="P246" s="1"/>
      <c r="Q246" s="1"/>
      <c r="R246" s="1"/>
      <c r="S246" s="1"/>
      <c r="T246" s="1"/>
    </row>
    <row r="247" spans="1:20" ht="13" x14ac:dyDescent="0.15">
      <c r="A247" s="1" t="s">
        <v>749</v>
      </c>
      <c r="B247" s="1" t="s">
        <v>750</v>
      </c>
      <c r="C247" s="5" t="s">
        <v>751</v>
      </c>
      <c r="D247" s="1" t="s">
        <v>304</v>
      </c>
      <c r="E247" s="1">
        <v>60.48</v>
      </c>
      <c r="F247" s="1">
        <v>1</v>
      </c>
      <c r="G247" s="1">
        <v>0</v>
      </c>
      <c r="H247" s="1">
        <v>0</v>
      </c>
      <c r="I247" s="1">
        <v>147</v>
      </c>
      <c r="J247" s="1">
        <v>1</v>
      </c>
      <c r="K247" s="43"/>
      <c r="L247" s="1"/>
      <c r="M247" s="1"/>
      <c r="N247" s="1"/>
      <c r="O247" s="1"/>
      <c r="P247" s="1"/>
      <c r="Q247" s="1"/>
      <c r="R247" s="1"/>
      <c r="S247" s="1"/>
      <c r="T247" s="1"/>
    </row>
    <row r="248" spans="1:20" ht="13" x14ac:dyDescent="0.15">
      <c r="A248" s="1" t="s">
        <v>752</v>
      </c>
      <c r="B248" s="1" t="s">
        <v>753</v>
      </c>
      <c r="C248" s="5" t="s">
        <v>754</v>
      </c>
      <c r="D248" s="1" t="s">
        <v>304</v>
      </c>
      <c r="E248" s="1">
        <v>48.47</v>
      </c>
      <c r="F248" s="1">
        <v>1</v>
      </c>
      <c r="G248" s="1">
        <v>0</v>
      </c>
      <c r="H248" s="1">
        <v>0</v>
      </c>
      <c r="I248" s="1">
        <v>827</v>
      </c>
      <c r="J248" s="1">
        <v>0</v>
      </c>
      <c r="K248" s="43"/>
      <c r="L248" s="1"/>
      <c r="M248" s="1"/>
      <c r="N248" s="1"/>
      <c r="O248" s="1"/>
      <c r="P248" s="1"/>
      <c r="Q248" s="1"/>
      <c r="R248" s="1"/>
      <c r="S248" s="1"/>
      <c r="T248" s="1"/>
    </row>
    <row r="249" spans="1:20" ht="13" x14ac:dyDescent="0.15">
      <c r="A249" s="1" t="s">
        <v>755</v>
      </c>
      <c r="B249" s="1" t="s">
        <v>756</v>
      </c>
      <c r="C249" s="5" t="s">
        <v>757</v>
      </c>
      <c r="D249" s="1" t="s">
        <v>304</v>
      </c>
      <c r="E249" s="1">
        <v>71.06</v>
      </c>
      <c r="F249" s="1">
        <v>1</v>
      </c>
      <c r="G249" s="1">
        <v>1</v>
      </c>
      <c r="H249" s="1">
        <v>0</v>
      </c>
      <c r="I249" s="1">
        <v>428</v>
      </c>
      <c r="J249" s="1">
        <v>1</v>
      </c>
      <c r="K249" s="43"/>
      <c r="L249" s="1"/>
      <c r="M249" s="1"/>
      <c r="N249" s="1"/>
      <c r="O249" s="1"/>
      <c r="P249" s="1"/>
      <c r="Q249" s="1"/>
      <c r="R249" s="1"/>
      <c r="S249" s="1"/>
      <c r="T249" s="1"/>
    </row>
    <row r="250" spans="1:20" ht="13" x14ac:dyDescent="0.15">
      <c r="A250" s="1" t="s">
        <v>758</v>
      </c>
      <c r="B250" s="1" t="s">
        <v>759</v>
      </c>
      <c r="C250" s="1" t="s">
        <v>760</v>
      </c>
      <c r="D250" s="1" t="s">
        <v>761</v>
      </c>
      <c r="E250" s="42">
        <f t="shared" ref="E250:E260" si="0">M250/365</f>
        <v>50.586301369863016</v>
      </c>
      <c r="F250" s="1">
        <v>1</v>
      </c>
      <c r="G250" s="1">
        <v>1</v>
      </c>
      <c r="H250" s="1">
        <v>0</v>
      </c>
      <c r="I250" s="1">
        <v>591</v>
      </c>
      <c r="J250" s="43"/>
      <c r="K250" s="46">
        <v>1</v>
      </c>
      <c r="L250" s="1" t="s">
        <v>1480</v>
      </c>
      <c r="M250" s="1">
        <v>18464</v>
      </c>
      <c r="N250" s="1">
        <v>-18464</v>
      </c>
      <c r="O250" s="1">
        <v>1966</v>
      </c>
      <c r="P250" s="1">
        <v>2019</v>
      </c>
      <c r="Q250" s="1">
        <v>550</v>
      </c>
      <c r="R250" s="1">
        <v>591</v>
      </c>
      <c r="S250" s="43" t="s">
        <v>1481</v>
      </c>
      <c r="T250" s="1" t="s">
        <v>1482</v>
      </c>
    </row>
    <row r="251" spans="1:20" ht="13" x14ac:dyDescent="0.15">
      <c r="A251" s="1" t="s">
        <v>762</v>
      </c>
      <c r="B251" s="1" t="s">
        <v>763</v>
      </c>
      <c r="C251" s="1" t="s">
        <v>764</v>
      </c>
      <c r="D251" s="1" t="s">
        <v>761</v>
      </c>
      <c r="E251" s="42">
        <f t="shared" si="0"/>
        <v>43.87945205479452</v>
      </c>
      <c r="F251" s="1">
        <v>1</v>
      </c>
      <c r="G251" s="1">
        <v>1</v>
      </c>
      <c r="H251" s="1">
        <v>1</v>
      </c>
      <c r="I251" s="1">
        <v>738</v>
      </c>
      <c r="J251" s="43"/>
      <c r="K251" s="46">
        <v>1</v>
      </c>
      <c r="L251" s="1" t="s">
        <v>1483</v>
      </c>
      <c r="M251" s="1">
        <v>16016</v>
      </c>
      <c r="N251" s="1">
        <v>-16016</v>
      </c>
      <c r="O251" s="1">
        <v>1973</v>
      </c>
      <c r="P251" s="1">
        <v>2019</v>
      </c>
      <c r="Q251" s="1">
        <v>738</v>
      </c>
      <c r="R251" s="1">
        <v>738</v>
      </c>
      <c r="S251" s="1">
        <v>525</v>
      </c>
      <c r="T251" s="1" t="s">
        <v>1484</v>
      </c>
    </row>
    <row r="252" spans="1:20" ht="13" x14ac:dyDescent="0.15">
      <c r="A252" s="1" t="s">
        <v>765</v>
      </c>
      <c r="B252" s="1" t="s">
        <v>766</v>
      </c>
      <c r="C252" s="1" t="s">
        <v>767</v>
      </c>
      <c r="D252" s="1" t="s">
        <v>761</v>
      </c>
      <c r="E252" s="42">
        <f t="shared" si="0"/>
        <v>47.967123287671235</v>
      </c>
      <c r="F252" s="1">
        <v>1</v>
      </c>
      <c r="G252" s="1">
        <v>0</v>
      </c>
      <c r="H252" s="1">
        <v>0</v>
      </c>
      <c r="I252" s="1">
        <v>363</v>
      </c>
      <c r="J252" s="43"/>
      <c r="K252" s="46">
        <v>1</v>
      </c>
      <c r="L252" s="43" t="s">
        <v>1481</v>
      </c>
      <c r="M252" s="1">
        <v>17508</v>
      </c>
      <c r="N252" s="1">
        <v>-17508</v>
      </c>
      <c r="O252" s="1">
        <v>1969</v>
      </c>
      <c r="P252" s="1">
        <v>2018</v>
      </c>
      <c r="Q252" s="1">
        <v>363</v>
      </c>
      <c r="R252" s="1">
        <v>363</v>
      </c>
      <c r="S252" s="43" t="s">
        <v>1481</v>
      </c>
      <c r="T252" s="1" t="s">
        <v>1484</v>
      </c>
    </row>
    <row r="253" spans="1:20" ht="13" x14ac:dyDescent="0.15">
      <c r="A253" s="1" t="s">
        <v>768</v>
      </c>
      <c r="B253" s="1" t="s">
        <v>769</v>
      </c>
      <c r="C253" s="1" t="s">
        <v>770</v>
      </c>
      <c r="D253" s="1" t="s">
        <v>761</v>
      </c>
      <c r="E253" s="42">
        <f t="shared" si="0"/>
        <v>59.043835616438358</v>
      </c>
      <c r="F253" s="1">
        <v>1</v>
      </c>
      <c r="G253" s="1">
        <v>0</v>
      </c>
      <c r="H253" s="1">
        <v>0</v>
      </c>
      <c r="I253" s="1">
        <v>79</v>
      </c>
      <c r="J253" s="43"/>
      <c r="K253" s="46">
        <v>1</v>
      </c>
      <c r="L253" s="1" t="s">
        <v>1483</v>
      </c>
      <c r="M253" s="1">
        <v>21551</v>
      </c>
      <c r="N253" s="1">
        <v>-21551</v>
      </c>
      <c r="O253" s="1">
        <v>1958</v>
      </c>
      <c r="P253" s="1">
        <v>2017</v>
      </c>
      <c r="Q253" s="1">
        <v>1</v>
      </c>
      <c r="R253" s="1">
        <v>79</v>
      </c>
      <c r="S253" s="43" t="s">
        <v>1481</v>
      </c>
      <c r="T253" s="43" t="s">
        <v>1481</v>
      </c>
    </row>
    <row r="254" spans="1:20" ht="13" x14ac:dyDescent="0.15">
      <c r="A254" s="1" t="s">
        <v>771</v>
      </c>
      <c r="B254" s="1" t="s">
        <v>772</v>
      </c>
      <c r="C254" s="1" t="s">
        <v>773</v>
      </c>
      <c r="D254" s="1" t="s">
        <v>761</v>
      </c>
      <c r="E254" s="42">
        <f t="shared" si="0"/>
        <v>57.531506849315072</v>
      </c>
      <c r="F254" s="1">
        <v>1</v>
      </c>
      <c r="G254" s="1">
        <v>0</v>
      </c>
      <c r="H254" s="1">
        <v>0</v>
      </c>
      <c r="I254" s="1">
        <v>291</v>
      </c>
      <c r="J254" s="43"/>
      <c r="K254" s="46">
        <v>1</v>
      </c>
      <c r="L254" s="1" t="s">
        <v>1485</v>
      </c>
      <c r="M254" s="1">
        <v>20999</v>
      </c>
      <c r="N254" s="1">
        <v>-20999</v>
      </c>
      <c r="O254" s="1">
        <v>1960</v>
      </c>
      <c r="P254" s="1">
        <v>2018</v>
      </c>
      <c r="Q254" s="1">
        <v>182</v>
      </c>
      <c r="R254" s="1">
        <v>291</v>
      </c>
      <c r="S254" s="43" t="s">
        <v>1481</v>
      </c>
      <c r="T254" s="1" t="s">
        <v>1482</v>
      </c>
    </row>
    <row r="255" spans="1:20" ht="13" x14ac:dyDescent="0.15">
      <c r="A255" s="1" t="s">
        <v>774</v>
      </c>
      <c r="B255" s="1" t="s">
        <v>775</v>
      </c>
      <c r="C255" s="1" t="s">
        <v>776</v>
      </c>
      <c r="D255" s="1" t="s">
        <v>761</v>
      </c>
      <c r="E255" s="42">
        <f t="shared" si="0"/>
        <v>71.991780821917814</v>
      </c>
      <c r="F255" s="1">
        <v>1</v>
      </c>
      <c r="G255" s="1">
        <v>1</v>
      </c>
      <c r="H255" s="1">
        <v>0</v>
      </c>
      <c r="I255" s="1">
        <v>873</v>
      </c>
      <c r="J255" s="43"/>
      <c r="K255" s="46">
        <v>1</v>
      </c>
      <c r="L255" s="1" t="s">
        <v>1486</v>
      </c>
      <c r="M255" s="1">
        <v>26277</v>
      </c>
      <c r="N255" s="1">
        <v>-26277</v>
      </c>
      <c r="O255" s="1">
        <v>1945</v>
      </c>
      <c r="P255" s="1">
        <v>2020</v>
      </c>
      <c r="Q255" s="1">
        <v>866</v>
      </c>
      <c r="R255" s="1">
        <v>873</v>
      </c>
      <c r="S255" s="1">
        <v>454</v>
      </c>
      <c r="T255" s="1" t="s">
        <v>1484</v>
      </c>
    </row>
    <row r="256" spans="1:20" ht="13" x14ac:dyDescent="0.15">
      <c r="A256" s="1" t="s">
        <v>777</v>
      </c>
      <c r="B256" s="1" t="s">
        <v>778</v>
      </c>
      <c r="C256" s="1" t="s">
        <v>779</v>
      </c>
      <c r="D256" s="1" t="s">
        <v>761</v>
      </c>
      <c r="E256" s="42">
        <f t="shared" si="0"/>
        <v>39.638356164383559</v>
      </c>
      <c r="F256" s="1">
        <v>1</v>
      </c>
      <c r="G256" s="1">
        <v>1</v>
      </c>
      <c r="H256" s="1">
        <v>1</v>
      </c>
      <c r="I256" s="1">
        <v>1</v>
      </c>
      <c r="J256" s="43"/>
      <c r="K256" s="46">
        <v>1</v>
      </c>
      <c r="L256" s="1" t="s">
        <v>1480</v>
      </c>
      <c r="M256" s="1">
        <v>14468</v>
      </c>
      <c r="N256" s="1">
        <v>-14468</v>
      </c>
      <c r="O256" s="1">
        <v>1977</v>
      </c>
      <c r="P256" s="1">
        <v>2016</v>
      </c>
      <c r="Q256" s="1">
        <v>1</v>
      </c>
      <c r="R256" s="1">
        <v>1</v>
      </c>
      <c r="S256" s="43" t="s">
        <v>1481</v>
      </c>
      <c r="T256" s="1" t="s">
        <v>1482</v>
      </c>
    </row>
    <row r="257" spans="1:20" ht="13" x14ac:dyDescent="0.15">
      <c r="A257" s="1" t="s">
        <v>780</v>
      </c>
      <c r="B257" s="1" t="s">
        <v>781</v>
      </c>
      <c r="C257" s="1" t="s">
        <v>782</v>
      </c>
      <c r="D257" s="1" t="s">
        <v>761</v>
      </c>
      <c r="E257" s="42">
        <f t="shared" si="0"/>
        <v>70.032876712328772</v>
      </c>
      <c r="F257" s="1">
        <v>2</v>
      </c>
      <c r="G257" s="1">
        <v>1</v>
      </c>
      <c r="H257" s="1">
        <v>0</v>
      </c>
      <c r="I257" s="1">
        <v>155</v>
      </c>
      <c r="J257" s="43"/>
      <c r="K257" s="46">
        <v>1</v>
      </c>
      <c r="L257" s="1" t="s">
        <v>1480</v>
      </c>
      <c r="M257" s="1">
        <v>25562</v>
      </c>
      <c r="N257" s="1">
        <v>-25562</v>
      </c>
      <c r="O257" s="1">
        <v>1946</v>
      </c>
      <c r="P257" s="1">
        <v>2017</v>
      </c>
      <c r="Q257" s="1">
        <v>155</v>
      </c>
      <c r="R257" s="1">
        <v>155</v>
      </c>
      <c r="S257" s="43" t="s">
        <v>1481</v>
      </c>
      <c r="T257" s="1" t="s">
        <v>1482</v>
      </c>
    </row>
    <row r="258" spans="1:20" ht="13" x14ac:dyDescent="0.15">
      <c r="A258" s="1" t="s">
        <v>783</v>
      </c>
      <c r="B258" s="1" t="s">
        <v>784</v>
      </c>
      <c r="C258" s="1" t="s">
        <v>785</v>
      </c>
      <c r="D258" s="1" t="s">
        <v>761</v>
      </c>
      <c r="E258" s="42">
        <f t="shared" si="0"/>
        <v>71.498630136986307</v>
      </c>
      <c r="F258" s="1">
        <v>2</v>
      </c>
      <c r="G258" s="1">
        <v>1</v>
      </c>
      <c r="H258" s="1">
        <v>0</v>
      </c>
      <c r="I258" s="1">
        <v>721</v>
      </c>
      <c r="J258" s="43"/>
      <c r="K258" s="46">
        <v>1</v>
      </c>
      <c r="L258" s="1" t="s">
        <v>1483</v>
      </c>
      <c r="M258" s="1">
        <v>26097</v>
      </c>
      <c r="N258" s="1">
        <v>-26097</v>
      </c>
      <c r="O258" s="1">
        <v>1946</v>
      </c>
      <c r="P258" s="1">
        <v>2020</v>
      </c>
      <c r="Q258" s="1">
        <v>613</v>
      </c>
      <c r="R258" s="1">
        <v>721</v>
      </c>
      <c r="S258" s="1">
        <v>457</v>
      </c>
      <c r="T258" s="1" t="s">
        <v>1484</v>
      </c>
    </row>
    <row r="259" spans="1:20" ht="13" x14ac:dyDescent="0.15">
      <c r="A259" s="1" t="s">
        <v>786</v>
      </c>
      <c r="B259" s="1" t="s">
        <v>787</v>
      </c>
      <c r="C259" s="1" t="s">
        <v>788</v>
      </c>
      <c r="D259" s="1" t="s">
        <v>761</v>
      </c>
      <c r="E259" s="42">
        <f t="shared" si="0"/>
        <v>73.542465753424651</v>
      </c>
      <c r="F259" s="1">
        <v>2</v>
      </c>
      <c r="G259" s="1">
        <v>0</v>
      </c>
      <c r="H259" s="1">
        <v>0</v>
      </c>
      <c r="I259" s="1">
        <v>66</v>
      </c>
      <c r="J259" s="43"/>
      <c r="K259" s="46">
        <v>1</v>
      </c>
      <c r="L259" s="1" t="s">
        <v>1485</v>
      </c>
      <c r="M259" s="1">
        <v>26843</v>
      </c>
      <c r="N259" s="1">
        <v>-26843</v>
      </c>
      <c r="O259" s="1">
        <v>1943</v>
      </c>
      <c r="P259" s="1">
        <v>2017</v>
      </c>
      <c r="Q259" s="1">
        <v>0</v>
      </c>
      <c r="R259" s="1">
        <v>66</v>
      </c>
      <c r="S259" s="43" t="s">
        <v>1481</v>
      </c>
      <c r="T259" s="43" t="s">
        <v>1481</v>
      </c>
    </row>
    <row r="260" spans="1:20" ht="13" x14ac:dyDescent="0.15">
      <c r="A260" s="1" t="s">
        <v>789</v>
      </c>
      <c r="B260" s="1" t="s">
        <v>790</v>
      </c>
      <c r="C260" s="1" t="s">
        <v>791</v>
      </c>
      <c r="D260" s="1" t="s">
        <v>761</v>
      </c>
      <c r="E260" s="42">
        <f t="shared" si="0"/>
        <v>74.410958904109592</v>
      </c>
      <c r="F260" s="1">
        <v>1</v>
      </c>
      <c r="G260" s="1">
        <v>1</v>
      </c>
      <c r="H260" s="1">
        <v>0</v>
      </c>
      <c r="I260" s="1">
        <v>646</v>
      </c>
      <c r="J260" s="43"/>
      <c r="K260" s="46">
        <v>1</v>
      </c>
      <c r="L260" s="1" t="s">
        <v>1480</v>
      </c>
      <c r="M260" s="1">
        <v>27160</v>
      </c>
      <c r="N260" s="1">
        <v>-27160</v>
      </c>
      <c r="O260" s="1">
        <v>1942</v>
      </c>
      <c r="P260" s="1">
        <v>2018</v>
      </c>
      <c r="Q260" s="1">
        <v>2</v>
      </c>
      <c r="R260" s="1">
        <v>646</v>
      </c>
      <c r="S260" s="43" t="s">
        <v>1481</v>
      </c>
      <c r="T260" s="1" t="s">
        <v>1481</v>
      </c>
    </row>
    <row r="261" spans="1:20" ht="13" x14ac:dyDescent="0.15">
      <c r="A261" s="1" t="s">
        <v>792</v>
      </c>
      <c r="B261" s="1" t="s">
        <v>793</v>
      </c>
      <c r="C261" s="4" t="s">
        <v>794</v>
      </c>
      <c r="D261" s="1" t="s">
        <v>14</v>
      </c>
      <c r="E261" s="1">
        <v>66</v>
      </c>
      <c r="F261" s="1">
        <v>1</v>
      </c>
      <c r="G261" s="1">
        <v>0</v>
      </c>
      <c r="H261" s="1">
        <v>0</v>
      </c>
      <c r="I261" s="1">
        <v>15</v>
      </c>
      <c r="J261" s="1">
        <v>0</v>
      </c>
      <c r="K261" s="1">
        <v>1</v>
      </c>
      <c r="L261" s="1"/>
      <c r="M261" s="1"/>
      <c r="N261" s="1"/>
      <c r="O261" s="1"/>
      <c r="P261" s="1"/>
      <c r="Q261" s="1"/>
      <c r="R261" s="1"/>
      <c r="S261" s="1"/>
      <c r="T261" s="1"/>
    </row>
    <row r="262" spans="1:20" ht="13" x14ac:dyDescent="0.15">
      <c r="A262" s="1" t="s">
        <v>795</v>
      </c>
      <c r="B262" s="1" t="s">
        <v>796</v>
      </c>
      <c r="C262" s="4" t="s">
        <v>797</v>
      </c>
      <c r="D262" s="1" t="s">
        <v>14</v>
      </c>
      <c r="E262" s="1">
        <v>65</v>
      </c>
      <c r="F262" s="1">
        <v>1</v>
      </c>
      <c r="G262" s="1">
        <v>1</v>
      </c>
      <c r="H262" s="1">
        <v>0</v>
      </c>
      <c r="I262" s="1">
        <v>188</v>
      </c>
      <c r="J262" s="1">
        <v>0</v>
      </c>
      <c r="K262" s="1">
        <v>1</v>
      </c>
      <c r="L262" s="1"/>
      <c r="M262" s="1"/>
      <c r="N262" s="1"/>
      <c r="O262" s="1"/>
      <c r="P262" s="1"/>
      <c r="Q262" s="1"/>
      <c r="R262" s="1"/>
      <c r="S262" s="1"/>
      <c r="T262" s="1"/>
    </row>
    <row r="263" spans="1:20" ht="13" x14ac:dyDescent="0.15">
      <c r="A263" s="1" t="s">
        <v>798</v>
      </c>
      <c r="B263" s="1" t="s">
        <v>799</v>
      </c>
      <c r="C263" s="4" t="s">
        <v>800</v>
      </c>
      <c r="D263" s="1" t="s">
        <v>14</v>
      </c>
      <c r="E263" s="1">
        <v>72</v>
      </c>
      <c r="F263" s="1">
        <v>1</v>
      </c>
      <c r="G263" s="1">
        <v>1</v>
      </c>
      <c r="H263" s="1">
        <v>0</v>
      </c>
      <c r="I263" s="1">
        <v>421</v>
      </c>
      <c r="J263" s="1">
        <v>0</v>
      </c>
      <c r="K263" s="1">
        <v>1</v>
      </c>
      <c r="L263" s="1"/>
      <c r="M263" s="1"/>
      <c r="N263" s="1"/>
      <c r="O263" s="1"/>
      <c r="P263" s="1"/>
      <c r="Q263" s="1"/>
      <c r="R263" s="1"/>
      <c r="S263" s="1"/>
      <c r="T263" s="1"/>
    </row>
    <row r="264" spans="1:20" ht="13" x14ac:dyDescent="0.15">
      <c r="A264" s="1" t="s">
        <v>801</v>
      </c>
      <c r="B264" s="1" t="s">
        <v>802</v>
      </c>
      <c r="C264" s="4" t="s">
        <v>803</v>
      </c>
      <c r="D264" s="1" t="s">
        <v>14</v>
      </c>
      <c r="E264" s="1">
        <v>51</v>
      </c>
      <c r="F264" s="1">
        <v>1</v>
      </c>
      <c r="G264" s="1">
        <v>0</v>
      </c>
      <c r="H264" s="1">
        <v>0</v>
      </c>
      <c r="I264" s="1">
        <v>194</v>
      </c>
      <c r="J264" s="1">
        <v>1</v>
      </c>
      <c r="K264" s="1">
        <v>1</v>
      </c>
      <c r="L264" s="1"/>
      <c r="M264" s="1"/>
      <c r="N264" s="1"/>
      <c r="O264" s="1"/>
      <c r="P264" s="1"/>
      <c r="Q264" s="1"/>
      <c r="R264" s="1"/>
      <c r="S264" s="1"/>
      <c r="T264" s="1"/>
    </row>
    <row r="265" spans="1:20" ht="13" x14ac:dyDescent="0.15">
      <c r="A265" s="1" t="s">
        <v>804</v>
      </c>
      <c r="B265" s="1" t="s">
        <v>805</v>
      </c>
      <c r="C265" s="4" t="s">
        <v>806</v>
      </c>
      <c r="D265" s="1" t="s">
        <v>14</v>
      </c>
      <c r="E265" s="1">
        <v>60</v>
      </c>
      <c r="F265" s="1">
        <v>1</v>
      </c>
      <c r="G265" s="1">
        <v>1</v>
      </c>
      <c r="H265" s="1">
        <v>0</v>
      </c>
      <c r="I265" s="1">
        <v>1196</v>
      </c>
      <c r="J265" s="1">
        <v>0</v>
      </c>
      <c r="K265" s="1">
        <v>0</v>
      </c>
      <c r="L265" s="1"/>
      <c r="M265" s="1"/>
      <c r="N265" s="1"/>
      <c r="O265" s="1"/>
      <c r="P265" s="1"/>
      <c r="Q265" s="1"/>
      <c r="R265" s="1"/>
      <c r="S265" s="1"/>
      <c r="T265" s="1"/>
    </row>
    <row r="266" spans="1:20" ht="13" x14ac:dyDescent="0.15">
      <c r="A266" s="1" t="s">
        <v>807</v>
      </c>
      <c r="B266" s="1" t="s">
        <v>808</v>
      </c>
      <c r="C266" s="4" t="s">
        <v>809</v>
      </c>
      <c r="D266" s="1" t="s">
        <v>14</v>
      </c>
      <c r="E266" s="1">
        <v>75</v>
      </c>
      <c r="F266" s="1">
        <v>1</v>
      </c>
      <c r="G266" s="1">
        <v>1</v>
      </c>
      <c r="H266" s="1">
        <v>0</v>
      </c>
      <c r="I266" s="1">
        <v>1201</v>
      </c>
      <c r="J266" s="1">
        <v>0</v>
      </c>
      <c r="K266" s="1">
        <v>0</v>
      </c>
      <c r="L266" s="1"/>
      <c r="M266" s="1"/>
      <c r="N266" s="1"/>
      <c r="O266" s="1"/>
      <c r="P266" s="1"/>
      <c r="Q266" s="1"/>
      <c r="R266" s="1"/>
      <c r="S266" s="1"/>
      <c r="T266" s="1"/>
    </row>
    <row r="267" spans="1:20" ht="13" x14ac:dyDescent="0.15">
      <c r="A267" s="1" t="s">
        <v>810</v>
      </c>
      <c r="B267" s="1" t="s">
        <v>811</v>
      </c>
      <c r="C267" s="4" t="s">
        <v>812</v>
      </c>
      <c r="D267" s="1" t="s">
        <v>14</v>
      </c>
      <c r="E267" s="1">
        <v>72</v>
      </c>
      <c r="F267" s="1">
        <v>1</v>
      </c>
      <c r="G267" s="1">
        <v>0</v>
      </c>
      <c r="H267" s="1">
        <v>0</v>
      </c>
      <c r="I267" s="1">
        <v>108</v>
      </c>
      <c r="J267" s="1">
        <v>1</v>
      </c>
      <c r="K267" s="1">
        <v>1</v>
      </c>
      <c r="L267" s="1"/>
      <c r="M267" s="1"/>
      <c r="N267" s="1"/>
      <c r="O267" s="1"/>
      <c r="P267" s="1"/>
      <c r="Q267" s="1"/>
      <c r="R267" s="1"/>
      <c r="S267" s="1"/>
      <c r="T267" s="1"/>
    </row>
    <row r="268" spans="1:20" ht="13" x14ac:dyDescent="0.15">
      <c r="A268" s="1" t="s">
        <v>813</v>
      </c>
      <c r="B268" s="1" t="s">
        <v>814</v>
      </c>
      <c r="C268" s="4" t="s">
        <v>815</v>
      </c>
      <c r="D268" s="1" t="s">
        <v>14</v>
      </c>
      <c r="E268" s="1">
        <v>26</v>
      </c>
      <c r="F268" s="1">
        <v>2</v>
      </c>
      <c r="G268" s="1">
        <v>1</v>
      </c>
      <c r="H268" s="1">
        <v>0</v>
      </c>
      <c r="I268" s="1">
        <v>837</v>
      </c>
      <c r="J268" s="1">
        <v>0</v>
      </c>
      <c r="K268" s="1">
        <v>1</v>
      </c>
      <c r="L268" s="1"/>
      <c r="M268" s="1"/>
      <c r="N268" s="1"/>
      <c r="O268" s="1"/>
      <c r="P268" s="1"/>
      <c r="Q268" s="1"/>
      <c r="R268" s="1"/>
      <c r="S268" s="1"/>
      <c r="T268" s="1"/>
    </row>
    <row r="269" spans="1:20" ht="13" x14ac:dyDescent="0.15">
      <c r="A269" s="1" t="s">
        <v>816</v>
      </c>
      <c r="B269" s="1" t="s">
        <v>817</v>
      </c>
      <c r="C269" s="4" t="s">
        <v>818</v>
      </c>
      <c r="D269" s="1" t="s">
        <v>14</v>
      </c>
      <c r="E269" s="1">
        <v>65</v>
      </c>
      <c r="F269" s="1">
        <v>2</v>
      </c>
      <c r="G269" s="1">
        <v>1</v>
      </c>
      <c r="H269" s="1">
        <v>0</v>
      </c>
      <c r="I269" s="1">
        <v>141</v>
      </c>
      <c r="J269" s="1">
        <v>0</v>
      </c>
      <c r="K269" s="1">
        <v>1</v>
      </c>
      <c r="L269" s="1"/>
      <c r="M269" s="1"/>
      <c r="N269" s="1"/>
      <c r="O269" s="1"/>
      <c r="P269" s="1"/>
      <c r="Q269" s="1"/>
      <c r="R269" s="1"/>
      <c r="S269" s="1"/>
      <c r="T269" s="1"/>
    </row>
    <row r="270" spans="1:20" ht="13" x14ac:dyDescent="0.15">
      <c r="A270" s="1" t="s">
        <v>819</v>
      </c>
      <c r="B270" s="1" t="s">
        <v>820</v>
      </c>
      <c r="C270" s="4" t="s">
        <v>821</v>
      </c>
      <c r="D270" s="1" t="s">
        <v>14</v>
      </c>
      <c r="E270" s="1">
        <v>65</v>
      </c>
      <c r="F270" s="1">
        <v>2</v>
      </c>
      <c r="G270" s="1">
        <v>1</v>
      </c>
      <c r="H270" s="1">
        <v>0</v>
      </c>
      <c r="I270" s="1">
        <v>465</v>
      </c>
      <c r="J270" s="1">
        <v>1</v>
      </c>
      <c r="K270" s="1">
        <v>1</v>
      </c>
      <c r="L270" s="1"/>
      <c r="M270" s="1"/>
      <c r="N270" s="1"/>
      <c r="O270" s="1"/>
      <c r="P270" s="1"/>
      <c r="Q270" s="1"/>
      <c r="R270" s="1"/>
      <c r="S270" s="1"/>
      <c r="T270" s="1"/>
    </row>
    <row r="271" spans="1:20" ht="13" x14ac:dyDescent="0.15">
      <c r="A271" s="1" t="s">
        <v>822</v>
      </c>
      <c r="B271" s="1" t="s">
        <v>823</v>
      </c>
      <c r="C271" s="4" t="s">
        <v>824</v>
      </c>
      <c r="D271" s="1" t="s">
        <v>14</v>
      </c>
      <c r="E271" s="1">
        <v>64</v>
      </c>
      <c r="F271" s="1">
        <v>2</v>
      </c>
      <c r="G271" s="1">
        <v>0</v>
      </c>
      <c r="H271" s="1">
        <v>0</v>
      </c>
      <c r="I271" s="1">
        <v>109</v>
      </c>
      <c r="J271" s="1">
        <v>0</v>
      </c>
      <c r="K271" s="1">
        <v>1</v>
      </c>
      <c r="L271" s="1"/>
      <c r="M271" s="1"/>
      <c r="N271" s="1"/>
      <c r="O271" s="1"/>
      <c r="P271" s="1"/>
      <c r="Q271" s="1"/>
      <c r="R271" s="1"/>
      <c r="S271" s="1"/>
      <c r="T271" s="1"/>
    </row>
    <row r="272" spans="1:20" ht="13" x14ac:dyDescent="0.15">
      <c r="A272" s="1" t="s">
        <v>825</v>
      </c>
      <c r="B272" s="1" t="s">
        <v>826</v>
      </c>
      <c r="C272" s="4" t="s">
        <v>827</v>
      </c>
      <c r="D272" s="1" t="s">
        <v>14</v>
      </c>
      <c r="E272" s="1">
        <v>65</v>
      </c>
      <c r="F272" s="1">
        <v>2</v>
      </c>
      <c r="G272" s="1">
        <v>1</v>
      </c>
      <c r="H272" s="1">
        <v>0</v>
      </c>
      <c r="I272" s="1">
        <v>729</v>
      </c>
      <c r="J272" s="1">
        <v>1</v>
      </c>
      <c r="K272" s="1">
        <v>1</v>
      </c>
      <c r="L272" s="1"/>
      <c r="M272" s="1"/>
      <c r="N272" s="1"/>
      <c r="O272" s="1"/>
      <c r="P272" s="1"/>
      <c r="Q272" s="1"/>
      <c r="R272" s="1"/>
      <c r="S272" s="1"/>
      <c r="T272" s="1"/>
    </row>
    <row r="273" spans="1:20" ht="13" x14ac:dyDescent="0.15">
      <c r="A273" s="1" t="s">
        <v>828</v>
      </c>
      <c r="B273" s="1" t="s">
        <v>829</v>
      </c>
      <c r="C273" s="4" t="s">
        <v>830</v>
      </c>
      <c r="D273" s="1" t="s">
        <v>14</v>
      </c>
      <c r="E273" s="1">
        <v>52</v>
      </c>
      <c r="F273" s="1">
        <v>2</v>
      </c>
      <c r="G273" s="1">
        <v>1</v>
      </c>
      <c r="H273" s="1">
        <v>0</v>
      </c>
      <c r="I273" s="1">
        <v>512</v>
      </c>
      <c r="J273" s="1">
        <v>0</v>
      </c>
      <c r="K273" s="1">
        <v>1</v>
      </c>
      <c r="L273" s="1"/>
      <c r="M273" s="1"/>
      <c r="N273" s="1"/>
      <c r="O273" s="1"/>
      <c r="P273" s="1"/>
      <c r="Q273" s="1"/>
      <c r="R273" s="1"/>
      <c r="S273" s="1"/>
      <c r="T273" s="1"/>
    </row>
    <row r="274" spans="1:20" ht="13" x14ac:dyDescent="0.15">
      <c r="A274" s="1" t="s">
        <v>831</v>
      </c>
      <c r="B274" s="1" t="s">
        <v>832</v>
      </c>
      <c r="C274" s="4" t="s">
        <v>833</v>
      </c>
      <c r="D274" s="1" t="s">
        <v>14</v>
      </c>
      <c r="E274" s="1">
        <v>55</v>
      </c>
      <c r="F274" s="1">
        <v>1</v>
      </c>
      <c r="G274" s="1">
        <v>1</v>
      </c>
      <c r="H274" s="1">
        <v>0</v>
      </c>
      <c r="I274" s="1">
        <v>961</v>
      </c>
      <c r="J274" s="1">
        <v>0</v>
      </c>
      <c r="K274" s="1">
        <v>0</v>
      </c>
      <c r="L274" s="1"/>
      <c r="M274" s="1"/>
      <c r="N274" s="1"/>
      <c r="O274" s="1"/>
      <c r="P274" s="1"/>
      <c r="Q274" s="1"/>
      <c r="R274" s="1"/>
      <c r="S274" s="1"/>
      <c r="T274" s="1"/>
    </row>
    <row r="275" spans="1:20" ht="13" x14ac:dyDescent="0.15">
      <c r="A275" s="1" t="s">
        <v>834</v>
      </c>
      <c r="B275" s="1" t="s">
        <v>835</v>
      </c>
      <c r="C275" s="4" t="s">
        <v>836</v>
      </c>
      <c r="D275" s="1" t="s">
        <v>14</v>
      </c>
      <c r="E275" s="1">
        <v>53</v>
      </c>
      <c r="F275" s="1">
        <v>1</v>
      </c>
      <c r="G275" s="1">
        <v>1</v>
      </c>
      <c r="H275" s="1">
        <v>0</v>
      </c>
      <c r="I275" s="1">
        <v>799</v>
      </c>
      <c r="J275" s="1">
        <v>0</v>
      </c>
      <c r="K275" s="1">
        <v>1</v>
      </c>
      <c r="L275" s="1"/>
      <c r="M275" s="1"/>
      <c r="N275" s="1"/>
      <c r="O275" s="1"/>
      <c r="P275" s="1"/>
      <c r="Q275" s="1"/>
      <c r="R275" s="1"/>
      <c r="S275" s="1"/>
      <c r="T275" s="1"/>
    </row>
    <row r="276" spans="1:20" ht="13" x14ac:dyDescent="0.15">
      <c r="A276" s="1" t="s">
        <v>837</v>
      </c>
      <c r="B276" s="1" t="s">
        <v>838</v>
      </c>
      <c r="C276" s="4" t="s">
        <v>839</v>
      </c>
      <c r="D276" s="1" t="s">
        <v>14</v>
      </c>
      <c r="E276" s="1">
        <v>78</v>
      </c>
      <c r="F276" s="1">
        <v>2</v>
      </c>
      <c r="G276" s="1">
        <v>1</v>
      </c>
      <c r="H276" s="1">
        <v>0</v>
      </c>
      <c r="I276" s="1">
        <v>86</v>
      </c>
      <c r="J276" s="1">
        <v>1</v>
      </c>
      <c r="K276" s="1">
        <v>1</v>
      </c>
      <c r="L276" s="1"/>
      <c r="M276" s="1"/>
      <c r="N276" s="1"/>
      <c r="O276" s="1"/>
      <c r="P276" s="1"/>
      <c r="Q276" s="1"/>
      <c r="R276" s="1"/>
      <c r="S276" s="1"/>
      <c r="T276" s="1"/>
    </row>
    <row r="277" spans="1:20" ht="13" x14ac:dyDescent="0.15">
      <c r="A277" s="1" t="s">
        <v>840</v>
      </c>
      <c r="B277" s="1" t="s">
        <v>841</v>
      </c>
      <c r="C277" s="4" t="s">
        <v>842</v>
      </c>
      <c r="D277" s="1" t="s">
        <v>14</v>
      </c>
      <c r="E277" s="1">
        <v>76</v>
      </c>
      <c r="F277" s="1">
        <v>1</v>
      </c>
      <c r="G277" s="1">
        <v>1</v>
      </c>
      <c r="H277" s="1">
        <v>0</v>
      </c>
      <c r="I277" s="1">
        <v>361</v>
      </c>
      <c r="J277" s="1">
        <v>0</v>
      </c>
      <c r="K277" s="1">
        <v>1</v>
      </c>
      <c r="L277" s="1"/>
      <c r="M277" s="1"/>
      <c r="N277" s="1"/>
      <c r="O277" s="1"/>
      <c r="P277" s="1"/>
      <c r="Q277" s="1"/>
      <c r="R277" s="1"/>
      <c r="S277" s="1"/>
      <c r="T277" s="1"/>
    </row>
    <row r="278" spans="1:20" ht="13" x14ac:dyDescent="0.15">
      <c r="A278" s="1" t="s">
        <v>843</v>
      </c>
      <c r="B278" s="1" t="s">
        <v>844</v>
      </c>
      <c r="C278" s="4" t="s">
        <v>845</v>
      </c>
      <c r="D278" s="1" t="s">
        <v>14</v>
      </c>
      <c r="E278" s="1">
        <v>61</v>
      </c>
      <c r="F278" s="1">
        <v>2</v>
      </c>
      <c r="G278" s="1">
        <v>0</v>
      </c>
      <c r="H278" s="1">
        <v>0</v>
      </c>
      <c r="I278" s="1">
        <v>446</v>
      </c>
      <c r="J278" s="1">
        <v>0</v>
      </c>
      <c r="K278" s="1">
        <v>1</v>
      </c>
      <c r="L278" s="1"/>
      <c r="M278" s="1"/>
      <c r="N278" s="1"/>
      <c r="O278" s="1"/>
      <c r="P278" s="1"/>
      <c r="Q278" s="1"/>
      <c r="R278" s="1"/>
      <c r="S278" s="1"/>
      <c r="T278" s="1"/>
    </row>
    <row r="279" spans="1:20" ht="13" x14ac:dyDescent="0.15">
      <c r="A279" s="1" t="s">
        <v>846</v>
      </c>
      <c r="B279" s="1" t="s">
        <v>847</v>
      </c>
      <c r="C279" s="4" t="s">
        <v>848</v>
      </c>
      <c r="D279" s="1" t="s">
        <v>14</v>
      </c>
      <c r="E279" s="1">
        <v>72</v>
      </c>
      <c r="F279" s="1">
        <v>1</v>
      </c>
      <c r="G279" s="1">
        <v>0</v>
      </c>
      <c r="H279" s="1">
        <v>0</v>
      </c>
      <c r="I279" s="1">
        <v>150</v>
      </c>
      <c r="J279" s="1">
        <v>0</v>
      </c>
      <c r="K279" s="1">
        <v>1</v>
      </c>
      <c r="L279" s="1"/>
      <c r="M279" s="1"/>
      <c r="N279" s="1"/>
      <c r="O279" s="1"/>
      <c r="P279" s="1"/>
      <c r="Q279" s="1"/>
      <c r="R279" s="1"/>
      <c r="S279" s="1"/>
      <c r="T279" s="1"/>
    </row>
    <row r="280" spans="1:20" ht="13" x14ac:dyDescent="0.15">
      <c r="A280" s="1" t="s">
        <v>849</v>
      </c>
      <c r="B280" s="1" t="s">
        <v>850</v>
      </c>
      <c r="C280" s="4" t="s">
        <v>851</v>
      </c>
      <c r="D280" s="1" t="s">
        <v>14</v>
      </c>
      <c r="E280" s="1">
        <v>57</v>
      </c>
      <c r="F280" s="1">
        <v>1</v>
      </c>
      <c r="G280" s="1">
        <v>0</v>
      </c>
      <c r="H280" s="1">
        <v>0</v>
      </c>
      <c r="I280" s="1">
        <v>1392</v>
      </c>
      <c r="J280" s="1">
        <v>0</v>
      </c>
      <c r="K280" s="1">
        <v>0</v>
      </c>
      <c r="L280" s="1"/>
      <c r="M280" s="1"/>
      <c r="N280" s="1"/>
      <c r="O280" s="1"/>
      <c r="P280" s="1"/>
      <c r="Q280" s="1"/>
      <c r="R280" s="1"/>
      <c r="S280" s="1"/>
      <c r="T280" s="1"/>
    </row>
    <row r="281" spans="1:20" ht="13" x14ac:dyDescent="0.15">
      <c r="A281" s="1" t="s">
        <v>852</v>
      </c>
      <c r="B281" s="1" t="s">
        <v>853</v>
      </c>
      <c r="C281" s="4" t="s">
        <v>854</v>
      </c>
      <c r="D281" s="1" t="s">
        <v>14</v>
      </c>
      <c r="E281" s="1">
        <v>69</v>
      </c>
      <c r="F281" s="1">
        <v>1</v>
      </c>
      <c r="G281" s="1">
        <v>1</v>
      </c>
      <c r="H281" s="1">
        <v>0</v>
      </c>
      <c r="I281" s="1">
        <v>358</v>
      </c>
      <c r="J281" s="1">
        <v>0</v>
      </c>
      <c r="K281" s="1">
        <v>0</v>
      </c>
      <c r="L281" s="1"/>
      <c r="M281" s="1"/>
      <c r="N281" s="1"/>
      <c r="O281" s="1"/>
      <c r="P281" s="1"/>
      <c r="Q281" s="1"/>
      <c r="R281" s="1"/>
      <c r="S281" s="1"/>
      <c r="T281" s="1"/>
    </row>
    <row r="282" spans="1:20" ht="13" x14ac:dyDescent="0.15">
      <c r="A282" s="1" t="s">
        <v>855</v>
      </c>
      <c r="B282" s="1" t="s">
        <v>856</v>
      </c>
      <c r="C282" s="4" t="s">
        <v>857</v>
      </c>
      <c r="D282" s="1" t="s">
        <v>14</v>
      </c>
      <c r="E282" s="1">
        <v>61</v>
      </c>
      <c r="F282" s="1">
        <v>1</v>
      </c>
      <c r="G282" s="1">
        <v>1</v>
      </c>
      <c r="H282" s="1">
        <v>0</v>
      </c>
      <c r="I282" s="1">
        <v>394</v>
      </c>
      <c r="J282" s="1">
        <v>0</v>
      </c>
      <c r="K282" s="1">
        <v>1</v>
      </c>
      <c r="L282" s="1"/>
      <c r="M282" s="1"/>
      <c r="N282" s="1"/>
      <c r="O282" s="1"/>
      <c r="P282" s="1"/>
      <c r="Q282" s="1"/>
      <c r="R282" s="1"/>
      <c r="S282" s="1"/>
      <c r="T282" s="1"/>
    </row>
    <row r="283" spans="1:20" ht="13" x14ac:dyDescent="0.15">
      <c r="A283" s="1" t="s">
        <v>858</v>
      </c>
      <c r="B283" s="1" t="s">
        <v>859</v>
      </c>
      <c r="C283" s="4" t="s">
        <v>860</v>
      </c>
      <c r="D283" s="1" t="s">
        <v>14</v>
      </c>
      <c r="E283" s="1">
        <v>61</v>
      </c>
      <c r="F283" s="1">
        <v>2</v>
      </c>
      <c r="G283" s="1">
        <v>1</v>
      </c>
      <c r="H283" s="1">
        <v>0</v>
      </c>
      <c r="I283" s="1">
        <v>115</v>
      </c>
      <c r="J283" s="1">
        <v>0</v>
      </c>
      <c r="K283" s="1">
        <v>1</v>
      </c>
      <c r="L283" s="1"/>
      <c r="M283" s="1"/>
      <c r="N283" s="1"/>
      <c r="O283" s="1"/>
      <c r="P283" s="1"/>
      <c r="Q283" s="1"/>
      <c r="R283" s="1"/>
      <c r="S283" s="1"/>
      <c r="T283" s="1"/>
    </row>
    <row r="284" spans="1:20" ht="13" x14ac:dyDescent="0.15">
      <c r="A284" s="1" t="s">
        <v>861</v>
      </c>
      <c r="B284" s="1" t="s">
        <v>862</v>
      </c>
      <c r="C284" s="4" t="s">
        <v>863</v>
      </c>
      <c r="D284" s="1" t="s">
        <v>14</v>
      </c>
      <c r="E284" s="1">
        <v>67</v>
      </c>
      <c r="F284" s="1">
        <v>1</v>
      </c>
      <c r="G284" s="1">
        <v>1</v>
      </c>
      <c r="H284" s="1">
        <v>0</v>
      </c>
      <c r="I284" s="1">
        <v>288</v>
      </c>
      <c r="J284" s="1">
        <v>1</v>
      </c>
      <c r="K284" s="1">
        <v>0</v>
      </c>
      <c r="L284" s="1"/>
      <c r="M284" s="1"/>
      <c r="N284" s="1"/>
      <c r="O284" s="1"/>
      <c r="P284" s="1"/>
      <c r="Q284" s="1"/>
      <c r="R284" s="1"/>
      <c r="S284" s="1"/>
      <c r="T284" s="1"/>
    </row>
    <row r="285" spans="1:20" ht="13" x14ac:dyDescent="0.15">
      <c r="A285" s="1" t="s">
        <v>864</v>
      </c>
      <c r="B285" s="1" t="s">
        <v>865</v>
      </c>
      <c r="C285" s="4" t="s">
        <v>866</v>
      </c>
      <c r="D285" s="1" t="s">
        <v>14</v>
      </c>
      <c r="E285" s="1">
        <v>27</v>
      </c>
      <c r="F285" s="1">
        <v>2</v>
      </c>
      <c r="G285" s="1">
        <v>1</v>
      </c>
      <c r="H285" s="1">
        <v>0</v>
      </c>
      <c r="I285" s="1">
        <v>1035</v>
      </c>
      <c r="J285" s="1">
        <v>0</v>
      </c>
      <c r="K285" s="1">
        <v>0</v>
      </c>
      <c r="L285" s="1"/>
      <c r="M285" s="1"/>
      <c r="N285" s="1"/>
      <c r="O285" s="1"/>
      <c r="P285" s="1"/>
      <c r="Q285" s="1"/>
      <c r="R285" s="1"/>
      <c r="S285" s="1"/>
      <c r="T285" s="1"/>
    </row>
    <row r="286" spans="1:20" ht="13" x14ac:dyDescent="0.15">
      <c r="A286" s="1" t="s">
        <v>867</v>
      </c>
      <c r="B286" s="1" t="s">
        <v>868</v>
      </c>
      <c r="C286" s="4" t="s">
        <v>869</v>
      </c>
      <c r="D286" s="1" t="s">
        <v>14</v>
      </c>
      <c r="E286" s="1">
        <v>60</v>
      </c>
      <c r="F286" s="1">
        <v>2</v>
      </c>
      <c r="G286" s="1">
        <v>1</v>
      </c>
      <c r="H286" s="1">
        <v>0</v>
      </c>
      <c r="I286" s="1">
        <v>902</v>
      </c>
      <c r="J286" s="1">
        <v>0</v>
      </c>
      <c r="K286" s="1">
        <v>0</v>
      </c>
      <c r="L286" s="1"/>
      <c r="M286" s="1"/>
      <c r="N286" s="1"/>
      <c r="O286" s="1"/>
      <c r="P286" s="1"/>
      <c r="Q286" s="1"/>
      <c r="R286" s="1"/>
      <c r="S286" s="1"/>
      <c r="T286" s="1"/>
    </row>
    <row r="287" spans="1:20" ht="13" x14ac:dyDescent="0.15">
      <c r="A287" s="1" t="s">
        <v>870</v>
      </c>
      <c r="B287" s="1" t="s">
        <v>871</v>
      </c>
      <c r="C287" s="4" t="s">
        <v>872</v>
      </c>
      <c r="D287" s="1" t="s">
        <v>14</v>
      </c>
      <c r="E287" s="1">
        <v>51</v>
      </c>
      <c r="F287" s="1">
        <v>1</v>
      </c>
      <c r="G287" s="1">
        <v>1</v>
      </c>
      <c r="H287" s="1">
        <v>0</v>
      </c>
      <c r="I287" s="1">
        <v>1308</v>
      </c>
      <c r="J287" s="1">
        <v>0</v>
      </c>
      <c r="K287" s="1">
        <v>1</v>
      </c>
      <c r="L287" s="1"/>
      <c r="M287" s="1"/>
      <c r="N287" s="1"/>
      <c r="O287" s="1"/>
      <c r="P287" s="1"/>
      <c r="Q287" s="1"/>
      <c r="R287" s="1"/>
      <c r="S287" s="1"/>
      <c r="T287" s="1"/>
    </row>
    <row r="288" spans="1:20" ht="13" x14ac:dyDescent="0.15">
      <c r="A288" s="1" t="s">
        <v>873</v>
      </c>
      <c r="B288" s="1" t="s">
        <v>874</v>
      </c>
      <c r="C288" s="4" t="s">
        <v>875</v>
      </c>
      <c r="D288" s="1" t="s">
        <v>14</v>
      </c>
      <c r="E288" s="1">
        <v>66</v>
      </c>
      <c r="F288" s="1">
        <v>2</v>
      </c>
      <c r="G288" s="1">
        <v>0</v>
      </c>
      <c r="H288" s="1">
        <v>0</v>
      </c>
      <c r="I288" s="1">
        <v>611</v>
      </c>
      <c r="J288" s="1">
        <v>0</v>
      </c>
      <c r="K288" s="1">
        <v>1</v>
      </c>
      <c r="L288" s="1"/>
      <c r="M288" s="1"/>
      <c r="N288" s="1"/>
      <c r="O288" s="1"/>
      <c r="P288" s="1"/>
      <c r="Q288" s="1"/>
      <c r="R288" s="1"/>
      <c r="S288" s="1"/>
      <c r="T288" s="1"/>
    </row>
    <row r="289" spans="1:20" ht="13" x14ac:dyDescent="0.15">
      <c r="A289" s="1" t="s">
        <v>876</v>
      </c>
      <c r="B289" s="1" t="s">
        <v>877</v>
      </c>
      <c r="C289" s="4" t="s">
        <v>878</v>
      </c>
      <c r="D289" s="1" t="s">
        <v>14</v>
      </c>
      <c r="E289" s="1">
        <v>58</v>
      </c>
      <c r="F289" s="1">
        <v>1</v>
      </c>
      <c r="G289" s="1">
        <v>0</v>
      </c>
      <c r="H289" s="1">
        <v>0</v>
      </c>
      <c r="I289" s="1">
        <v>304</v>
      </c>
      <c r="J289" s="1">
        <v>1</v>
      </c>
      <c r="K289" s="1">
        <v>0</v>
      </c>
      <c r="L289" s="1"/>
      <c r="M289" s="1"/>
      <c r="N289" s="1"/>
      <c r="O289" s="1"/>
      <c r="P289" s="1"/>
      <c r="Q289" s="1"/>
      <c r="R289" s="1"/>
      <c r="S289" s="1"/>
      <c r="T289" s="1"/>
    </row>
    <row r="290" spans="1:20" ht="13" x14ac:dyDescent="0.15">
      <c r="A290" s="1" t="s">
        <v>879</v>
      </c>
      <c r="B290" s="1" t="s">
        <v>880</v>
      </c>
      <c r="C290" s="4" t="s">
        <v>881</v>
      </c>
      <c r="D290" s="1" t="s">
        <v>14</v>
      </c>
      <c r="E290" s="1">
        <v>60</v>
      </c>
      <c r="F290" s="1">
        <v>1</v>
      </c>
      <c r="G290" s="1">
        <v>1</v>
      </c>
      <c r="H290" s="1">
        <v>0</v>
      </c>
      <c r="I290" s="1">
        <v>645</v>
      </c>
      <c r="J290" s="1">
        <v>1</v>
      </c>
      <c r="K290" s="1">
        <v>0</v>
      </c>
      <c r="L290" s="1"/>
      <c r="M290" s="1"/>
      <c r="N290" s="1"/>
      <c r="O290" s="1"/>
      <c r="P290" s="1"/>
      <c r="Q290" s="1"/>
      <c r="R290" s="1"/>
      <c r="S290" s="1"/>
      <c r="T290" s="1"/>
    </row>
    <row r="291" spans="1:20" ht="13" x14ac:dyDescent="0.15">
      <c r="A291" s="1" t="s">
        <v>882</v>
      </c>
      <c r="B291" s="1" t="s">
        <v>883</v>
      </c>
      <c r="C291" s="4" t="s">
        <v>884</v>
      </c>
      <c r="D291" s="1" t="s">
        <v>14</v>
      </c>
      <c r="E291" s="1">
        <v>77</v>
      </c>
      <c r="F291" s="1">
        <v>2</v>
      </c>
      <c r="G291" s="1">
        <v>0</v>
      </c>
      <c r="H291" s="1">
        <v>0</v>
      </c>
      <c r="I291" s="1">
        <v>676</v>
      </c>
      <c r="J291" s="1">
        <v>1</v>
      </c>
      <c r="K291" s="1">
        <v>1</v>
      </c>
      <c r="L291" s="1"/>
      <c r="M291" s="1"/>
      <c r="N291" s="1"/>
      <c r="O291" s="1"/>
      <c r="P291" s="1"/>
      <c r="Q291" s="1"/>
      <c r="R291" s="1"/>
      <c r="S291" s="1"/>
      <c r="T291" s="1"/>
    </row>
    <row r="292" spans="1:20" ht="13" x14ac:dyDescent="0.15">
      <c r="A292" s="1" t="s">
        <v>885</v>
      </c>
      <c r="B292" s="1" t="s">
        <v>886</v>
      </c>
      <c r="C292" s="4" t="s">
        <v>887</v>
      </c>
      <c r="D292" s="1" t="s">
        <v>14</v>
      </c>
      <c r="E292" s="1">
        <v>46</v>
      </c>
      <c r="F292" s="1">
        <v>1</v>
      </c>
      <c r="G292" s="1">
        <v>1</v>
      </c>
      <c r="H292" s="1">
        <v>0</v>
      </c>
      <c r="I292" s="1">
        <v>329</v>
      </c>
      <c r="J292" s="1">
        <v>1</v>
      </c>
      <c r="K292" s="1">
        <v>1</v>
      </c>
      <c r="L292" s="1"/>
      <c r="M292" s="1"/>
      <c r="N292" s="1"/>
      <c r="O292" s="1"/>
      <c r="P292" s="1"/>
      <c r="Q292" s="1"/>
      <c r="R292" s="1"/>
      <c r="S292" s="1"/>
      <c r="T292" s="1"/>
    </row>
    <row r="293" spans="1:20" ht="13" x14ac:dyDescent="0.15">
      <c r="A293" s="1" t="s">
        <v>888</v>
      </c>
      <c r="B293" s="1" t="s">
        <v>889</v>
      </c>
      <c r="C293" s="4" t="s">
        <v>890</v>
      </c>
      <c r="D293" s="1" t="s">
        <v>14</v>
      </c>
      <c r="E293" s="1">
        <v>86</v>
      </c>
      <c r="F293" s="1">
        <v>2</v>
      </c>
      <c r="G293" s="1">
        <v>0</v>
      </c>
      <c r="H293" s="1">
        <v>0</v>
      </c>
      <c r="I293" s="1">
        <v>48</v>
      </c>
      <c r="J293" s="1">
        <v>1</v>
      </c>
      <c r="K293" s="1">
        <v>1</v>
      </c>
      <c r="L293" s="1"/>
      <c r="M293" s="1"/>
      <c r="N293" s="1"/>
      <c r="O293" s="1"/>
      <c r="P293" s="1"/>
      <c r="Q293" s="1"/>
      <c r="R293" s="1"/>
      <c r="S293" s="1"/>
      <c r="T293" s="1"/>
    </row>
    <row r="294" spans="1:20" ht="13" x14ac:dyDescent="0.15">
      <c r="A294" s="1" t="s">
        <v>891</v>
      </c>
      <c r="B294" s="1" t="s">
        <v>892</v>
      </c>
      <c r="C294" s="4" t="s">
        <v>893</v>
      </c>
      <c r="D294" s="1" t="s">
        <v>14</v>
      </c>
      <c r="E294" s="1">
        <v>83</v>
      </c>
      <c r="F294" s="1">
        <v>2</v>
      </c>
      <c r="G294" s="1">
        <v>1</v>
      </c>
      <c r="H294" s="1">
        <v>0</v>
      </c>
      <c r="I294" s="1">
        <v>130</v>
      </c>
      <c r="J294" s="1">
        <v>0</v>
      </c>
      <c r="K294" s="1">
        <v>1</v>
      </c>
      <c r="L294" s="1"/>
      <c r="M294" s="1"/>
      <c r="N294" s="1"/>
      <c r="O294" s="1"/>
      <c r="P294" s="1"/>
      <c r="Q294" s="1"/>
      <c r="R294" s="1"/>
      <c r="S294" s="1"/>
      <c r="T294" s="1"/>
    </row>
    <row r="295" spans="1:20" ht="13" x14ac:dyDescent="0.15">
      <c r="A295" s="1" t="s">
        <v>894</v>
      </c>
      <c r="B295" s="1" t="s">
        <v>895</v>
      </c>
      <c r="C295" s="4" t="s">
        <v>896</v>
      </c>
      <c r="D295" s="1" t="s">
        <v>14</v>
      </c>
      <c r="E295" s="1">
        <v>48</v>
      </c>
      <c r="F295" s="1">
        <v>1</v>
      </c>
      <c r="G295" s="1">
        <v>1</v>
      </c>
      <c r="H295" s="1">
        <v>0</v>
      </c>
      <c r="I295" s="1">
        <v>919</v>
      </c>
      <c r="J295" s="1">
        <v>0</v>
      </c>
      <c r="K295" s="1">
        <v>1</v>
      </c>
      <c r="L295" s="1"/>
      <c r="M295" s="1"/>
      <c r="N295" s="1"/>
      <c r="O295" s="1"/>
      <c r="P295" s="1"/>
      <c r="Q295" s="1"/>
      <c r="R295" s="1"/>
      <c r="S295" s="1"/>
      <c r="T295" s="1"/>
    </row>
    <row r="296" spans="1:20" ht="13" x14ac:dyDescent="0.15">
      <c r="A296" s="1" t="s">
        <v>897</v>
      </c>
      <c r="B296" s="1" t="s">
        <v>898</v>
      </c>
      <c r="C296" s="4" t="s">
        <v>899</v>
      </c>
      <c r="D296" s="1" t="s">
        <v>14</v>
      </c>
      <c r="E296" s="1">
        <v>48</v>
      </c>
      <c r="F296" s="1">
        <v>1</v>
      </c>
      <c r="G296" s="1">
        <v>0</v>
      </c>
      <c r="H296" s="1">
        <v>0</v>
      </c>
      <c r="I296" s="1">
        <v>633</v>
      </c>
      <c r="J296" s="1">
        <v>0</v>
      </c>
      <c r="K296" s="1">
        <v>1</v>
      </c>
      <c r="L296" s="1"/>
      <c r="M296" s="1"/>
      <c r="N296" s="1"/>
      <c r="O296" s="1"/>
      <c r="P296" s="1"/>
      <c r="Q296" s="1"/>
      <c r="R296" s="1"/>
      <c r="S296" s="1"/>
      <c r="T296" s="1"/>
    </row>
    <row r="297" spans="1:20" ht="13" x14ac:dyDescent="0.15">
      <c r="A297" s="1" t="s">
        <v>900</v>
      </c>
      <c r="B297" s="1" t="s">
        <v>901</v>
      </c>
      <c r="C297" s="4" t="s">
        <v>902</v>
      </c>
      <c r="D297" s="1" t="s">
        <v>14</v>
      </c>
      <c r="E297" s="1">
        <v>58</v>
      </c>
      <c r="F297" s="1">
        <v>1</v>
      </c>
      <c r="G297" s="1">
        <v>0</v>
      </c>
      <c r="H297" s="1">
        <v>0</v>
      </c>
      <c r="I297" s="1">
        <v>920</v>
      </c>
      <c r="J297" s="1">
        <v>0</v>
      </c>
      <c r="K297" s="1">
        <v>1</v>
      </c>
      <c r="L297" s="1"/>
      <c r="M297" s="1"/>
      <c r="N297" s="1"/>
      <c r="O297" s="1"/>
      <c r="P297" s="1"/>
      <c r="Q297" s="1"/>
      <c r="R297" s="1"/>
      <c r="S297" s="1"/>
      <c r="T297" s="1"/>
    </row>
    <row r="298" spans="1:20" ht="13" x14ac:dyDescent="0.15">
      <c r="A298" s="1" t="s">
        <v>903</v>
      </c>
      <c r="B298" s="1" t="s">
        <v>904</v>
      </c>
      <c r="C298" s="4" t="s">
        <v>905</v>
      </c>
      <c r="D298" s="1" t="s">
        <v>14</v>
      </c>
      <c r="E298" s="1">
        <v>59</v>
      </c>
      <c r="F298" s="1">
        <v>2</v>
      </c>
      <c r="G298" s="1">
        <v>1</v>
      </c>
      <c r="H298" s="1">
        <v>0</v>
      </c>
      <c r="I298" s="1">
        <v>545</v>
      </c>
      <c r="J298" s="1">
        <v>0</v>
      </c>
      <c r="K298" s="1">
        <v>1</v>
      </c>
      <c r="L298" s="1"/>
      <c r="M298" s="1"/>
      <c r="N298" s="1"/>
      <c r="O298" s="1"/>
      <c r="P298" s="1"/>
      <c r="Q298" s="1"/>
      <c r="R298" s="1"/>
      <c r="S298" s="1"/>
      <c r="T298" s="1"/>
    </row>
    <row r="299" spans="1:20" ht="13" x14ac:dyDescent="0.15">
      <c r="A299" s="1" t="s">
        <v>906</v>
      </c>
      <c r="B299" s="1" t="s">
        <v>907</v>
      </c>
      <c r="C299" s="4" t="s">
        <v>908</v>
      </c>
      <c r="D299" s="1" t="s">
        <v>14</v>
      </c>
      <c r="E299" s="1">
        <v>39</v>
      </c>
      <c r="F299" s="1">
        <v>2</v>
      </c>
      <c r="G299" s="1">
        <v>1</v>
      </c>
      <c r="H299" s="1">
        <v>1</v>
      </c>
      <c r="I299" s="1">
        <v>698</v>
      </c>
      <c r="J299" s="1">
        <v>1</v>
      </c>
      <c r="K299" s="1">
        <v>0</v>
      </c>
      <c r="L299" s="1"/>
      <c r="M299" s="1"/>
      <c r="N299" s="1"/>
      <c r="O299" s="1"/>
      <c r="P299" s="1"/>
      <c r="Q299" s="1"/>
      <c r="R299" s="1"/>
      <c r="S299" s="1"/>
      <c r="T299" s="1"/>
    </row>
    <row r="300" spans="1:20" ht="13" x14ac:dyDescent="0.15">
      <c r="A300" s="1" t="s">
        <v>909</v>
      </c>
      <c r="B300" s="1" t="s">
        <v>910</v>
      </c>
      <c r="C300" s="4" t="s">
        <v>911</v>
      </c>
      <c r="D300" s="1" t="s">
        <v>14</v>
      </c>
      <c r="E300" s="1">
        <v>76</v>
      </c>
      <c r="F300" s="1">
        <v>2</v>
      </c>
      <c r="G300" s="1">
        <v>1</v>
      </c>
      <c r="H300" s="1">
        <v>0</v>
      </c>
      <c r="I300" s="1">
        <v>1163</v>
      </c>
      <c r="J300" s="1">
        <v>0</v>
      </c>
      <c r="K300" s="1">
        <v>0</v>
      </c>
      <c r="L300" s="1"/>
      <c r="M300" s="1"/>
      <c r="N300" s="1"/>
      <c r="O300" s="1"/>
      <c r="P300" s="1"/>
      <c r="Q300" s="1"/>
      <c r="R300" s="1"/>
      <c r="S300" s="1"/>
      <c r="T300" s="1"/>
    </row>
    <row r="301" spans="1:20" ht="13" x14ac:dyDescent="0.15">
      <c r="A301" s="1" t="s">
        <v>912</v>
      </c>
      <c r="B301" s="1" t="s">
        <v>913</v>
      </c>
      <c r="C301" s="4" t="s">
        <v>914</v>
      </c>
      <c r="D301" s="1" t="s">
        <v>14</v>
      </c>
      <c r="E301" s="1">
        <v>29</v>
      </c>
      <c r="F301" s="1">
        <v>1</v>
      </c>
      <c r="G301" s="1">
        <v>1</v>
      </c>
      <c r="H301" s="1">
        <v>1</v>
      </c>
      <c r="I301" s="1">
        <v>1139</v>
      </c>
      <c r="J301" s="1">
        <v>1</v>
      </c>
      <c r="K301" s="1">
        <v>0</v>
      </c>
      <c r="L301" s="1"/>
      <c r="M301" s="1"/>
      <c r="N301" s="1"/>
      <c r="O301" s="1"/>
      <c r="P301" s="1"/>
      <c r="Q301" s="1"/>
      <c r="R301" s="1"/>
      <c r="S301" s="1"/>
      <c r="T301" s="1"/>
    </row>
    <row r="302" spans="1:20" ht="13" x14ac:dyDescent="0.15">
      <c r="A302" s="1" t="s">
        <v>915</v>
      </c>
      <c r="B302" s="1" t="s">
        <v>916</v>
      </c>
      <c r="C302" s="4" t="s">
        <v>917</v>
      </c>
      <c r="D302" s="1" t="s">
        <v>14</v>
      </c>
      <c r="E302" s="1">
        <v>35</v>
      </c>
      <c r="F302" s="1">
        <v>1</v>
      </c>
      <c r="G302" s="1">
        <v>1</v>
      </c>
      <c r="H302" s="1">
        <v>0</v>
      </c>
      <c r="I302" s="1">
        <v>1142</v>
      </c>
      <c r="J302" s="1">
        <v>0</v>
      </c>
      <c r="K302" s="1">
        <v>0</v>
      </c>
      <c r="L302" s="1"/>
      <c r="M302" s="1"/>
      <c r="N302" s="1"/>
      <c r="O302" s="1"/>
      <c r="P302" s="1"/>
      <c r="Q302" s="1"/>
      <c r="R302" s="1"/>
      <c r="S302" s="1"/>
      <c r="T302" s="1"/>
    </row>
    <row r="303" spans="1:20" ht="13" x14ac:dyDescent="0.15">
      <c r="A303" s="1" t="s">
        <v>918</v>
      </c>
      <c r="B303" s="1" t="s">
        <v>919</v>
      </c>
      <c r="C303" s="4" t="s">
        <v>920</v>
      </c>
      <c r="D303" s="1" t="s">
        <v>14</v>
      </c>
      <c r="E303" s="1">
        <v>26</v>
      </c>
      <c r="F303" s="1">
        <v>1</v>
      </c>
      <c r="G303" s="1">
        <v>1</v>
      </c>
      <c r="H303" s="1">
        <v>1</v>
      </c>
      <c r="I303" s="1">
        <v>376</v>
      </c>
      <c r="J303" s="1">
        <v>1</v>
      </c>
      <c r="K303" s="1">
        <v>1</v>
      </c>
      <c r="L303" s="1"/>
      <c r="M303" s="1"/>
      <c r="N303" s="1"/>
      <c r="O303" s="1"/>
      <c r="P303" s="1"/>
      <c r="Q303" s="1"/>
      <c r="R303" s="1"/>
      <c r="S303" s="1"/>
      <c r="T303" s="1"/>
    </row>
    <row r="304" spans="1:20" ht="13" x14ac:dyDescent="0.15">
      <c r="A304" s="1" t="s">
        <v>921</v>
      </c>
      <c r="B304" s="1" t="s">
        <v>922</v>
      </c>
      <c r="C304" s="4" t="s">
        <v>923</v>
      </c>
      <c r="D304" s="1" t="s">
        <v>14</v>
      </c>
      <c r="E304" s="1">
        <v>60</v>
      </c>
      <c r="F304" s="1">
        <v>1</v>
      </c>
      <c r="G304" s="1">
        <v>1</v>
      </c>
      <c r="H304" s="1">
        <v>0</v>
      </c>
      <c r="I304" s="1">
        <v>1440</v>
      </c>
      <c r="J304" s="1">
        <v>0</v>
      </c>
      <c r="K304" s="1">
        <v>0</v>
      </c>
      <c r="L304" s="1"/>
      <c r="M304" s="1"/>
      <c r="N304" s="1"/>
      <c r="O304" s="1"/>
      <c r="P304" s="1"/>
      <c r="Q304" s="1"/>
      <c r="R304" s="1"/>
      <c r="S304" s="1"/>
      <c r="T304" s="1"/>
    </row>
    <row r="305" spans="1:20" ht="13" x14ac:dyDescent="0.15">
      <c r="A305" s="1" t="s">
        <v>924</v>
      </c>
      <c r="B305" s="1" t="s">
        <v>925</v>
      </c>
      <c r="C305" s="4" t="s">
        <v>926</v>
      </c>
      <c r="D305" s="1" t="s">
        <v>14</v>
      </c>
      <c r="E305" s="1">
        <v>17</v>
      </c>
      <c r="F305" s="1">
        <v>1</v>
      </c>
      <c r="G305" s="1">
        <v>0</v>
      </c>
      <c r="H305" s="1">
        <v>1</v>
      </c>
      <c r="I305" s="1">
        <v>1299</v>
      </c>
      <c r="J305" s="1">
        <v>1</v>
      </c>
      <c r="K305" s="1">
        <v>0</v>
      </c>
      <c r="L305" s="1"/>
      <c r="M305" s="1"/>
      <c r="N305" s="1"/>
      <c r="O305" s="1"/>
      <c r="P305" s="1"/>
      <c r="Q305" s="1"/>
      <c r="R305" s="1"/>
      <c r="S305" s="1"/>
      <c r="T305" s="1"/>
    </row>
    <row r="306" spans="1:20" ht="13" x14ac:dyDescent="0.15">
      <c r="A306" s="1" t="s">
        <v>927</v>
      </c>
      <c r="B306" s="1" t="s">
        <v>928</v>
      </c>
      <c r="C306" s="4" t="s">
        <v>929</v>
      </c>
      <c r="D306" s="1" t="s">
        <v>14</v>
      </c>
      <c r="E306" s="1">
        <v>58</v>
      </c>
      <c r="F306" s="1">
        <v>1</v>
      </c>
      <c r="G306" s="1">
        <v>1</v>
      </c>
      <c r="H306" s="1">
        <v>1</v>
      </c>
      <c r="I306" s="1">
        <v>482</v>
      </c>
      <c r="J306" s="1">
        <v>1</v>
      </c>
      <c r="K306" s="1">
        <v>1</v>
      </c>
      <c r="L306" s="1"/>
      <c r="M306" s="1"/>
      <c r="N306" s="1"/>
      <c r="O306" s="1"/>
      <c r="P306" s="1"/>
      <c r="Q306" s="1"/>
      <c r="R306" s="1"/>
      <c r="S306" s="1"/>
      <c r="T306" s="1"/>
    </row>
    <row r="307" spans="1:20" ht="13" x14ac:dyDescent="0.15">
      <c r="A307" s="1" t="s">
        <v>930</v>
      </c>
      <c r="B307" s="1" t="s">
        <v>931</v>
      </c>
      <c r="C307" s="4" t="s">
        <v>932</v>
      </c>
      <c r="D307" s="1" t="s">
        <v>14</v>
      </c>
      <c r="E307" s="1">
        <v>49</v>
      </c>
      <c r="F307" s="1">
        <v>1</v>
      </c>
      <c r="G307" s="1">
        <v>0</v>
      </c>
      <c r="H307" s="1">
        <v>0</v>
      </c>
      <c r="I307" s="1">
        <v>418</v>
      </c>
      <c r="J307" s="1">
        <v>0</v>
      </c>
      <c r="K307" s="1">
        <v>1</v>
      </c>
      <c r="L307" s="1"/>
      <c r="M307" s="1"/>
      <c r="N307" s="1"/>
      <c r="O307" s="1"/>
      <c r="P307" s="1"/>
      <c r="Q307" s="1"/>
      <c r="R307" s="1"/>
      <c r="S307" s="1"/>
      <c r="T307" s="1"/>
    </row>
    <row r="308" spans="1:20" ht="13" x14ac:dyDescent="0.15">
      <c r="A308" s="1" t="s">
        <v>933</v>
      </c>
      <c r="B308" s="1" t="s">
        <v>934</v>
      </c>
      <c r="C308" s="4" t="s">
        <v>935</v>
      </c>
      <c r="D308" s="1" t="s">
        <v>14</v>
      </c>
      <c r="E308" s="1">
        <v>42</v>
      </c>
      <c r="F308" s="1">
        <v>1</v>
      </c>
      <c r="G308" s="1">
        <v>1</v>
      </c>
      <c r="H308" s="1">
        <v>0</v>
      </c>
      <c r="I308" s="1">
        <v>418</v>
      </c>
      <c r="J308" s="1">
        <v>1</v>
      </c>
      <c r="K308" s="1">
        <v>1</v>
      </c>
      <c r="L308" s="1"/>
      <c r="M308" s="1"/>
      <c r="N308" s="1"/>
      <c r="O308" s="1"/>
      <c r="P308" s="1"/>
      <c r="Q308" s="1"/>
      <c r="R308" s="1"/>
      <c r="S308" s="1"/>
      <c r="T308" s="1"/>
    </row>
    <row r="309" spans="1:20" ht="13" x14ac:dyDescent="0.15">
      <c r="A309" s="1" t="s">
        <v>936</v>
      </c>
      <c r="B309" s="1" t="s">
        <v>937</v>
      </c>
      <c r="C309" s="4" t="s">
        <v>938</v>
      </c>
      <c r="D309" s="1" t="s">
        <v>14</v>
      </c>
      <c r="E309" s="1">
        <v>36</v>
      </c>
      <c r="F309" s="1">
        <v>1</v>
      </c>
      <c r="G309" s="1">
        <v>0</v>
      </c>
      <c r="H309" s="1">
        <v>0</v>
      </c>
      <c r="I309" s="1">
        <v>1084</v>
      </c>
      <c r="J309" s="1">
        <v>1</v>
      </c>
      <c r="K309" s="1">
        <v>1</v>
      </c>
      <c r="L309" s="1"/>
      <c r="M309" s="1"/>
      <c r="N309" s="1"/>
      <c r="O309" s="1"/>
      <c r="P309" s="1"/>
      <c r="Q309" s="1"/>
      <c r="R309" s="1"/>
      <c r="S309" s="1"/>
      <c r="T309" s="1"/>
    </row>
    <row r="310" spans="1:20" ht="13" x14ac:dyDescent="0.15">
      <c r="A310" s="1" t="s">
        <v>939</v>
      </c>
      <c r="B310" s="1" t="s">
        <v>940</v>
      </c>
      <c r="C310" s="4" t="s">
        <v>941</v>
      </c>
      <c r="D310" s="1" t="s">
        <v>14</v>
      </c>
      <c r="E310" s="1">
        <v>56</v>
      </c>
      <c r="F310" s="1">
        <v>2</v>
      </c>
      <c r="G310" s="1">
        <v>1</v>
      </c>
      <c r="H310" s="1">
        <v>0</v>
      </c>
      <c r="I310" s="1">
        <v>1167</v>
      </c>
      <c r="J310" s="1">
        <v>0</v>
      </c>
      <c r="K310" s="1">
        <v>0</v>
      </c>
      <c r="L310" s="1"/>
      <c r="M310" s="1"/>
      <c r="N310" s="1"/>
      <c r="O310" s="1"/>
      <c r="P310" s="1"/>
      <c r="Q310" s="1"/>
      <c r="R310" s="1"/>
      <c r="S310" s="1"/>
      <c r="T310" s="1"/>
    </row>
    <row r="311" spans="1:20" ht="13" x14ac:dyDescent="0.15">
      <c r="A311" s="1" t="s">
        <v>942</v>
      </c>
      <c r="B311" s="1" t="s">
        <v>943</v>
      </c>
      <c r="C311" s="4" t="s">
        <v>944</v>
      </c>
      <c r="D311" s="1" t="s">
        <v>14</v>
      </c>
      <c r="E311" s="1">
        <v>81</v>
      </c>
      <c r="F311" s="1">
        <v>1</v>
      </c>
      <c r="G311" s="1">
        <v>0</v>
      </c>
      <c r="H311" s="1">
        <v>0</v>
      </c>
      <c r="I311" s="1">
        <v>421</v>
      </c>
      <c r="J311" s="1">
        <v>0</v>
      </c>
      <c r="K311" s="1">
        <v>0</v>
      </c>
      <c r="L311" s="1"/>
      <c r="M311" s="1"/>
      <c r="N311" s="1"/>
      <c r="O311" s="1"/>
      <c r="P311" s="1"/>
      <c r="Q311" s="1"/>
      <c r="R311" s="1"/>
      <c r="S311" s="1"/>
      <c r="T311" s="1"/>
    </row>
    <row r="312" spans="1:20" ht="13" x14ac:dyDescent="0.15">
      <c r="A312" s="1" t="s">
        <v>945</v>
      </c>
      <c r="B312" s="1" t="s">
        <v>946</v>
      </c>
      <c r="C312" s="4" t="s">
        <v>947</v>
      </c>
      <c r="D312" s="1" t="s">
        <v>14</v>
      </c>
      <c r="E312" s="1">
        <v>71</v>
      </c>
      <c r="F312" s="1">
        <v>1</v>
      </c>
      <c r="G312" s="1">
        <v>1</v>
      </c>
      <c r="H312" s="1">
        <v>0</v>
      </c>
      <c r="I312" s="1">
        <v>809</v>
      </c>
      <c r="J312" s="1">
        <v>0</v>
      </c>
      <c r="K312" s="1">
        <v>1</v>
      </c>
      <c r="L312" s="1"/>
      <c r="M312" s="1"/>
      <c r="N312" s="1"/>
      <c r="O312" s="1"/>
      <c r="P312" s="1"/>
      <c r="Q312" s="1"/>
      <c r="R312" s="1"/>
      <c r="S312" s="1"/>
      <c r="T312" s="1"/>
    </row>
    <row r="313" spans="1:20" ht="13" x14ac:dyDescent="0.15">
      <c r="A313" s="1" t="s">
        <v>948</v>
      </c>
      <c r="B313" s="1" t="s">
        <v>949</v>
      </c>
      <c r="C313" s="4" t="s">
        <v>950</v>
      </c>
      <c r="D313" s="1" t="s">
        <v>14</v>
      </c>
      <c r="E313" s="1">
        <v>33</v>
      </c>
      <c r="F313" s="1">
        <v>1</v>
      </c>
      <c r="G313" s="1">
        <v>1</v>
      </c>
      <c r="H313" s="1">
        <v>1</v>
      </c>
      <c r="I313" s="1">
        <v>1366</v>
      </c>
      <c r="J313" s="1">
        <v>1</v>
      </c>
      <c r="K313" s="1">
        <v>0</v>
      </c>
      <c r="L313" s="1"/>
      <c r="M313" s="1"/>
      <c r="N313" s="1"/>
      <c r="O313" s="1"/>
      <c r="P313" s="1"/>
      <c r="Q313" s="1"/>
      <c r="R313" s="1"/>
      <c r="S313" s="1"/>
      <c r="T313" s="1"/>
    </row>
    <row r="314" spans="1:20" ht="13" x14ac:dyDescent="0.15">
      <c r="A314" s="1" t="s">
        <v>951</v>
      </c>
      <c r="B314" s="1" t="s">
        <v>952</v>
      </c>
      <c r="C314" s="4" t="s">
        <v>953</v>
      </c>
      <c r="D314" s="1" t="s">
        <v>14</v>
      </c>
      <c r="E314" s="1">
        <v>47</v>
      </c>
      <c r="F314" s="1">
        <v>1</v>
      </c>
      <c r="G314" s="1">
        <v>1</v>
      </c>
      <c r="H314" s="1">
        <v>0</v>
      </c>
      <c r="I314" s="1">
        <v>483</v>
      </c>
      <c r="J314" s="1">
        <v>0</v>
      </c>
      <c r="K314" s="1">
        <v>0</v>
      </c>
      <c r="L314" s="1"/>
      <c r="M314" s="1"/>
      <c r="N314" s="1"/>
      <c r="O314" s="1"/>
      <c r="P314" s="1"/>
      <c r="Q314" s="1"/>
      <c r="R314" s="1"/>
      <c r="S314" s="1"/>
      <c r="T314" s="1"/>
    </row>
    <row r="315" spans="1:20" ht="13" x14ac:dyDescent="0.15">
      <c r="A315" s="1" t="s">
        <v>954</v>
      </c>
      <c r="B315" s="1" t="s">
        <v>955</v>
      </c>
      <c r="C315" s="4" t="s">
        <v>956</v>
      </c>
      <c r="D315" s="1" t="s">
        <v>14</v>
      </c>
      <c r="E315" s="1">
        <v>71</v>
      </c>
      <c r="F315" s="1">
        <v>1</v>
      </c>
      <c r="G315" s="1">
        <v>0</v>
      </c>
      <c r="H315" s="1">
        <v>0</v>
      </c>
      <c r="I315" s="1">
        <v>494</v>
      </c>
      <c r="J315" s="1">
        <v>0</v>
      </c>
      <c r="K315" s="1">
        <v>1</v>
      </c>
      <c r="L315" s="1"/>
      <c r="M315" s="1"/>
      <c r="N315" s="1"/>
      <c r="O315" s="1"/>
      <c r="P315" s="1"/>
      <c r="Q315" s="1"/>
      <c r="R315" s="1"/>
      <c r="S315" s="1"/>
      <c r="T315" s="1"/>
    </row>
    <row r="316" spans="1:20" ht="13" x14ac:dyDescent="0.15">
      <c r="A316" s="1" t="s">
        <v>957</v>
      </c>
      <c r="B316" s="1" t="s">
        <v>958</v>
      </c>
      <c r="C316" s="4" t="s">
        <v>959</v>
      </c>
      <c r="D316" s="1" t="s">
        <v>14</v>
      </c>
      <c r="E316" s="1">
        <v>76</v>
      </c>
      <c r="F316" s="1">
        <v>1</v>
      </c>
      <c r="G316" s="1">
        <v>0</v>
      </c>
      <c r="H316" s="1">
        <v>0</v>
      </c>
      <c r="I316" s="1">
        <v>410</v>
      </c>
      <c r="J316" s="1">
        <v>0</v>
      </c>
      <c r="K316" s="1">
        <v>0</v>
      </c>
      <c r="L316" s="1"/>
      <c r="M316" s="1"/>
      <c r="N316" s="1"/>
      <c r="O316" s="1"/>
      <c r="P316" s="1"/>
      <c r="Q316" s="1"/>
      <c r="R316" s="1"/>
      <c r="S316" s="1"/>
      <c r="T316" s="1"/>
    </row>
    <row r="317" spans="1:20" ht="13" x14ac:dyDescent="0.15">
      <c r="A317" s="1" t="s">
        <v>960</v>
      </c>
      <c r="B317" s="1" t="s">
        <v>961</v>
      </c>
      <c r="C317" s="4" t="s">
        <v>962</v>
      </c>
      <c r="D317" s="1" t="s">
        <v>14</v>
      </c>
      <c r="E317" s="1">
        <v>53</v>
      </c>
      <c r="F317" s="1">
        <v>1</v>
      </c>
      <c r="G317" s="1">
        <v>1</v>
      </c>
      <c r="H317" s="1">
        <v>0</v>
      </c>
      <c r="I317" s="1">
        <v>1296</v>
      </c>
      <c r="J317" s="1">
        <v>0</v>
      </c>
      <c r="K317" s="1">
        <v>0</v>
      </c>
      <c r="L317" s="1"/>
      <c r="M317" s="1"/>
      <c r="N317" s="1"/>
      <c r="O317" s="1"/>
      <c r="P317" s="1"/>
      <c r="Q317" s="1"/>
      <c r="R317" s="1"/>
      <c r="S317" s="1"/>
      <c r="T317" s="1"/>
    </row>
    <row r="318" spans="1:20" ht="13" x14ac:dyDescent="0.15">
      <c r="A318" s="1" t="s">
        <v>963</v>
      </c>
      <c r="B318" s="1" t="s">
        <v>964</v>
      </c>
      <c r="C318" s="4" t="s">
        <v>965</v>
      </c>
      <c r="D318" s="1" t="s">
        <v>14</v>
      </c>
      <c r="E318" s="1">
        <v>36</v>
      </c>
      <c r="F318" s="1">
        <v>2</v>
      </c>
      <c r="G318" s="1">
        <v>1</v>
      </c>
      <c r="H318" s="1">
        <v>0</v>
      </c>
      <c r="I318" s="1">
        <v>868</v>
      </c>
      <c r="J318" s="1">
        <v>0</v>
      </c>
      <c r="K318" s="1">
        <v>1</v>
      </c>
      <c r="L318" s="1"/>
      <c r="M318" s="1"/>
      <c r="N318" s="1"/>
      <c r="O318" s="1"/>
      <c r="P318" s="1"/>
      <c r="Q318" s="1"/>
      <c r="R318" s="1"/>
      <c r="S318" s="1"/>
      <c r="T318" s="1"/>
    </row>
    <row r="319" spans="1:20" ht="13" x14ac:dyDescent="0.15">
      <c r="A319" s="1" t="s">
        <v>966</v>
      </c>
      <c r="B319" s="1" t="s">
        <v>967</v>
      </c>
      <c r="C319" s="4" t="s">
        <v>968</v>
      </c>
      <c r="D319" s="1" t="s">
        <v>14</v>
      </c>
      <c r="E319" s="1">
        <v>62</v>
      </c>
      <c r="F319" s="1">
        <v>2</v>
      </c>
      <c r="G319" s="1">
        <v>1</v>
      </c>
      <c r="H319" s="1">
        <v>0</v>
      </c>
      <c r="I319" s="1">
        <v>416</v>
      </c>
      <c r="J319" s="1">
        <v>1</v>
      </c>
      <c r="K319" s="1">
        <v>0</v>
      </c>
      <c r="L319" s="1"/>
      <c r="M319" s="1"/>
      <c r="N319" s="1"/>
      <c r="O319" s="1"/>
      <c r="P319" s="1"/>
      <c r="Q319" s="1"/>
      <c r="R319" s="1"/>
      <c r="S319" s="1"/>
      <c r="T319" s="1"/>
    </row>
    <row r="320" spans="1:20" ht="13" x14ac:dyDescent="0.15">
      <c r="A320" s="1" t="s">
        <v>969</v>
      </c>
      <c r="B320" s="1" t="s">
        <v>970</v>
      </c>
      <c r="C320" s="4" t="s">
        <v>971</v>
      </c>
      <c r="D320" s="1" t="s">
        <v>14</v>
      </c>
      <c r="E320" s="1">
        <v>80</v>
      </c>
      <c r="F320" s="1">
        <v>1</v>
      </c>
      <c r="G320" s="1">
        <v>1</v>
      </c>
      <c r="H320" s="1">
        <v>0</v>
      </c>
      <c r="I320" s="1">
        <v>72</v>
      </c>
      <c r="J320" s="1">
        <v>0</v>
      </c>
      <c r="K320" s="1">
        <v>1</v>
      </c>
      <c r="L320" s="1"/>
      <c r="M320" s="1"/>
      <c r="N320" s="1"/>
      <c r="O320" s="1"/>
      <c r="P320" s="1"/>
      <c r="Q320" s="1"/>
      <c r="R320" s="1"/>
      <c r="S320" s="1"/>
      <c r="T320" s="1"/>
    </row>
    <row r="321" spans="1:20" ht="13" x14ac:dyDescent="0.15">
      <c r="A321" s="1" t="s">
        <v>972</v>
      </c>
      <c r="B321" s="1" t="s">
        <v>973</v>
      </c>
      <c r="C321" s="4" t="s">
        <v>974</v>
      </c>
      <c r="D321" s="1" t="s">
        <v>14</v>
      </c>
      <c r="E321" s="1">
        <v>81</v>
      </c>
      <c r="F321" s="1">
        <v>1</v>
      </c>
      <c r="G321" s="1">
        <v>1</v>
      </c>
      <c r="H321" s="1">
        <v>0</v>
      </c>
      <c r="I321" s="1">
        <v>91</v>
      </c>
      <c r="J321" s="1">
        <v>1</v>
      </c>
      <c r="K321" s="1">
        <v>1</v>
      </c>
      <c r="L321" s="1"/>
      <c r="M321" s="1"/>
      <c r="N321" s="1"/>
      <c r="O321" s="1"/>
      <c r="P321" s="1"/>
      <c r="Q321" s="1"/>
      <c r="R321" s="1"/>
      <c r="S321" s="1"/>
      <c r="T321" s="1"/>
    </row>
    <row r="322" spans="1:20" ht="13" x14ac:dyDescent="0.15">
      <c r="A322" s="1" t="s">
        <v>975</v>
      </c>
      <c r="B322" s="1" t="s">
        <v>976</v>
      </c>
      <c r="C322" s="4" t="s">
        <v>977</v>
      </c>
      <c r="D322" s="1" t="s">
        <v>14</v>
      </c>
      <c r="E322" s="1">
        <v>76</v>
      </c>
      <c r="F322" s="1">
        <v>1</v>
      </c>
      <c r="G322" s="1">
        <v>1</v>
      </c>
      <c r="H322" s="1">
        <v>0</v>
      </c>
      <c r="I322" s="1">
        <v>39</v>
      </c>
      <c r="J322" s="1">
        <v>0</v>
      </c>
      <c r="K322" s="1">
        <v>1</v>
      </c>
      <c r="L322" s="1"/>
      <c r="M322" s="1"/>
      <c r="N322" s="1"/>
      <c r="O322" s="1"/>
      <c r="P322" s="1"/>
      <c r="Q322" s="1"/>
      <c r="R322" s="1"/>
      <c r="S322" s="1"/>
      <c r="T322" s="1"/>
    </row>
    <row r="323" spans="1:20" ht="13" x14ac:dyDescent="0.15">
      <c r="A323" s="1" t="s">
        <v>978</v>
      </c>
      <c r="B323" s="1" t="s">
        <v>979</v>
      </c>
      <c r="C323" s="4" t="s">
        <v>980</v>
      </c>
      <c r="D323" s="1" t="s">
        <v>14</v>
      </c>
      <c r="E323" s="1">
        <v>89</v>
      </c>
      <c r="F323" s="1">
        <v>2</v>
      </c>
      <c r="G323" s="1">
        <v>0</v>
      </c>
      <c r="H323" s="1">
        <v>0</v>
      </c>
      <c r="I323" s="1">
        <v>203</v>
      </c>
      <c r="J323" s="1">
        <v>1</v>
      </c>
      <c r="K323" s="1">
        <v>1</v>
      </c>
      <c r="L323" s="1"/>
      <c r="M323" s="1"/>
      <c r="N323" s="1"/>
      <c r="O323" s="1"/>
      <c r="P323" s="1"/>
      <c r="Q323" s="1"/>
      <c r="R323" s="1"/>
      <c r="S323" s="1"/>
      <c r="T323" s="1"/>
    </row>
    <row r="324" spans="1:20" ht="13" x14ac:dyDescent="0.15">
      <c r="A324" s="1" t="s">
        <v>981</v>
      </c>
      <c r="B324" s="1" t="s">
        <v>982</v>
      </c>
      <c r="C324" s="4" t="s">
        <v>983</v>
      </c>
      <c r="D324" s="1" t="s">
        <v>14</v>
      </c>
      <c r="E324" s="1">
        <v>58</v>
      </c>
      <c r="F324" s="1">
        <v>2</v>
      </c>
      <c r="G324" s="1">
        <v>1</v>
      </c>
      <c r="H324" s="1">
        <v>0</v>
      </c>
      <c r="I324" s="1">
        <v>624</v>
      </c>
      <c r="J324" s="1">
        <v>0</v>
      </c>
      <c r="K324" s="1">
        <v>1</v>
      </c>
      <c r="L324" s="1"/>
      <c r="M324" s="1"/>
      <c r="N324" s="1"/>
      <c r="O324" s="1"/>
      <c r="P324" s="1"/>
      <c r="Q324" s="1"/>
      <c r="R324" s="1"/>
      <c r="S324" s="1"/>
      <c r="T324" s="1"/>
    </row>
    <row r="325" spans="1:20" ht="13" x14ac:dyDescent="0.15">
      <c r="A325" s="1" t="s">
        <v>984</v>
      </c>
      <c r="B325" s="1" t="s">
        <v>985</v>
      </c>
      <c r="C325" s="4" t="s">
        <v>986</v>
      </c>
      <c r="D325" s="1" t="s">
        <v>14</v>
      </c>
      <c r="E325" s="1">
        <v>60</v>
      </c>
      <c r="F325" s="1">
        <v>1</v>
      </c>
      <c r="G325" s="1">
        <v>1</v>
      </c>
      <c r="H325" s="1">
        <v>0</v>
      </c>
      <c r="I325" s="1">
        <v>230</v>
      </c>
      <c r="J325" s="1">
        <v>0</v>
      </c>
      <c r="K325" s="1">
        <v>1</v>
      </c>
      <c r="L325" s="1"/>
      <c r="M325" s="1"/>
      <c r="N325" s="1"/>
      <c r="O325" s="1"/>
      <c r="P325" s="1"/>
      <c r="Q325" s="1"/>
      <c r="R325" s="1"/>
      <c r="S325" s="1"/>
      <c r="T325" s="1"/>
    </row>
    <row r="326" spans="1:20" ht="13" x14ac:dyDescent="0.15">
      <c r="A326" s="1" t="s">
        <v>987</v>
      </c>
      <c r="B326" s="1" t="s">
        <v>988</v>
      </c>
      <c r="C326" s="4" t="s">
        <v>989</v>
      </c>
      <c r="D326" s="1" t="s">
        <v>14</v>
      </c>
      <c r="E326" s="1">
        <v>57</v>
      </c>
      <c r="F326" s="1">
        <v>1</v>
      </c>
      <c r="G326" s="1">
        <v>1</v>
      </c>
      <c r="H326" s="1">
        <v>0</v>
      </c>
      <c r="I326" s="1">
        <v>142</v>
      </c>
      <c r="J326" s="1">
        <v>1</v>
      </c>
      <c r="K326" s="1">
        <v>1</v>
      </c>
      <c r="L326" s="1"/>
      <c r="M326" s="1"/>
      <c r="N326" s="1"/>
      <c r="O326" s="1"/>
      <c r="P326" s="1"/>
      <c r="Q326" s="1"/>
      <c r="R326" s="1"/>
      <c r="S326" s="1"/>
      <c r="T326" s="1"/>
    </row>
    <row r="327" spans="1:20" ht="13" x14ac:dyDescent="0.15">
      <c r="A327" s="1" t="s">
        <v>990</v>
      </c>
      <c r="B327" s="1" t="s">
        <v>991</v>
      </c>
      <c r="C327" s="4" t="s">
        <v>992</v>
      </c>
      <c r="D327" s="1" t="s">
        <v>14</v>
      </c>
      <c r="E327" s="1">
        <v>74</v>
      </c>
      <c r="F327" s="1">
        <v>1</v>
      </c>
      <c r="G327" s="1">
        <v>0</v>
      </c>
      <c r="H327" s="1">
        <v>0</v>
      </c>
      <c r="I327" s="1">
        <v>126</v>
      </c>
      <c r="J327" s="1">
        <v>0</v>
      </c>
      <c r="K327" s="1">
        <v>0</v>
      </c>
      <c r="L327" s="1"/>
      <c r="M327" s="1"/>
      <c r="N327" s="1"/>
      <c r="O327" s="1"/>
      <c r="P327" s="1"/>
      <c r="Q327" s="1"/>
      <c r="R327" s="1"/>
      <c r="S327" s="1"/>
      <c r="T327" s="1"/>
    </row>
    <row r="328" spans="1:20" ht="13" x14ac:dyDescent="0.15">
      <c r="A328" s="1" t="s">
        <v>993</v>
      </c>
      <c r="B328" s="1" t="s">
        <v>994</v>
      </c>
      <c r="C328" s="4" t="s">
        <v>995</v>
      </c>
      <c r="D328" s="1" t="s">
        <v>14</v>
      </c>
      <c r="E328" s="1">
        <v>75</v>
      </c>
      <c r="F328" s="1">
        <v>2</v>
      </c>
      <c r="G328" s="1">
        <v>1</v>
      </c>
      <c r="H328" s="1">
        <v>0</v>
      </c>
      <c r="I328" s="1">
        <v>10</v>
      </c>
      <c r="J328" s="1">
        <v>1</v>
      </c>
      <c r="K328" s="1">
        <v>0</v>
      </c>
      <c r="L328" s="1"/>
      <c r="M328" s="1"/>
      <c r="N328" s="1"/>
      <c r="O328" s="1"/>
      <c r="P328" s="1"/>
      <c r="Q328" s="1"/>
      <c r="R328" s="1"/>
      <c r="S328" s="1"/>
      <c r="T328" s="1"/>
    </row>
    <row r="329" spans="1:20" ht="13" x14ac:dyDescent="0.15">
      <c r="A329" s="1" t="s">
        <v>996</v>
      </c>
      <c r="B329" s="1" t="s">
        <v>997</v>
      </c>
      <c r="C329" s="4" t="s">
        <v>998</v>
      </c>
      <c r="D329" s="1" t="s">
        <v>14</v>
      </c>
      <c r="E329" s="1">
        <v>34</v>
      </c>
      <c r="F329" s="1">
        <v>1</v>
      </c>
      <c r="G329" s="1">
        <v>1</v>
      </c>
      <c r="H329" s="1">
        <v>1</v>
      </c>
      <c r="I329" s="1">
        <v>112</v>
      </c>
      <c r="J329" s="1">
        <v>0</v>
      </c>
      <c r="K329" s="1">
        <v>0</v>
      </c>
      <c r="L329" s="1"/>
      <c r="M329" s="1"/>
      <c r="N329" s="1"/>
      <c r="O329" s="1"/>
      <c r="P329" s="1"/>
      <c r="Q329" s="1"/>
      <c r="R329" s="1"/>
      <c r="S329" s="1"/>
      <c r="T329" s="1"/>
    </row>
    <row r="330" spans="1:20" ht="13" x14ac:dyDescent="0.15">
      <c r="A330" s="1" t="s">
        <v>999</v>
      </c>
      <c r="B330" s="1" t="s">
        <v>1000</v>
      </c>
      <c r="C330" s="4" t="s">
        <v>1001</v>
      </c>
      <c r="D330" s="1" t="s">
        <v>14</v>
      </c>
      <c r="E330" s="1">
        <v>63</v>
      </c>
      <c r="F330" s="1">
        <v>2</v>
      </c>
      <c r="G330" s="1">
        <v>0</v>
      </c>
      <c r="H330" s="1">
        <v>0</v>
      </c>
      <c r="I330" s="1">
        <v>262</v>
      </c>
      <c r="J330" s="1">
        <v>0</v>
      </c>
      <c r="K330" s="1">
        <v>0</v>
      </c>
      <c r="L330" s="1"/>
      <c r="M330" s="1"/>
      <c r="N330" s="1"/>
      <c r="O330" s="1"/>
      <c r="P330" s="1"/>
      <c r="Q330" s="1"/>
      <c r="R330" s="1"/>
      <c r="S330" s="1"/>
      <c r="T330" s="1"/>
    </row>
    <row r="331" spans="1:20" ht="13" x14ac:dyDescent="0.15">
      <c r="A331" s="1" t="s">
        <v>1002</v>
      </c>
      <c r="B331" s="1" t="s">
        <v>1003</v>
      </c>
      <c r="C331" s="4" t="s">
        <v>1004</v>
      </c>
      <c r="D331" s="1" t="s">
        <v>14</v>
      </c>
      <c r="E331" s="1">
        <v>75</v>
      </c>
      <c r="F331" s="1">
        <v>1</v>
      </c>
      <c r="G331" s="1">
        <v>1</v>
      </c>
      <c r="H331" s="1">
        <v>0</v>
      </c>
      <c r="I331" s="1">
        <v>96</v>
      </c>
      <c r="J331" s="1">
        <v>1</v>
      </c>
      <c r="K331" s="1">
        <v>1</v>
      </c>
      <c r="L331" s="1"/>
      <c r="M331" s="1"/>
      <c r="N331" s="1"/>
      <c r="O331" s="1"/>
      <c r="P331" s="1"/>
      <c r="Q331" s="1"/>
      <c r="R331" s="1"/>
      <c r="S331" s="1"/>
      <c r="T331" s="1"/>
    </row>
    <row r="332" spans="1:20" ht="13" x14ac:dyDescent="0.15">
      <c r="A332" s="1" t="s">
        <v>1005</v>
      </c>
      <c r="B332" s="1" t="s">
        <v>1006</v>
      </c>
      <c r="C332" s="4" t="s">
        <v>1007</v>
      </c>
      <c r="D332" s="1" t="s">
        <v>14</v>
      </c>
      <c r="E332" s="1">
        <v>75</v>
      </c>
      <c r="F332" s="1">
        <v>1</v>
      </c>
      <c r="G332" s="1">
        <v>1</v>
      </c>
      <c r="H332" s="1">
        <v>0</v>
      </c>
      <c r="I332" s="1">
        <v>169</v>
      </c>
      <c r="J332" s="1">
        <v>1</v>
      </c>
      <c r="K332" s="1">
        <v>1</v>
      </c>
      <c r="L332" s="1"/>
      <c r="M332" s="1"/>
      <c r="N332" s="1"/>
      <c r="O332" s="1"/>
      <c r="P332" s="1"/>
      <c r="Q332" s="1"/>
      <c r="R332" s="1"/>
      <c r="S332" s="1"/>
      <c r="T332" s="1"/>
    </row>
    <row r="333" spans="1:20" ht="13" x14ac:dyDescent="0.15">
      <c r="A333" s="1" t="s">
        <v>1008</v>
      </c>
      <c r="B333" s="1" t="s">
        <v>1009</v>
      </c>
      <c r="C333" s="4" t="s">
        <v>1010</v>
      </c>
      <c r="D333" s="1" t="s">
        <v>14</v>
      </c>
      <c r="E333" s="1">
        <v>65</v>
      </c>
      <c r="F333" s="1">
        <v>1</v>
      </c>
      <c r="G333" s="1">
        <v>1</v>
      </c>
      <c r="H333" s="1">
        <v>0</v>
      </c>
      <c r="I333" s="1">
        <v>249</v>
      </c>
      <c r="J333" s="1">
        <v>1</v>
      </c>
      <c r="K333" s="1">
        <v>0</v>
      </c>
      <c r="L333" s="1"/>
      <c r="M333" s="1"/>
      <c r="N333" s="1"/>
      <c r="O333" s="1"/>
      <c r="P333" s="1"/>
      <c r="Q333" s="1"/>
      <c r="R333" s="1"/>
      <c r="S333" s="1"/>
      <c r="T333" s="1"/>
    </row>
    <row r="334" spans="1:20" ht="13" x14ac:dyDescent="0.15">
      <c r="A334" s="1" t="s">
        <v>1011</v>
      </c>
      <c r="B334" s="1" t="s">
        <v>1012</v>
      </c>
      <c r="C334" s="4" t="s">
        <v>1013</v>
      </c>
      <c r="D334" s="1" t="s">
        <v>14</v>
      </c>
      <c r="E334" s="1">
        <v>52</v>
      </c>
      <c r="F334" s="1">
        <v>1</v>
      </c>
      <c r="G334" s="1">
        <v>1</v>
      </c>
      <c r="H334" s="1">
        <v>0</v>
      </c>
      <c r="I334" s="1">
        <v>657</v>
      </c>
      <c r="J334" s="1">
        <v>1</v>
      </c>
      <c r="K334" s="1">
        <v>1</v>
      </c>
      <c r="L334" s="1"/>
      <c r="M334" s="1"/>
      <c r="N334" s="1"/>
      <c r="O334" s="1"/>
      <c r="P334" s="1"/>
      <c r="Q334" s="1"/>
      <c r="R334" s="1"/>
      <c r="S334" s="1"/>
      <c r="T334" s="1"/>
    </row>
    <row r="335" spans="1:20" ht="13" x14ac:dyDescent="0.15">
      <c r="A335" s="1" t="s">
        <v>1014</v>
      </c>
      <c r="B335" s="1" t="s">
        <v>1015</v>
      </c>
      <c r="C335" s="4" t="s">
        <v>1016</v>
      </c>
      <c r="D335" s="1" t="s">
        <v>14</v>
      </c>
      <c r="E335" s="1">
        <v>68</v>
      </c>
      <c r="F335" s="1">
        <v>2</v>
      </c>
      <c r="G335" s="1">
        <v>1</v>
      </c>
      <c r="H335" s="1">
        <v>0</v>
      </c>
      <c r="I335" s="1">
        <v>92</v>
      </c>
      <c r="J335" s="1">
        <v>0</v>
      </c>
      <c r="K335" s="1">
        <v>0</v>
      </c>
      <c r="L335" s="1"/>
      <c r="M335" s="1"/>
      <c r="N335" s="1"/>
      <c r="O335" s="1"/>
      <c r="P335" s="1"/>
      <c r="Q335" s="1"/>
      <c r="R335" s="1"/>
      <c r="S335" s="1"/>
      <c r="T335" s="1"/>
    </row>
    <row r="336" spans="1:20" ht="13" x14ac:dyDescent="0.15">
      <c r="A336" s="1" t="s">
        <v>1017</v>
      </c>
      <c r="B336" s="1" t="s">
        <v>1018</v>
      </c>
      <c r="C336" s="4" t="s">
        <v>1019</v>
      </c>
      <c r="D336" s="1" t="s">
        <v>14</v>
      </c>
      <c r="E336" s="1">
        <v>36</v>
      </c>
      <c r="F336" s="1">
        <v>1</v>
      </c>
      <c r="G336" s="1">
        <v>1</v>
      </c>
      <c r="H336" s="1">
        <v>1</v>
      </c>
      <c r="I336" s="1">
        <v>21</v>
      </c>
      <c r="J336" s="1">
        <v>1</v>
      </c>
      <c r="K336" s="1">
        <v>0</v>
      </c>
      <c r="L336" s="1"/>
      <c r="M336" s="1"/>
      <c r="N336" s="1"/>
      <c r="O336" s="1"/>
      <c r="P336" s="1"/>
      <c r="Q336" s="1"/>
      <c r="R336" s="1"/>
      <c r="S336" s="1"/>
      <c r="T336" s="1"/>
    </row>
    <row r="337" spans="1:20" ht="13" x14ac:dyDescent="0.15">
      <c r="A337" s="1" t="s">
        <v>1020</v>
      </c>
      <c r="B337" s="1" t="s">
        <v>1021</v>
      </c>
      <c r="C337" s="4" t="s">
        <v>1022</v>
      </c>
      <c r="D337" s="1" t="s">
        <v>14</v>
      </c>
      <c r="E337" s="1">
        <v>76</v>
      </c>
      <c r="F337" s="1">
        <v>2</v>
      </c>
      <c r="G337" s="1">
        <v>1</v>
      </c>
      <c r="H337" s="1">
        <v>0</v>
      </c>
      <c r="I337" s="1">
        <v>38</v>
      </c>
      <c r="J337" s="1">
        <v>1</v>
      </c>
      <c r="K337" s="1">
        <v>1</v>
      </c>
      <c r="L337" s="1"/>
      <c r="M337" s="1"/>
      <c r="N337" s="1"/>
      <c r="O337" s="1"/>
      <c r="P337" s="1"/>
      <c r="Q337" s="1"/>
      <c r="R337" s="1"/>
      <c r="S337" s="1"/>
      <c r="T337" s="1"/>
    </row>
    <row r="338" spans="1:20" ht="13" x14ac:dyDescent="0.15">
      <c r="A338" s="1" t="s">
        <v>1023</v>
      </c>
      <c r="B338" s="1" t="s">
        <v>1024</v>
      </c>
      <c r="C338" s="4" t="s">
        <v>1025</v>
      </c>
      <c r="D338" s="1" t="s">
        <v>14</v>
      </c>
      <c r="E338" s="1">
        <v>80</v>
      </c>
      <c r="F338" s="1">
        <v>1</v>
      </c>
      <c r="G338" s="1">
        <v>1</v>
      </c>
      <c r="H338" s="1">
        <v>0</v>
      </c>
      <c r="I338" s="1">
        <v>518</v>
      </c>
      <c r="J338" s="1">
        <v>0</v>
      </c>
      <c r="K338" s="1">
        <v>0</v>
      </c>
      <c r="L338" s="1"/>
      <c r="M338" s="1"/>
      <c r="N338" s="1"/>
      <c r="O338" s="1"/>
      <c r="P338" s="1"/>
      <c r="Q338" s="1"/>
      <c r="R338" s="1"/>
      <c r="S338" s="1"/>
      <c r="T338" s="1"/>
    </row>
    <row r="339" spans="1:20" ht="13" x14ac:dyDescent="0.15">
      <c r="A339" s="1" t="s">
        <v>1026</v>
      </c>
      <c r="B339" s="1" t="s">
        <v>1027</v>
      </c>
      <c r="C339" s="4" t="s">
        <v>1028</v>
      </c>
      <c r="D339" s="1" t="s">
        <v>14</v>
      </c>
      <c r="E339" s="1">
        <v>57</v>
      </c>
      <c r="F339" s="1">
        <v>1</v>
      </c>
      <c r="G339" s="1">
        <v>0</v>
      </c>
      <c r="H339" s="1">
        <v>0</v>
      </c>
      <c r="I339" s="1">
        <v>483</v>
      </c>
      <c r="J339" s="1">
        <v>0</v>
      </c>
      <c r="K339" s="1">
        <v>0</v>
      </c>
      <c r="L339" s="1"/>
      <c r="M339" s="1"/>
      <c r="N339" s="1"/>
      <c r="O339" s="1"/>
      <c r="P339" s="1"/>
      <c r="Q339" s="1"/>
      <c r="R339" s="1"/>
      <c r="S339" s="1"/>
      <c r="T339" s="1"/>
    </row>
    <row r="340" spans="1:20" ht="13" x14ac:dyDescent="0.15">
      <c r="A340" s="1" t="s">
        <v>1029</v>
      </c>
      <c r="B340" s="1" t="s">
        <v>1030</v>
      </c>
      <c r="C340" s="4" t="s">
        <v>1031</v>
      </c>
      <c r="D340" s="1" t="s">
        <v>14</v>
      </c>
      <c r="E340" s="1">
        <v>83</v>
      </c>
      <c r="F340" s="1">
        <v>1</v>
      </c>
      <c r="G340" s="1">
        <v>1</v>
      </c>
      <c r="H340" s="1">
        <v>0</v>
      </c>
      <c r="I340" s="1">
        <v>84</v>
      </c>
      <c r="J340" s="1">
        <v>0</v>
      </c>
      <c r="K340" s="1">
        <v>1</v>
      </c>
      <c r="L340" s="1"/>
      <c r="M340" s="1"/>
      <c r="N340" s="1"/>
      <c r="O340" s="1"/>
      <c r="P340" s="1"/>
      <c r="Q340" s="1"/>
      <c r="R340" s="1"/>
      <c r="S340" s="1"/>
      <c r="T340" s="1"/>
    </row>
    <row r="341" spans="1:20" ht="13" x14ac:dyDescent="0.15">
      <c r="A341" s="1" t="s">
        <v>1032</v>
      </c>
      <c r="B341" s="1" t="s">
        <v>1033</v>
      </c>
      <c r="C341" s="4" t="s">
        <v>1034</v>
      </c>
      <c r="D341" s="1" t="s">
        <v>14</v>
      </c>
      <c r="E341" s="1">
        <v>67</v>
      </c>
      <c r="F341" s="1">
        <v>1</v>
      </c>
      <c r="G341" s="1">
        <v>0</v>
      </c>
      <c r="H341" s="1">
        <v>0</v>
      </c>
      <c r="I341" s="1">
        <v>475</v>
      </c>
      <c r="J341" s="1">
        <v>1</v>
      </c>
      <c r="K341" s="1">
        <v>1</v>
      </c>
      <c r="L341" s="1"/>
      <c r="M341" s="1"/>
      <c r="N341" s="1"/>
      <c r="O341" s="1"/>
      <c r="P341" s="1"/>
      <c r="Q341" s="1"/>
      <c r="R341" s="1"/>
      <c r="S341" s="1"/>
      <c r="T341" s="1"/>
    </row>
    <row r="342" spans="1:20" ht="13" x14ac:dyDescent="0.15">
      <c r="A342" s="1" t="s">
        <v>1035</v>
      </c>
      <c r="B342" s="1" t="s">
        <v>1036</v>
      </c>
      <c r="C342" s="4" t="s">
        <v>1037</v>
      </c>
      <c r="D342" s="1" t="s">
        <v>14</v>
      </c>
      <c r="E342" s="1">
        <v>73</v>
      </c>
      <c r="F342" s="1">
        <v>2</v>
      </c>
      <c r="G342" s="1">
        <v>0</v>
      </c>
      <c r="H342" s="1">
        <v>0</v>
      </c>
      <c r="I342" s="1">
        <v>204</v>
      </c>
      <c r="J342" s="1">
        <v>0</v>
      </c>
      <c r="K342" s="1">
        <v>0</v>
      </c>
      <c r="L342" s="1"/>
      <c r="M342" s="1"/>
      <c r="N342" s="1"/>
      <c r="O342" s="1"/>
      <c r="P342" s="1"/>
      <c r="Q342" s="1"/>
      <c r="R342" s="1"/>
      <c r="S342" s="1"/>
      <c r="T342" s="1"/>
    </row>
    <row r="343" spans="1:20" ht="13" x14ac:dyDescent="0.15">
      <c r="A343" s="1" t="s">
        <v>1038</v>
      </c>
      <c r="B343" s="1" t="s">
        <v>1039</v>
      </c>
      <c r="C343" s="4" t="s">
        <v>1040</v>
      </c>
      <c r="D343" s="1" t="s">
        <v>14</v>
      </c>
      <c r="E343" s="1">
        <v>71</v>
      </c>
      <c r="F343" s="1">
        <v>1</v>
      </c>
      <c r="G343" s="1">
        <v>1</v>
      </c>
      <c r="H343" s="1">
        <v>0</v>
      </c>
      <c r="I343" s="1">
        <v>55</v>
      </c>
      <c r="J343" s="1">
        <v>1</v>
      </c>
      <c r="K343" s="1">
        <v>0</v>
      </c>
      <c r="L343" s="1"/>
      <c r="M343" s="1"/>
      <c r="N343" s="1"/>
      <c r="O343" s="1"/>
      <c r="P343" s="1"/>
      <c r="Q343" s="1"/>
      <c r="R343" s="1"/>
      <c r="S343" s="1"/>
      <c r="T343" s="1"/>
    </row>
    <row r="344" spans="1:20" ht="13" x14ac:dyDescent="0.15">
      <c r="A344" s="1" t="s">
        <v>1041</v>
      </c>
      <c r="B344" s="1" t="s">
        <v>1042</v>
      </c>
      <c r="C344" s="4" t="s">
        <v>1043</v>
      </c>
      <c r="D344" s="1" t="s">
        <v>14</v>
      </c>
      <c r="E344" s="1">
        <v>55</v>
      </c>
      <c r="F344" s="1">
        <v>2</v>
      </c>
      <c r="G344" s="1">
        <v>1</v>
      </c>
      <c r="H344" s="1">
        <v>0</v>
      </c>
      <c r="I344" s="1">
        <v>316</v>
      </c>
      <c r="J344" s="1">
        <v>0</v>
      </c>
      <c r="K344" s="1">
        <v>0</v>
      </c>
      <c r="L344" s="1"/>
      <c r="M344" s="1"/>
      <c r="N344" s="1"/>
      <c r="O344" s="1"/>
      <c r="P344" s="1"/>
      <c r="Q344" s="1"/>
      <c r="R344" s="1"/>
      <c r="S344" s="1"/>
      <c r="T344" s="1"/>
    </row>
    <row r="345" spans="1:20" ht="13" x14ac:dyDescent="0.15">
      <c r="A345" s="1" t="s">
        <v>1044</v>
      </c>
      <c r="B345" s="1" t="s">
        <v>1045</v>
      </c>
      <c r="C345" s="4" t="s">
        <v>1046</v>
      </c>
      <c r="D345" s="1" t="s">
        <v>14</v>
      </c>
      <c r="E345" s="1">
        <v>54</v>
      </c>
      <c r="F345" s="1">
        <v>2</v>
      </c>
      <c r="G345" s="1">
        <v>0</v>
      </c>
      <c r="H345" s="1">
        <v>0</v>
      </c>
      <c r="I345" s="1">
        <v>375</v>
      </c>
      <c r="J345" s="1">
        <v>1</v>
      </c>
      <c r="K345" s="1">
        <v>0</v>
      </c>
      <c r="L345" s="1"/>
      <c r="M345" s="1"/>
      <c r="N345" s="1"/>
      <c r="O345" s="1"/>
      <c r="P345" s="1"/>
      <c r="Q345" s="1"/>
      <c r="R345" s="1"/>
      <c r="S345" s="1"/>
      <c r="T345" s="1"/>
    </row>
    <row r="346" spans="1:20" ht="13" x14ac:dyDescent="0.15">
      <c r="A346" s="1" t="s">
        <v>1047</v>
      </c>
      <c r="B346" s="1" t="s">
        <v>1048</v>
      </c>
      <c r="C346" s="4" t="s">
        <v>1049</v>
      </c>
      <c r="D346" s="1" t="s">
        <v>14</v>
      </c>
      <c r="E346" s="1">
        <v>67</v>
      </c>
      <c r="F346" s="1">
        <v>1</v>
      </c>
      <c r="G346" s="1">
        <v>0</v>
      </c>
      <c r="H346" s="1">
        <v>0</v>
      </c>
      <c r="I346" s="1">
        <v>134</v>
      </c>
      <c r="J346" s="1">
        <v>1</v>
      </c>
      <c r="K346" s="1">
        <v>1</v>
      </c>
      <c r="L346" s="1"/>
      <c r="M346" s="1"/>
      <c r="N346" s="1"/>
      <c r="O346" s="1"/>
      <c r="P346" s="1"/>
      <c r="Q346" s="1"/>
      <c r="R346" s="1"/>
      <c r="S346" s="1"/>
      <c r="T346" s="1"/>
    </row>
    <row r="347" spans="1:20" ht="13" x14ac:dyDescent="0.15">
      <c r="A347" s="1" t="s">
        <v>1050</v>
      </c>
      <c r="B347" s="1" t="s">
        <v>1051</v>
      </c>
      <c r="C347" s="4" t="s">
        <v>1052</v>
      </c>
      <c r="D347" s="1" t="s">
        <v>14</v>
      </c>
      <c r="E347" s="1">
        <v>68</v>
      </c>
      <c r="F347" s="1">
        <v>1</v>
      </c>
      <c r="G347" s="1">
        <v>1</v>
      </c>
      <c r="H347" s="1">
        <v>0</v>
      </c>
      <c r="I347" s="1">
        <v>334</v>
      </c>
      <c r="J347" s="1">
        <v>0</v>
      </c>
      <c r="K347" s="1">
        <v>1</v>
      </c>
      <c r="L347" s="1"/>
      <c r="M347" s="1"/>
      <c r="N347" s="1"/>
      <c r="O347" s="1"/>
      <c r="P347" s="1"/>
      <c r="Q347" s="1"/>
      <c r="R347" s="1"/>
      <c r="S347" s="1"/>
      <c r="T347" s="1"/>
    </row>
    <row r="348" spans="1:20" ht="13" x14ac:dyDescent="0.15">
      <c r="A348" s="1" t="s">
        <v>1053</v>
      </c>
      <c r="B348" s="1" t="s">
        <v>1054</v>
      </c>
      <c r="C348" s="4" t="s">
        <v>1055</v>
      </c>
      <c r="D348" s="1" t="s">
        <v>14</v>
      </c>
      <c r="E348" s="1">
        <v>65</v>
      </c>
      <c r="F348" s="1">
        <v>1</v>
      </c>
      <c r="G348" s="1">
        <v>1</v>
      </c>
      <c r="H348" s="1">
        <v>0</v>
      </c>
      <c r="I348" s="1">
        <v>205</v>
      </c>
      <c r="J348" s="1">
        <v>0</v>
      </c>
      <c r="K348" s="1">
        <v>1</v>
      </c>
      <c r="L348" s="1"/>
      <c r="M348" s="1"/>
      <c r="N348" s="1"/>
      <c r="O348" s="1"/>
      <c r="P348" s="1"/>
      <c r="Q348" s="1"/>
      <c r="R348" s="1"/>
      <c r="S348" s="1"/>
      <c r="T348" s="1"/>
    </row>
    <row r="349" spans="1:20" ht="13" x14ac:dyDescent="0.15">
      <c r="A349" s="1" t="s">
        <v>1056</v>
      </c>
      <c r="B349" s="1" t="s">
        <v>1057</v>
      </c>
      <c r="C349" s="4" t="s">
        <v>1058</v>
      </c>
      <c r="D349" s="1" t="s">
        <v>14</v>
      </c>
      <c r="E349" s="1">
        <v>47</v>
      </c>
      <c r="F349" s="1">
        <v>1</v>
      </c>
      <c r="G349" s="1">
        <v>1</v>
      </c>
      <c r="H349" s="1">
        <v>0</v>
      </c>
      <c r="I349" s="1">
        <v>680</v>
      </c>
      <c r="J349" s="1">
        <v>1</v>
      </c>
      <c r="K349" s="1">
        <v>0</v>
      </c>
      <c r="L349" s="1"/>
      <c r="M349" s="1"/>
      <c r="N349" s="1"/>
      <c r="O349" s="1"/>
      <c r="P349" s="1"/>
      <c r="Q349" s="1"/>
      <c r="R349" s="1"/>
      <c r="S349" s="1"/>
      <c r="T349" s="1"/>
    </row>
    <row r="350" spans="1:20" ht="13" x14ac:dyDescent="0.15">
      <c r="A350" s="1" t="s">
        <v>1059</v>
      </c>
      <c r="B350" s="1" t="s">
        <v>1060</v>
      </c>
      <c r="C350" s="4" t="s">
        <v>1061</v>
      </c>
      <c r="D350" s="1" t="s">
        <v>14</v>
      </c>
      <c r="E350" s="1">
        <v>62</v>
      </c>
      <c r="F350" s="1">
        <v>2</v>
      </c>
      <c r="G350" s="1">
        <v>0</v>
      </c>
      <c r="H350" s="1">
        <v>0</v>
      </c>
      <c r="I350" s="1">
        <v>37</v>
      </c>
      <c r="J350" s="1">
        <v>1</v>
      </c>
      <c r="K350" s="1">
        <v>0</v>
      </c>
      <c r="L350" s="1"/>
      <c r="M350" s="1"/>
      <c r="N350" s="1"/>
      <c r="O350" s="1"/>
      <c r="P350" s="1"/>
      <c r="Q350" s="1"/>
      <c r="R350" s="1"/>
      <c r="S350" s="1"/>
      <c r="T350" s="1"/>
    </row>
    <row r="351" spans="1:20" ht="13" x14ac:dyDescent="0.15">
      <c r="A351" s="1" t="s">
        <v>1062</v>
      </c>
      <c r="B351" s="1" t="s">
        <v>1063</v>
      </c>
      <c r="C351" s="4" t="s">
        <v>1064</v>
      </c>
      <c r="D351" s="1" t="s">
        <v>14</v>
      </c>
      <c r="E351" s="1">
        <v>62</v>
      </c>
      <c r="F351" s="1">
        <v>1</v>
      </c>
      <c r="G351" s="1">
        <v>1</v>
      </c>
      <c r="H351" s="1">
        <v>0</v>
      </c>
      <c r="I351" s="1">
        <v>306</v>
      </c>
      <c r="J351" s="1">
        <v>0</v>
      </c>
      <c r="K351" s="1">
        <v>0</v>
      </c>
      <c r="L351" s="1"/>
      <c r="M351" s="1"/>
      <c r="N351" s="1"/>
      <c r="O351" s="1"/>
      <c r="P351" s="1"/>
      <c r="Q351" s="1"/>
      <c r="R351" s="1"/>
      <c r="S351" s="1"/>
      <c r="T351" s="1"/>
    </row>
    <row r="352" spans="1:20" ht="13" x14ac:dyDescent="0.15">
      <c r="A352" s="1" t="s">
        <v>1065</v>
      </c>
      <c r="B352" s="1" t="s">
        <v>1066</v>
      </c>
      <c r="C352" s="4" t="s">
        <v>1067</v>
      </c>
      <c r="D352" s="1" t="s">
        <v>14</v>
      </c>
      <c r="E352" s="1">
        <v>42</v>
      </c>
      <c r="F352" s="1">
        <v>1</v>
      </c>
      <c r="G352" s="1">
        <v>0</v>
      </c>
      <c r="H352" s="1">
        <v>0</v>
      </c>
      <c r="I352" s="1">
        <v>422</v>
      </c>
      <c r="J352" s="1">
        <v>0</v>
      </c>
      <c r="K352" s="1">
        <v>1</v>
      </c>
      <c r="L352" s="1"/>
      <c r="M352" s="1"/>
      <c r="N352" s="1"/>
      <c r="O352" s="1"/>
      <c r="P352" s="1"/>
      <c r="Q352" s="1"/>
      <c r="R352" s="1"/>
      <c r="S352" s="1"/>
      <c r="T352" s="1"/>
    </row>
    <row r="353" spans="1:20" ht="13" x14ac:dyDescent="0.15">
      <c r="A353" s="1" t="s">
        <v>1068</v>
      </c>
      <c r="B353" s="1" t="s">
        <v>1069</v>
      </c>
      <c r="C353" s="4" t="s">
        <v>1070</v>
      </c>
      <c r="D353" s="1" t="s">
        <v>14</v>
      </c>
      <c r="E353" s="1">
        <v>71</v>
      </c>
      <c r="F353" s="1">
        <v>2</v>
      </c>
      <c r="G353" s="1">
        <v>1</v>
      </c>
      <c r="H353" s="1">
        <v>0</v>
      </c>
      <c r="I353" s="1">
        <v>28</v>
      </c>
      <c r="J353" s="1">
        <v>1</v>
      </c>
      <c r="K353" s="1">
        <v>1</v>
      </c>
      <c r="L353" s="1"/>
      <c r="M353" s="1"/>
      <c r="N353" s="1"/>
      <c r="O353" s="1"/>
      <c r="P353" s="1"/>
      <c r="Q353" s="1"/>
      <c r="R353" s="1"/>
      <c r="S353" s="1"/>
      <c r="T353" s="1"/>
    </row>
    <row r="354" spans="1:20" ht="13" x14ac:dyDescent="0.15">
      <c r="A354" s="1" t="s">
        <v>1071</v>
      </c>
      <c r="B354" s="1" t="s">
        <v>1072</v>
      </c>
      <c r="C354" s="4" t="s">
        <v>1073</v>
      </c>
      <c r="D354" s="1" t="s">
        <v>14</v>
      </c>
      <c r="E354" s="1">
        <v>58</v>
      </c>
      <c r="F354" s="1">
        <v>2</v>
      </c>
      <c r="G354" s="1">
        <v>1</v>
      </c>
      <c r="H354" s="1">
        <v>0</v>
      </c>
      <c r="I354" s="1">
        <v>624</v>
      </c>
      <c r="J354" s="1">
        <v>0</v>
      </c>
      <c r="K354" s="1">
        <v>1</v>
      </c>
      <c r="L354" s="1"/>
      <c r="M354" s="1"/>
      <c r="N354" s="1"/>
      <c r="O354" s="1"/>
      <c r="P354" s="1"/>
      <c r="Q354" s="1"/>
      <c r="R354" s="1"/>
      <c r="S354" s="1"/>
      <c r="T354" s="1"/>
    </row>
    <row r="355" spans="1:20" ht="13" x14ac:dyDescent="0.15">
      <c r="A355" s="1" t="s">
        <v>1074</v>
      </c>
      <c r="B355" s="1" t="s">
        <v>1075</v>
      </c>
      <c r="C355" s="4" t="s">
        <v>1076</v>
      </c>
      <c r="D355" s="1" t="s">
        <v>14</v>
      </c>
      <c r="E355" s="1">
        <v>58</v>
      </c>
      <c r="F355" s="1">
        <v>2</v>
      </c>
      <c r="G355" s="1">
        <v>1</v>
      </c>
      <c r="H355" s="1">
        <v>0</v>
      </c>
      <c r="I355" s="1">
        <v>150</v>
      </c>
      <c r="J355" s="1">
        <v>0</v>
      </c>
      <c r="K355" s="1">
        <v>0</v>
      </c>
      <c r="L355" s="1"/>
      <c r="M355" s="1"/>
      <c r="N355" s="1"/>
      <c r="O355" s="1"/>
      <c r="P355" s="1"/>
      <c r="Q355" s="1"/>
      <c r="R355" s="1"/>
      <c r="S355" s="1"/>
      <c r="T355" s="1"/>
    </row>
    <row r="356" spans="1:20" ht="13" x14ac:dyDescent="0.15">
      <c r="A356" s="1" t="s">
        <v>1077</v>
      </c>
      <c r="B356" s="1" t="s">
        <v>1078</v>
      </c>
      <c r="C356" s="4" t="s">
        <v>1079</v>
      </c>
      <c r="D356" s="1" t="s">
        <v>14</v>
      </c>
      <c r="E356" s="1">
        <v>78</v>
      </c>
      <c r="F356" s="1">
        <v>1</v>
      </c>
      <c r="G356" s="1">
        <v>0</v>
      </c>
      <c r="H356" s="1">
        <v>0</v>
      </c>
      <c r="I356" s="1">
        <v>78</v>
      </c>
      <c r="J356" s="1">
        <v>1</v>
      </c>
      <c r="K356" s="1">
        <v>0</v>
      </c>
      <c r="L356" s="1"/>
      <c r="M356" s="1"/>
      <c r="N356" s="1"/>
      <c r="O356" s="1"/>
      <c r="P356" s="1"/>
      <c r="Q356" s="1"/>
      <c r="R356" s="1"/>
      <c r="S356" s="1"/>
      <c r="T356" s="1"/>
    </row>
    <row r="357" spans="1:20" ht="13" x14ac:dyDescent="0.15">
      <c r="A357" s="1" t="s">
        <v>1080</v>
      </c>
      <c r="B357" s="1" t="s">
        <v>1081</v>
      </c>
      <c r="C357" s="4" t="s">
        <v>1082</v>
      </c>
      <c r="D357" s="1" t="s">
        <v>14</v>
      </c>
      <c r="E357" s="1">
        <v>79</v>
      </c>
      <c r="F357" s="1">
        <v>1</v>
      </c>
      <c r="G357" s="1">
        <v>0</v>
      </c>
      <c r="H357" s="1">
        <v>0</v>
      </c>
      <c r="I357" s="1">
        <v>406</v>
      </c>
      <c r="J357" s="1">
        <v>0</v>
      </c>
      <c r="K357" s="1">
        <v>1</v>
      </c>
      <c r="L357" s="1"/>
      <c r="M357" s="1"/>
      <c r="N357" s="1"/>
      <c r="O357" s="1"/>
      <c r="P357" s="1"/>
      <c r="Q357" s="1"/>
      <c r="R357" s="1"/>
      <c r="S357" s="1"/>
      <c r="T357" s="1"/>
    </row>
    <row r="358" spans="1:20" ht="13" x14ac:dyDescent="0.15">
      <c r="A358" s="1" t="s">
        <v>1083</v>
      </c>
      <c r="B358" s="1" t="s">
        <v>1084</v>
      </c>
      <c r="C358" s="4" t="s">
        <v>1085</v>
      </c>
      <c r="D358" s="1" t="s">
        <v>14</v>
      </c>
      <c r="E358" s="1">
        <v>61</v>
      </c>
      <c r="F358" s="1">
        <v>2</v>
      </c>
      <c r="G358" s="1">
        <v>0</v>
      </c>
      <c r="H358" s="1">
        <v>0</v>
      </c>
      <c r="I358" s="1">
        <v>35</v>
      </c>
      <c r="J358" s="1">
        <v>0</v>
      </c>
      <c r="K358" s="1">
        <v>0</v>
      </c>
      <c r="L358" s="1"/>
      <c r="M358" s="1"/>
      <c r="N358" s="1"/>
      <c r="O358" s="1"/>
      <c r="P358" s="1"/>
      <c r="Q358" s="1"/>
      <c r="R358" s="1"/>
      <c r="S358" s="1"/>
      <c r="T358" s="1"/>
    </row>
    <row r="359" spans="1:20" ht="13" x14ac:dyDescent="0.15">
      <c r="A359" s="1" t="s">
        <v>1086</v>
      </c>
      <c r="B359" s="1" t="s">
        <v>1087</v>
      </c>
      <c r="C359" s="4" t="s">
        <v>1088</v>
      </c>
      <c r="D359" s="1" t="s">
        <v>14</v>
      </c>
      <c r="E359" s="1">
        <v>77</v>
      </c>
      <c r="F359" s="1">
        <v>1</v>
      </c>
      <c r="G359" s="1">
        <v>1</v>
      </c>
      <c r="H359" s="1">
        <v>0</v>
      </c>
      <c r="I359" s="1">
        <v>142</v>
      </c>
      <c r="J359" s="1">
        <v>0</v>
      </c>
      <c r="K359" s="1">
        <v>0</v>
      </c>
      <c r="L359" s="1"/>
      <c r="M359" s="1"/>
      <c r="N359" s="1"/>
      <c r="O359" s="1"/>
      <c r="P359" s="1"/>
      <c r="Q359" s="1"/>
      <c r="R359" s="1"/>
      <c r="S359" s="1"/>
      <c r="T359" s="1"/>
    </row>
    <row r="360" spans="1:20" ht="13" x14ac:dyDescent="0.15">
      <c r="A360" s="1" t="s">
        <v>1089</v>
      </c>
      <c r="B360" s="1" t="s">
        <v>1090</v>
      </c>
      <c r="C360" s="4" t="s">
        <v>1091</v>
      </c>
      <c r="D360" s="1" t="s">
        <v>14</v>
      </c>
      <c r="E360" s="1">
        <v>80</v>
      </c>
      <c r="F360" s="1">
        <v>2</v>
      </c>
      <c r="G360" s="1">
        <v>0</v>
      </c>
      <c r="H360" s="1">
        <v>0</v>
      </c>
      <c r="I360" s="1">
        <v>303</v>
      </c>
      <c r="J360" s="1">
        <v>0</v>
      </c>
      <c r="K360" s="1">
        <v>1</v>
      </c>
      <c r="L360" s="1"/>
      <c r="M360" s="1"/>
      <c r="N360" s="1"/>
      <c r="O360" s="1"/>
      <c r="P360" s="1"/>
      <c r="Q360" s="1"/>
      <c r="R360" s="1"/>
      <c r="S360" s="1"/>
      <c r="T360" s="1"/>
    </row>
    <row r="361" spans="1:20" ht="13" x14ac:dyDescent="0.15">
      <c r="A361" s="1" t="s">
        <v>1092</v>
      </c>
      <c r="B361" s="1" t="s">
        <v>1093</v>
      </c>
      <c r="C361" s="4" t="s">
        <v>1094</v>
      </c>
      <c r="D361" s="1" t="s">
        <v>14</v>
      </c>
      <c r="E361" s="1">
        <v>71</v>
      </c>
      <c r="F361" s="1">
        <v>1</v>
      </c>
      <c r="G361" s="1">
        <v>1</v>
      </c>
      <c r="H361" s="1">
        <v>0</v>
      </c>
      <c r="I361" s="1">
        <v>70</v>
      </c>
      <c r="J361" s="1">
        <v>1</v>
      </c>
      <c r="K361" s="1">
        <v>1</v>
      </c>
      <c r="L361" s="1"/>
      <c r="M361" s="1"/>
      <c r="N361" s="1"/>
      <c r="O361" s="1"/>
      <c r="P361" s="1"/>
      <c r="Q361" s="1"/>
      <c r="R361" s="1"/>
      <c r="S361" s="1"/>
      <c r="T361" s="1"/>
    </row>
    <row r="362" spans="1:20" ht="13" x14ac:dyDescent="0.15">
      <c r="A362" s="1" t="s">
        <v>1095</v>
      </c>
      <c r="B362" s="1" t="s">
        <v>1096</v>
      </c>
      <c r="C362" s="4" t="s">
        <v>1097</v>
      </c>
      <c r="D362" s="1" t="s">
        <v>14</v>
      </c>
      <c r="E362" s="1">
        <v>42</v>
      </c>
      <c r="F362" s="1">
        <v>1</v>
      </c>
      <c r="G362" s="1">
        <v>0</v>
      </c>
      <c r="H362" s="1">
        <v>0</v>
      </c>
      <c r="I362" s="1">
        <v>504</v>
      </c>
      <c r="J362" s="1">
        <v>0</v>
      </c>
      <c r="K362" s="1">
        <v>0</v>
      </c>
      <c r="L362" s="1"/>
      <c r="M362" s="1"/>
      <c r="N362" s="1"/>
      <c r="O362" s="1"/>
      <c r="P362" s="1"/>
      <c r="Q362" s="1"/>
      <c r="R362" s="1"/>
      <c r="S362" s="1"/>
      <c r="T362" s="1"/>
    </row>
    <row r="363" spans="1:20" ht="13" x14ac:dyDescent="0.15">
      <c r="A363" s="1" t="s">
        <v>1098</v>
      </c>
      <c r="B363" s="1" t="s">
        <v>1099</v>
      </c>
      <c r="C363" s="4" t="s">
        <v>1100</v>
      </c>
      <c r="D363" s="1" t="s">
        <v>14</v>
      </c>
      <c r="E363" s="1">
        <v>31</v>
      </c>
      <c r="F363" s="1">
        <v>2</v>
      </c>
      <c r="G363" s="1">
        <v>1</v>
      </c>
      <c r="H363" s="1">
        <v>0</v>
      </c>
      <c r="I363" s="1">
        <v>292</v>
      </c>
      <c r="J363" s="1">
        <v>0</v>
      </c>
      <c r="K363" s="1">
        <v>0</v>
      </c>
      <c r="L363" s="1"/>
      <c r="M363" s="1"/>
      <c r="N363" s="1"/>
      <c r="O363" s="1"/>
      <c r="P363" s="1"/>
      <c r="Q363" s="1"/>
      <c r="R363" s="1"/>
      <c r="S363" s="1"/>
      <c r="T363" s="1"/>
    </row>
    <row r="364" spans="1:20" ht="13" x14ac:dyDescent="0.15">
      <c r="A364" s="1" t="s">
        <v>1101</v>
      </c>
      <c r="B364" s="1" t="s">
        <v>1102</v>
      </c>
      <c r="C364" s="4" t="s">
        <v>1103</v>
      </c>
      <c r="D364" s="1" t="s">
        <v>14</v>
      </c>
      <c r="E364" s="1">
        <v>82</v>
      </c>
      <c r="F364" s="1">
        <v>2</v>
      </c>
      <c r="G364" s="1">
        <v>0</v>
      </c>
      <c r="H364" s="1">
        <v>0</v>
      </c>
      <c r="I364" s="1">
        <v>45</v>
      </c>
      <c r="J364" s="1">
        <v>0</v>
      </c>
      <c r="K364" s="1">
        <v>1</v>
      </c>
      <c r="L364" s="1"/>
      <c r="M364" s="1"/>
      <c r="N364" s="1"/>
      <c r="O364" s="1"/>
      <c r="P364" s="1"/>
      <c r="Q364" s="1"/>
      <c r="R364" s="1"/>
      <c r="S364" s="1"/>
      <c r="T364" s="1"/>
    </row>
    <row r="365" spans="1:20" ht="13" x14ac:dyDescent="0.15">
      <c r="A365" s="1" t="s">
        <v>1104</v>
      </c>
      <c r="B365" s="1" t="s">
        <v>1105</v>
      </c>
      <c r="C365" s="4" t="s">
        <v>1106</v>
      </c>
      <c r="D365" s="1" t="s">
        <v>14</v>
      </c>
      <c r="E365" s="1">
        <v>70</v>
      </c>
      <c r="F365" s="1">
        <v>1</v>
      </c>
      <c r="G365" s="1">
        <v>1</v>
      </c>
      <c r="H365" s="1">
        <v>0</v>
      </c>
      <c r="I365" s="1">
        <v>373</v>
      </c>
      <c r="J365" s="1">
        <v>0</v>
      </c>
      <c r="K365" s="1">
        <v>0</v>
      </c>
      <c r="L365" s="1"/>
      <c r="M365" s="1"/>
      <c r="N365" s="1"/>
      <c r="O365" s="1"/>
      <c r="P365" s="1"/>
      <c r="Q365" s="1"/>
      <c r="R365" s="1"/>
      <c r="S365" s="1"/>
      <c r="T365" s="1"/>
    </row>
    <row r="366" spans="1:20" ht="13" x14ac:dyDescent="0.15">
      <c r="A366" s="1" t="s">
        <v>1107</v>
      </c>
      <c r="B366" s="1" t="s">
        <v>1108</v>
      </c>
      <c r="C366" s="4" t="s">
        <v>1109</v>
      </c>
      <c r="D366" s="1" t="s">
        <v>14</v>
      </c>
      <c r="E366" s="1">
        <v>51</v>
      </c>
      <c r="F366" s="1">
        <v>1</v>
      </c>
      <c r="G366" s="1">
        <v>1</v>
      </c>
      <c r="H366" s="1">
        <v>1</v>
      </c>
      <c r="I366" s="1">
        <v>222</v>
      </c>
      <c r="J366" s="1">
        <v>0</v>
      </c>
      <c r="K366" s="1">
        <v>0</v>
      </c>
      <c r="L366" s="1"/>
      <c r="M366" s="1"/>
      <c r="N366" s="1"/>
      <c r="O366" s="1"/>
      <c r="P366" s="1"/>
      <c r="Q366" s="1"/>
      <c r="R366" s="1"/>
      <c r="S366" s="1"/>
      <c r="T366" s="1"/>
    </row>
    <row r="367" spans="1:20" ht="13" x14ac:dyDescent="0.15">
      <c r="A367" s="1" t="s">
        <v>1110</v>
      </c>
      <c r="B367" s="1" t="s">
        <v>1111</v>
      </c>
      <c r="C367" s="4" t="s">
        <v>1112</v>
      </c>
      <c r="D367" s="1" t="s">
        <v>14</v>
      </c>
      <c r="E367" s="1">
        <v>32</v>
      </c>
      <c r="F367" s="1">
        <v>1</v>
      </c>
      <c r="G367" s="1">
        <v>0</v>
      </c>
      <c r="H367" s="1">
        <v>0</v>
      </c>
      <c r="I367" s="1">
        <v>369</v>
      </c>
      <c r="J367" s="1">
        <v>0</v>
      </c>
      <c r="K367" s="1">
        <v>0</v>
      </c>
      <c r="L367" s="1"/>
      <c r="M367" s="1"/>
      <c r="N367" s="1"/>
      <c r="O367" s="1"/>
      <c r="P367" s="1"/>
      <c r="Q367" s="1"/>
      <c r="R367" s="1"/>
      <c r="S367" s="1"/>
      <c r="T367" s="1"/>
    </row>
    <row r="368" spans="1:20" ht="13" x14ac:dyDescent="0.15">
      <c r="A368" s="1" t="s">
        <v>1113</v>
      </c>
      <c r="B368" s="1" t="s">
        <v>1114</v>
      </c>
      <c r="C368" s="4" t="s">
        <v>1115</v>
      </c>
      <c r="D368" s="1" t="s">
        <v>14</v>
      </c>
      <c r="E368" s="1">
        <v>54</v>
      </c>
      <c r="F368" s="1">
        <v>1</v>
      </c>
      <c r="G368" s="1">
        <v>1</v>
      </c>
      <c r="H368" s="1">
        <v>0</v>
      </c>
      <c r="I368" s="1">
        <v>605</v>
      </c>
      <c r="J368" s="1">
        <v>0</v>
      </c>
      <c r="K368" s="1">
        <v>1</v>
      </c>
      <c r="L368" s="1"/>
      <c r="M368" s="1"/>
      <c r="N368" s="1"/>
      <c r="O368" s="1"/>
      <c r="P368" s="1"/>
      <c r="Q368" s="1"/>
      <c r="R368" s="1"/>
      <c r="S368" s="1"/>
      <c r="T368" s="1"/>
    </row>
    <row r="369" spans="1:20" ht="13" x14ac:dyDescent="0.15">
      <c r="A369" s="1" t="s">
        <v>1116</v>
      </c>
      <c r="B369" s="1" t="s">
        <v>1117</v>
      </c>
      <c r="C369" s="4" t="s">
        <v>1118</v>
      </c>
      <c r="D369" s="1" t="s">
        <v>14</v>
      </c>
      <c r="E369" s="1">
        <v>68</v>
      </c>
      <c r="F369" s="1">
        <v>2</v>
      </c>
      <c r="G369" s="1">
        <v>1</v>
      </c>
      <c r="H369" s="1">
        <v>0</v>
      </c>
      <c r="I369" s="1">
        <v>267</v>
      </c>
      <c r="J369" s="1">
        <v>0</v>
      </c>
      <c r="K369" s="1">
        <v>0</v>
      </c>
      <c r="L369" s="1"/>
      <c r="M369" s="1"/>
      <c r="N369" s="1"/>
      <c r="O369" s="1"/>
      <c r="P369" s="1"/>
      <c r="Q369" s="1"/>
      <c r="R369" s="1"/>
      <c r="S369" s="1"/>
      <c r="T369" s="1"/>
    </row>
    <row r="370" spans="1:20" ht="13" x14ac:dyDescent="0.15">
      <c r="A370" s="1" t="s">
        <v>1119</v>
      </c>
      <c r="B370" s="1" t="s">
        <v>1120</v>
      </c>
      <c r="C370" s="4" t="s">
        <v>1121</v>
      </c>
      <c r="D370" s="1" t="s">
        <v>14</v>
      </c>
      <c r="E370" s="1">
        <v>65</v>
      </c>
      <c r="F370" s="1">
        <v>2</v>
      </c>
      <c r="G370" s="1">
        <v>1</v>
      </c>
      <c r="H370" s="1">
        <v>0</v>
      </c>
      <c r="I370" s="1">
        <v>156</v>
      </c>
      <c r="J370" s="1">
        <v>0</v>
      </c>
      <c r="K370" s="1">
        <v>0</v>
      </c>
      <c r="L370" s="1"/>
      <c r="M370" s="1"/>
      <c r="N370" s="1"/>
      <c r="O370" s="1"/>
      <c r="P370" s="1"/>
      <c r="Q370" s="1"/>
      <c r="R370" s="1"/>
      <c r="S370" s="1"/>
      <c r="T370" s="1"/>
    </row>
    <row r="371" spans="1:20" ht="13" x14ac:dyDescent="0.15">
      <c r="A371" s="1" t="s">
        <v>1122</v>
      </c>
      <c r="B371" s="1" t="s">
        <v>1123</v>
      </c>
      <c r="C371" s="4" t="s">
        <v>1124</v>
      </c>
      <c r="D371" s="1" t="s">
        <v>14</v>
      </c>
      <c r="E371" s="1">
        <v>74</v>
      </c>
      <c r="F371" s="1">
        <v>1</v>
      </c>
      <c r="G371" s="1">
        <v>0</v>
      </c>
      <c r="H371" s="1">
        <v>0</v>
      </c>
      <c r="I371" s="1">
        <v>114</v>
      </c>
      <c r="J371" s="1">
        <v>0</v>
      </c>
      <c r="K371" s="1">
        <v>0</v>
      </c>
      <c r="L371" s="1"/>
      <c r="M371" s="1"/>
      <c r="N371" s="1"/>
      <c r="O371" s="1"/>
      <c r="P371" s="1"/>
      <c r="Q371" s="1"/>
      <c r="R371" s="1"/>
      <c r="S371" s="1"/>
      <c r="T371" s="1"/>
    </row>
    <row r="372" spans="1:20" ht="13" x14ac:dyDescent="0.15">
      <c r="A372" s="1" t="s">
        <v>1125</v>
      </c>
      <c r="B372" s="1" t="s">
        <v>1126</v>
      </c>
      <c r="C372" s="4" t="s">
        <v>1127</v>
      </c>
      <c r="D372" s="1" t="s">
        <v>14</v>
      </c>
      <c r="E372" s="1">
        <v>43</v>
      </c>
      <c r="F372" s="1">
        <v>1</v>
      </c>
      <c r="G372" s="1">
        <v>0</v>
      </c>
      <c r="H372" s="1">
        <v>0</v>
      </c>
      <c r="I372" s="1">
        <v>512</v>
      </c>
      <c r="J372" s="1">
        <v>0</v>
      </c>
      <c r="K372" s="1">
        <v>0</v>
      </c>
      <c r="L372" s="1"/>
      <c r="M372" s="1"/>
      <c r="N372" s="1"/>
      <c r="O372" s="1"/>
      <c r="P372" s="1"/>
      <c r="Q372" s="1"/>
      <c r="R372" s="1"/>
      <c r="S372" s="1"/>
      <c r="T372" s="1"/>
    </row>
    <row r="373" spans="1:20" ht="13" x14ac:dyDescent="0.15">
      <c r="A373" s="1" t="s">
        <v>1128</v>
      </c>
      <c r="B373" s="1" t="s">
        <v>1129</v>
      </c>
      <c r="C373" s="4" t="s">
        <v>1130</v>
      </c>
      <c r="D373" s="1" t="s">
        <v>14</v>
      </c>
      <c r="E373" s="1">
        <v>72</v>
      </c>
      <c r="F373" s="1">
        <v>2</v>
      </c>
      <c r="G373" s="1">
        <v>0</v>
      </c>
      <c r="H373" s="1">
        <v>0</v>
      </c>
      <c r="I373" s="1">
        <v>287</v>
      </c>
      <c r="J373" s="1">
        <v>1</v>
      </c>
      <c r="K373" s="1">
        <v>1</v>
      </c>
      <c r="L373" s="1"/>
      <c r="M373" s="1"/>
      <c r="N373" s="1"/>
      <c r="O373" s="1"/>
      <c r="P373" s="1"/>
      <c r="Q373" s="1"/>
      <c r="R373" s="1"/>
      <c r="S373" s="1"/>
      <c r="T373" s="1"/>
    </row>
    <row r="374" spans="1:20" ht="13" x14ac:dyDescent="0.15">
      <c r="A374" s="1" t="s">
        <v>1131</v>
      </c>
      <c r="B374" s="1" t="s">
        <v>1132</v>
      </c>
      <c r="C374" s="4" t="s">
        <v>1133</v>
      </c>
      <c r="D374" s="1" t="s">
        <v>14</v>
      </c>
      <c r="E374" s="1">
        <v>64</v>
      </c>
      <c r="F374" s="1">
        <v>1</v>
      </c>
      <c r="G374" s="1">
        <v>1</v>
      </c>
      <c r="H374" s="1">
        <v>0</v>
      </c>
      <c r="I374" s="1">
        <v>285</v>
      </c>
      <c r="J374" s="1">
        <v>1</v>
      </c>
      <c r="K374" s="1">
        <v>0</v>
      </c>
      <c r="L374" s="1"/>
      <c r="M374" s="1"/>
      <c r="N374" s="1"/>
      <c r="O374" s="1"/>
      <c r="P374" s="1"/>
      <c r="Q374" s="1"/>
      <c r="R374" s="1"/>
      <c r="S374" s="1"/>
      <c r="T374" s="1"/>
    </row>
    <row r="375" spans="1:20" ht="13" x14ac:dyDescent="0.15">
      <c r="A375" s="1" t="s">
        <v>1134</v>
      </c>
      <c r="B375" s="1" t="s">
        <v>1135</v>
      </c>
      <c r="C375" s="4" t="s">
        <v>1136</v>
      </c>
      <c r="D375" s="1" t="s">
        <v>14</v>
      </c>
      <c r="E375" s="1">
        <v>77</v>
      </c>
      <c r="F375" s="1">
        <v>1</v>
      </c>
      <c r="G375" s="1">
        <v>1</v>
      </c>
      <c r="H375" s="1">
        <v>0</v>
      </c>
      <c r="I375" s="1">
        <v>307</v>
      </c>
      <c r="J375" s="1">
        <v>0</v>
      </c>
      <c r="K375" s="1">
        <v>0</v>
      </c>
      <c r="L375" s="1"/>
      <c r="M375" s="1"/>
      <c r="N375" s="1"/>
      <c r="O375" s="1"/>
      <c r="P375" s="1"/>
      <c r="Q375" s="1"/>
      <c r="R375" s="1"/>
      <c r="S375" s="1"/>
      <c r="T375" s="1"/>
    </row>
    <row r="376" spans="1:20" ht="13" x14ac:dyDescent="0.15">
      <c r="A376" s="1" t="s">
        <v>1137</v>
      </c>
      <c r="B376" s="1" t="s">
        <v>1138</v>
      </c>
      <c r="C376" s="4" t="s">
        <v>1139</v>
      </c>
      <c r="D376" s="1" t="s">
        <v>14</v>
      </c>
      <c r="E376" s="1">
        <v>52</v>
      </c>
      <c r="F376" s="1">
        <v>1</v>
      </c>
      <c r="G376" s="1">
        <v>1</v>
      </c>
      <c r="H376" s="1">
        <v>0</v>
      </c>
      <c r="I376" s="1">
        <v>602</v>
      </c>
      <c r="J376" s="1">
        <v>1</v>
      </c>
      <c r="K376" s="1">
        <v>0</v>
      </c>
      <c r="L376" s="1"/>
      <c r="M376" s="1"/>
      <c r="N376" s="1"/>
      <c r="O376" s="1"/>
      <c r="P376" s="1"/>
      <c r="Q376" s="1"/>
      <c r="R376" s="1"/>
      <c r="S376" s="1"/>
      <c r="T376" s="1"/>
    </row>
    <row r="377" spans="1:20" ht="13" x14ac:dyDescent="0.15">
      <c r="A377" s="1" t="s">
        <v>1140</v>
      </c>
      <c r="B377" s="1" t="s">
        <v>1141</v>
      </c>
      <c r="C377" s="4" t="s">
        <v>1142</v>
      </c>
      <c r="D377" s="1" t="s">
        <v>14</v>
      </c>
      <c r="E377" s="1">
        <v>62</v>
      </c>
      <c r="F377" s="1">
        <v>1</v>
      </c>
      <c r="G377" s="1">
        <v>1</v>
      </c>
      <c r="H377" s="1">
        <v>0</v>
      </c>
      <c r="I377" s="1">
        <v>252</v>
      </c>
      <c r="J377" s="1">
        <v>0</v>
      </c>
      <c r="K377" s="1">
        <v>0</v>
      </c>
      <c r="L377" s="1"/>
      <c r="M377" s="1"/>
      <c r="N377" s="1"/>
      <c r="O377" s="1"/>
      <c r="P377" s="1"/>
      <c r="Q377" s="1"/>
      <c r="R377" s="1"/>
      <c r="S377" s="1"/>
      <c r="T377" s="1"/>
    </row>
    <row r="378" spans="1:20" ht="13" x14ac:dyDescent="0.15">
      <c r="A378" s="1" t="s">
        <v>1143</v>
      </c>
      <c r="B378" s="1" t="s">
        <v>1144</v>
      </c>
      <c r="C378" s="4" t="s">
        <v>1145</v>
      </c>
      <c r="D378" s="1" t="s">
        <v>14</v>
      </c>
      <c r="E378" s="1">
        <v>94</v>
      </c>
      <c r="F378" s="1">
        <v>1</v>
      </c>
      <c r="G378" s="1">
        <v>1</v>
      </c>
      <c r="H378" s="1">
        <v>0</v>
      </c>
      <c r="I378" s="1">
        <v>54</v>
      </c>
      <c r="J378" s="1">
        <v>0</v>
      </c>
      <c r="K378" s="1">
        <v>1</v>
      </c>
      <c r="L378" s="1"/>
      <c r="M378" s="1"/>
      <c r="N378" s="1"/>
      <c r="O378" s="1"/>
      <c r="P378" s="1"/>
      <c r="Q378" s="1"/>
      <c r="R378" s="1"/>
      <c r="S378" s="1"/>
      <c r="T378" s="1"/>
    </row>
    <row r="379" spans="1:20" ht="13" x14ac:dyDescent="0.15">
      <c r="A379" s="1" t="s">
        <v>1146</v>
      </c>
      <c r="B379" s="1" t="s">
        <v>1147</v>
      </c>
      <c r="C379" s="4" t="s">
        <v>1148</v>
      </c>
      <c r="D379" s="1" t="s">
        <v>14</v>
      </c>
      <c r="E379" s="1">
        <v>37</v>
      </c>
      <c r="F379" s="1">
        <v>1</v>
      </c>
      <c r="G379" s="1">
        <v>1</v>
      </c>
      <c r="H379" s="1">
        <v>1</v>
      </c>
      <c r="I379" s="1">
        <v>15</v>
      </c>
      <c r="J379" s="1">
        <v>1</v>
      </c>
      <c r="K379" s="1">
        <v>0</v>
      </c>
      <c r="L379" s="1"/>
      <c r="M379" s="1"/>
      <c r="N379" s="1"/>
      <c r="O379" s="1"/>
      <c r="P379" s="1"/>
      <c r="Q379" s="1"/>
      <c r="R379" s="1"/>
      <c r="S379" s="1"/>
      <c r="T379" s="1"/>
    </row>
    <row r="380" spans="1:20" ht="13" x14ac:dyDescent="0.15">
      <c r="A380" s="1" t="s">
        <v>1149</v>
      </c>
      <c r="B380" s="1" t="s">
        <v>1150</v>
      </c>
      <c r="C380" s="4" t="s">
        <v>1151</v>
      </c>
      <c r="D380" s="1" t="s">
        <v>14</v>
      </c>
      <c r="E380" s="1">
        <v>60</v>
      </c>
      <c r="F380" s="1">
        <v>1</v>
      </c>
      <c r="G380" s="1">
        <v>0</v>
      </c>
      <c r="H380" s="1">
        <v>0</v>
      </c>
      <c r="I380" s="1">
        <v>300</v>
      </c>
      <c r="J380" s="1">
        <v>0</v>
      </c>
      <c r="K380" s="1">
        <v>1</v>
      </c>
      <c r="L380" s="1"/>
      <c r="M380" s="1"/>
      <c r="N380" s="1"/>
      <c r="O380" s="1"/>
      <c r="P380" s="1"/>
      <c r="Q380" s="1"/>
      <c r="R380" s="1"/>
      <c r="S380" s="1"/>
      <c r="T380" s="1"/>
    </row>
    <row r="381" spans="1:20" ht="13" x14ac:dyDescent="0.15">
      <c r="A381" s="1" t="s">
        <v>1152</v>
      </c>
      <c r="B381" s="1" t="s">
        <v>1153</v>
      </c>
      <c r="C381" s="4" t="s">
        <v>1154</v>
      </c>
      <c r="D381" s="1" t="s">
        <v>14</v>
      </c>
      <c r="E381" s="1">
        <v>69</v>
      </c>
      <c r="F381" s="1">
        <v>1</v>
      </c>
      <c r="G381" s="1">
        <v>0</v>
      </c>
      <c r="H381" s="1">
        <v>0</v>
      </c>
      <c r="I381" s="1">
        <v>191</v>
      </c>
      <c r="J381" s="1">
        <v>0</v>
      </c>
      <c r="K381" s="1">
        <v>0</v>
      </c>
      <c r="L381" s="1"/>
      <c r="M381" s="1"/>
      <c r="N381" s="1"/>
      <c r="O381" s="1"/>
      <c r="P381" s="1"/>
      <c r="Q381" s="1"/>
      <c r="R381" s="1"/>
      <c r="S381" s="1"/>
      <c r="T381" s="1"/>
    </row>
    <row r="382" spans="1:20" ht="13" x14ac:dyDescent="0.15">
      <c r="A382" s="1" t="s">
        <v>1155</v>
      </c>
      <c r="B382" s="1" t="s">
        <v>1156</v>
      </c>
      <c r="C382" s="4" t="s">
        <v>1157</v>
      </c>
      <c r="D382" s="1" t="s">
        <v>14</v>
      </c>
      <c r="E382" s="1">
        <v>63</v>
      </c>
      <c r="F382" s="1">
        <v>2</v>
      </c>
      <c r="G382" s="1">
        <v>0</v>
      </c>
      <c r="H382" s="1">
        <v>0</v>
      </c>
      <c r="I382" s="1">
        <v>566</v>
      </c>
      <c r="J382" s="1">
        <v>0</v>
      </c>
      <c r="K382" s="1">
        <v>0</v>
      </c>
      <c r="L382" s="1"/>
      <c r="M382" s="1"/>
      <c r="N382" s="1"/>
      <c r="O382" s="1"/>
      <c r="P382" s="1"/>
      <c r="Q382" s="1"/>
      <c r="R382" s="1"/>
      <c r="S382" s="1"/>
      <c r="T382" s="1"/>
    </row>
    <row r="383" spans="1:20" ht="13" x14ac:dyDescent="0.15">
      <c r="A383" s="1" t="s">
        <v>1158</v>
      </c>
      <c r="B383" s="1" t="s">
        <v>1159</v>
      </c>
      <c r="C383" s="4" t="s">
        <v>1160</v>
      </c>
      <c r="D383" s="1" t="s">
        <v>14</v>
      </c>
      <c r="E383" s="1">
        <v>66</v>
      </c>
      <c r="F383" s="1">
        <v>1</v>
      </c>
      <c r="G383" s="1">
        <v>0</v>
      </c>
      <c r="H383" s="1">
        <v>0</v>
      </c>
      <c r="I383" s="1">
        <v>375</v>
      </c>
      <c r="J383" s="1">
        <v>1</v>
      </c>
      <c r="K383" s="1">
        <v>0</v>
      </c>
      <c r="L383" s="1"/>
      <c r="M383" s="1"/>
      <c r="N383" s="1"/>
      <c r="O383" s="1"/>
      <c r="P383" s="1"/>
      <c r="Q383" s="1"/>
      <c r="R383" s="1"/>
      <c r="S383" s="1"/>
      <c r="T383" s="1"/>
    </row>
    <row r="384" spans="1:20" ht="13" x14ac:dyDescent="0.15">
      <c r="A384" s="1" t="s">
        <v>1161</v>
      </c>
      <c r="B384" s="1" t="s">
        <v>1162</v>
      </c>
      <c r="C384" s="4" t="s">
        <v>1163</v>
      </c>
      <c r="D384" s="1" t="s">
        <v>14</v>
      </c>
      <c r="E384" s="1">
        <v>62</v>
      </c>
      <c r="F384" s="1">
        <v>1</v>
      </c>
      <c r="G384" s="1">
        <v>0</v>
      </c>
      <c r="H384" s="1">
        <v>0</v>
      </c>
      <c r="I384" s="1">
        <v>356</v>
      </c>
      <c r="J384" s="1">
        <v>0</v>
      </c>
      <c r="K384" s="1">
        <v>1</v>
      </c>
      <c r="L384" s="1"/>
      <c r="M384" s="1"/>
      <c r="N384" s="1"/>
      <c r="O384" s="1"/>
      <c r="P384" s="1"/>
      <c r="Q384" s="1"/>
      <c r="R384" s="1"/>
      <c r="S384" s="1"/>
      <c r="T384" s="1"/>
    </row>
    <row r="385" spans="1:20" ht="13" x14ac:dyDescent="0.15">
      <c r="A385" s="1" t="s">
        <v>1164</v>
      </c>
      <c r="B385" s="1" t="s">
        <v>1165</v>
      </c>
      <c r="C385" s="4" t="s">
        <v>1166</v>
      </c>
      <c r="D385" s="1" t="s">
        <v>14</v>
      </c>
      <c r="E385" s="1">
        <v>75</v>
      </c>
      <c r="F385" s="1">
        <v>2</v>
      </c>
      <c r="G385" s="1">
        <v>0</v>
      </c>
      <c r="H385" s="1">
        <v>0</v>
      </c>
      <c r="I385" s="1">
        <v>364</v>
      </c>
      <c r="J385" s="1">
        <v>0</v>
      </c>
      <c r="K385" s="1">
        <v>1</v>
      </c>
      <c r="L385" s="1"/>
      <c r="M385" s="1"/>
      <c r="N385" s="1"/>
      <c r="O385" s="1"/>
      <c r="P385" s="1"/>
      <c r="Q385" s="1"/>
      <c r="R385" s="1"/>
      <c r="S385" s="1"/>
      <c r="T385" s="1"/>
    </row>
    <row r="386" spans="1:20" ht="13" x14ac:dyDescent="0.15">
      <c r="A386" s="1" t="s">
        <v>1167</v>
      </c>
      <c r="B386" s="1" t="s">
        <v>1168</v>
      </c>
      <c r="C386" s="4" t="s">
        <v>1169</v>
      </c>
      <c r="D386" s="1" t="s">
        <v>14</v>
      </c>
      <c r="E386" s="1">
        <v>58</v>
      </c>
      <c r="F386" s="1">
        <v>2</v>
      </c>
      <c r="G386" s="1">
        <v>0</v>
      </c>
      <c r="H386" s="1">
        <v>0</v>
      </c>
      <c r="I386" s="1">
        <v>499</v>
      </c>
      <c r="J386" s="1">
        <v>0</v>
      </c>
      <c r="K386" s="1">
        <v>1</v>
      </c>
      <c r="L386" s="1"/>
      <c r="M386" s="1"/>
      <c r="N386" s="1"/>
      <c r="O386" s="1"/>
      <c r="P386" s="1"/>
      <c r="Q386" s="1"/>
      <c r="R386" s="1"/>
      <c r="S386" s="1"/>
      <c r="T386" s="1"/>
    </row>
    <row r="387" spans="1:20" ht="13" x14ac:dyDescent="0.15">
      <c r="A387" s="1" t="s">
        <v>1170</v>
      </c>
      <c r="B387" s="1" t="s">
        <v>1171</v>
      </c>
      <c r="C387" s="4" t="s">
        <v>1172</v>
      </c>
      <c r="D387" s="1" t="s">
        <v>14</v>
      </c>
      <c r="E387" s="1">
        <v>62</v>
      </c>
      <c r="F387" s="1">
        <v>2</v>
      </c>
      <c r="G387" s="1">
        <v>1</v>
      </c>
      <c r="H387" s="1">
        <v>0</v>
      </c>
      <c r="I387" s="1">
        <v>777</v>
      </c>
      <c r="J387" s="1">
        <v>0</v>
      </c>
      <c r="K387" s="1">
        <v>0</v>
      </c>
      <c r="L387" s="1"/>
      <c r="M387" s="1"/>
      <c r="N387" s="1"/>
      <c r="O387" s="1"/>
      <c r="P387" s="1"/>
      <c r="Q387" s="1"/>
      <c r="R387" s="1"/>
      <c r="S387" s="1"/>
      <c r="T387" s="1"/>
    </row>
    <row r="388" spans="1:20" ht="13" x14ac:dyDescent="0.15">
      <c r="A388" s="1" t="s">
        <v>1173</v>
      </c>
      <c r="B388" s="1" t="s">
        <v>1174</v>
      </c>
      <c r="C388" s="4" t="s">
        <v>1175</v>
      </c>
      <c r="D388" s="1" t="s">
        <v>14</v>
      </c>
      <c r="E388" s="1">
        <v>81</v>
      </c>
      <c r="F388" s="1">
        <v>1</v>
      </c>
      <c r="G388" s="1">
        <v>1</v>
      </c>
      <c r="H388" s="1">
        <v>0</v>
      </c>
      <c r="I388" s="1">
        <v>19</v>
      </c>
      <c r="J388" s="1">
        <v>0</v>
      </c>
      <c r="K388" s="1">
        <v>1</v>
      </c>
      <c r="L388" s="1"/>
      <c r="M388" s="1"/>
      <c r="N388" s="1"/>
      <c r="O388" s="1"/>
      <c r="P388" s="1"/>
      <c r="Q388" s="1"/>
      <c r="R388" s="1"/>
      <c r="S388" s="1"/>
      <c r="T388" s="1"/>
    </row>
    <row r="389" spans="1:20" ht="13" x14ac:dyDescent="0.15">
      <c r="A389" s="1" t="s">
        <v>1176</v>
      </c>
      <c r="B389" s="1" t="s">
        <v>1177</v>
      </c>
      <c r="C389" s="4" t="s">
        <v>1178</v>
      </c>
      <c r="D389" s="1" t="s">
        <v>14</v>
      </c>
      <c r="E389" s="1">
        <v>63</v>
      </c>
      <c r="F389" s="1">
        <v>2</v>
      </c>
      <c r="G389" s="1">
        <v>1</v>
      </c>
      <c r="H389" s="1">
        <v>0</v>
      </c>
      <c r="I389" s="1">
        <v>280</v>
      </c>
      <c r="J389" s="1">
        <v>1</v>
      </c>
      <c r="K389" s="1">
        <v>0</v>
      </c>
      <c r="L389" s="1"/>
      <c r="M389" s="1"/>
      <c r="N389" s="1"/>
      <c r="O389" s="1"/>
      <c r="P389" s="1"/>
      <c r="Q389" s="1"/>
      <c r="R389" s="1"/>
      <c r="S389" s="1"/>
      <c r="T389" s="1"/>
    </row>
    <row r="390" spans="1:20" ht="13" x14ac:dyDescent="0.15">
      <c r="A390" s="1" t="s">
        <v>1179</v>
      </c>
      <c r="B390" s="1" t="s">
        <v>1180</v>
      </c>
      <c r="C390" s="4" t="s">
        <v>1181</v>
      </c>
      <c r="D390" s="1" t="s">
        <v>14</v>
      </c>
      <c r="E390" s="1">
        <v>64</v>
      </c>
      <c r="F390" s="1">
        <v>1</v>
      </c>
      <c r="G390" s="1">
        <v>1</v>
      </c>
      <c r="H390" s="1">
        <v>0</v>
      </c>
      <c r="I390" s="1">
        <v>491</v>
      </c>
      <c r="J390" s="1">
        <v>0</v>
      </c>
      <c r="K390" s="1">
        <v>1</v>
      </c>
      <c r="L390" s="1"/>
      <c r="M390" s="1"/>
      <c r="N390" s="1"/>
      <c r="O390" s="1"/>
      <c r="P390" s="1"/>
      <c r="Q390" s="1"/>
      <c r="R390" s="1"/>
      <c r="S390" s="1"/>
      <c r="T390" s="1"/>
    </row>
    <row r="391" spans="1:20" ht="13" x14ac:dyDescent="0.15">
      <c r="A391" s="1" t="s">
        <v>1182</v>
      </c>
      <c r="B391" s="1" t="s">
        <v>1183</v>
      </c>
      <c r="C391" s="4" t="s">
        <v>1184</v>
      </c>
      <c r="D391" s="1" t="s">
        <v>14</v>
      </c>
      <c r="E391" s="1">
        <v>54</v>
      </c>
      <c r="F391" s="1">
        <v>2</v>
      </c>
      <c r="G391" s="1">
        <v>1</v>
      </c>
      <c r="H391" s="1">
        <v>0</v>
      </c>
      <c r="I391" s="1">
        <v>1333</v>
      </c>
      <c r="J391" s="1">
        <v>0</v>
      </c>
      <c r="K391" s="1">
        <v>0</v>
      </c>
      <c r="L391" s="1"/>
      <c r="M391" s="1"/>
      <c r="N391" s="1"/>
      <c r="O391" s="1"/>
      <c r="P391" s="1"/>
      <c r="Q391" s="1"/>
      <c r="R391" s="1"/>
      <c r="S391" s="1"/>
      <c r="T391" s="1"/>
    </row>
    <row r="392" spans="1:20" ht="13" x14ac:dyDescent="0.15">
      <c r="A392" s="1" t="s">
        <v>1185</v>
      </c>
      <c r="B392" s="1" t="s">
        <v>1186</v>
      </c>
      <c r="C392" s="4" t="s">
        <v>1187</v>
      </c>
      <c r="D392" s="1" t="s">
        <v>14</v>
      </c>
      <c r="E392" s="1">
        <v>59</v>
      </c>
      <c r="F392" s="1">
        <v>2</v>
      </c>
      <c r="G392" s="1">
        <v>1</v>
      </c>
      <c r="H392" s="1">
        <v>0</v>
      </c>
      <c r="I392" s="1">
        <v>435</v>
      </c>
      <c r="J392" s="1">
        <v>1</v>
      </c>
      <c r="K392" s="1">
        <v>1</v>
      </c>
      <c r="L392" s="1"/>
      <c r="M392" s="1"/>
      <c r="N392" s="1"/>
      <c r="O392" s="1"/>
      <c r="P392" s="1"/>
      <c r="Q392" s="1"/>
      <c r="R392" s="1"/>
      <c r="S392" s="1"/>
      <c r="T392" s="1"/>
    </row>
    <row r="393" spans="1:20" ht="13" x14ac:dyDescent="0.15">
      <c r="A393" s="1" t="s">
        <v>1188</v>
      </c>
      <c r="B393" s="1" t="s">
        <v>1189</v>
      </c>
      <c r="C393" s="4" t="s">
        <v>1190</v>
      </c>
      <c r="D393" s="1" t="s">
        <v>14</v>
      </c>
      <c r="E393" s="1">
        <v>83</v>
      </c>
      <c r="F393" s="1">
        <v>2</v>
      </c>
      <c r="G393" s="1">
        <v>1</v>
      </c>
      <c r="H393" s="1">
        <v>0</v>
      </c>
      <c r="I393" s="1">
        <v>275</v>
      </c>
      <c r="J393" s="1">
        <v>0</v>
      </c>
      <c r="K393" s="1">
        <v>0</v>
      </c>
      <c r="L393" s="1"/>
      <c r="M393" s="1"/>
      <c r="N393" s="1"/>
      <c r="O393" s="1"/>
      <c r="P393" s="1"/>
      <c r="Q393" s="1"/>
      <c r="R393" s="1"/>
      <c r="S393" s="1"/>
      <c r="T393" s="1"/>
    </row>
    <row r="394" spans="1:20" ht="13" x14ac:dyDescent="0.15">
      <c r="A394" s="1" t="s">
        <v>1191</v>
      </c>
      <c r="B394" s="1" t="s">
        <v>1192</v>
      </c>
      <c r="C394" s="4" t="s">
        <v>1193</v>
      </c>
      <c r="D394" s="1" t="s">
        <v>14</v>
      </c>
      <c r="E394" s="1">
        <v>76</v>
      </c>
      <c r="F394" s="1">
        <v>1</v>
      </c>
      <c r="G394" s="1">
        <v>1</v>
      </c>
      <c r="H394" s="1">
        <v>0</v>
      </c>
      <c r="I394" s="1">
        <v>332</v>
      </c>
      <c r="J394" s="1">
        <v>0</v>
      </c>
      <c r="K394" s="1">
        <v>1</v>
      </c>
      <c r="L394" s="1"/>
      <c r="M394" s="1"/>
      <c r="N394" s="1"/>
      <c r="O394" s="1"/>
      <c r="P394" s="1"/>
      <c r="Q394" s="1"/>
      <c r="R394" s="1"/>
      <c r="S394" s="1"/>
      <c r="T394" s="1"/>
    </row>
    <row r="395" spans="1:20" ht="13" x14ac:dyDescent="0.15">
      <c r="A395" s="1" t="s">
        <v>1194</v>
      </c>
      <c r="B395" s="1" t="s">
        <v>1195</v>
      </c>
      <c r="C395" s="4" t="s">
        <v>1196</v>
      </c>
      <c r="D395" s="1" t="s">
        <v>14</v>
      </c>
      <c r="E395" s="1">
        <v>57</v>
      </c>
      <c r="F395" s="1">
        <v>1</v>
      </c>
      <c r="G395" s="1">
        <v>0</v>
      </c>
      <c r="H395" s="1">
        <v>0</v>
      </c>
      <c r="I395" s="1">
        <v>319</v>
      </c>
      <c r="J395" s="1">
        <v>1</v>
      </c>
      <c r="K395" s="1">
        <v>1</v>
      </c>
      <c r="L395" s="1"/>
      <c r="M395" s="1"/>
      <c r="N395" s="1"/>
      <c r="O395" s="1"/>
      <c r="P395" s="1"/>
      <c r="Q395" s="1"/>
      <c r="R395" s="1"/>
      <c r="S395" s="1"/>
      <c r="T395" s="1"/>
    </row>
    <row r="396" spans="1:20" ht="13" x14ac:dyDescent="0.15">
      <c r="A396" s="1" t="s">
        <v>1197</v>
      </c>
      <c r="B396" s="1" t="s">
        <v>1198</v>
      </c>
      <c r="C396" s="4" t="s">
        <v>1199</v>
      </c>
      <c r="D396" s="1" t="s">
        <v>14</v>
      </c>
      <c r="E396" s="1">
        <v>48</v>
      </c>
      <c r="F396" s="1">
        <v>2</v>
      </c>
      <c r="G396" s="1">
        <v>1</v>
      </c>
      <c r="H396" s="1">
        <v>0</v>
      </c>
      <c r="I396" s="1">
        <v>183</v>
      </c>
      <c r="J396" s="1">
        <v>1</v>
      </c>
      <c r="K396" s="1">
        <v>1</v>
      </c>
      <c r="L396" s="1"/>
      <c r="M396" s="1"/>
      <c r="N396" s="1"/>
      <c r="O396" s="1"/>
      <c r="P396" s="1"/>
      <c r="Q396" s="1"/>
      <c r="R396" s="1"/>
      <c r="S396" s="1"/>
      <c r="T396" s="1"/>
    </row>
    <row r="397" spans="1:20" ht="13" x14ac:dyDescent="0.15">
      <c r="A397" s="1" t="s">
        <v>1200</v>
      </c>
      <c r="B397" s="1" t="s">
        <v>1201</v>
      </c>
      <c r="C397" s="4" t="s">
        <v>1202</v>
      </c>
      <c r="D397" s="1" t="s">
        <v>14</v>
      </c>
      <c r="E397" s="1">
        <v>30</v>
      </c>
      <c r="F397" s="1">
        <v>1</v>
      </c>
      <c r="G397" s="1">
        <v>1</v>
      </c>
      <c r="H397" s="1">
        <v>1</v>
      </c>
      <c r="I397" s="1">
        <v>1320</v>
      </c>
      <c r="J397" s="1">
        <v>0</v>
      </c>
      <c r="K397" s="1">
        <v>0</v>
      </c>
      <c r="L397" s="1"/>
      <c r="M397" s="1"/>
      <c r="N397" s="1"/>
      <c r="O397" s="1"/>
      <c r="P397" s="1"/>
      <c r="Q397" s="1"/>
      <c r="R397" s="1"/>
      <c r="S397" s="1"/>
      <c r="T397" s="1"/>
    </row>
    <row r="398" spans="1:20" ht="13" x14ac:dyDescent="0.15">
      <c r="A398" s="1" t="s">
        <v>1203</v>
      </c>
      <c r="B398" s="1" t="s">
        <v>1204</v>
      </c>
      <c r="C398" s="4" t="s">
        <v>1205</v>
      </c>
      <c r="D398" s="1" t="s">
        <v>14</v>
      </c>
      <c r="E398" s="1">
        <v>57</v>
      </c>
      <c r="F398" s="1">
        <v>1</v>
      </c>
      <c r="G398" s="1">
        <v>0</v>
      </c>
      <c r="H398" s="1">
        <v>0</v>
      </c>
      <c r="I398" s="1">
        <v>405</v>
      </c>
      <c r="J398" s="1">
        <v>0</v>
      </c>
      <c r="K398" s="1">
        <v>0</v>
      </c>
      <c r="L398" s="1"/>
      <c r="M398" s="1"/>
      <c r="N398" s="1"/>
      <c r="O398" s="1"/>
      <c r="P398" s="1"/>
      <c r="Q398" s="1"/>
      <c r="R398" s="1"/>
      <c r="S398" s="1"/>
      <c r="T398" s="1"/>
    </row>
    <row r="399" spans="1:20" ht="13" x14ac:dyDescent="0.15">
      <c r="A399" s="1" t="s">
        <v>1206</v>
      </c>
      <c r="B399" s="1" t="s">
        <v>1207</v>
      </c>
      <c r="C399" s="4" t="s">
        <v>1208</v>
      </c>
      <c r="D399" s="1" t="s">
        <v>14</v>
      </c>
      <c r="E399" s="1">
        <v>56</v>
      </c>
      <c r="F399" s="1">
        <v>2</v>
      </c>
      <c r="G399" s="1">
        <v>1</v>
      </c>
      <c r="H399" s="1">
        <v>0</v>
      </c>
      <c r="I399" s="1">
        <v>2144</v>
      </c>
      <c r="J399" s="1">
        <v>0</v>
      </c>
      <c r="K399" s="1">
        <v>1</v>
      </c>
      <c r="L399" s="1"/>
      <c r="M399" s="1"/>
      <c r="N399" s="1"/>
      <c r="O399" s="1"/>
      <c r="P399" s="1"/>
      <c r="Q399" s="1"/>
      <c r="R399" s="1"/>
      <c r="S399" s="1"/>
      <c r="T399" s="1"/>
    </row>
    <row r="400" spans="1:20" ht="13" x14ac:dyDescent="0.15">
      <c r="A400" s="1" t="s">
        <v>1209</v>
      </c>
      <c r="B400" s="1" t="s">
        <v>1210</v>
      </c>
      <c r="C400" s="4" t="s">
        <v>1211</v>
      </c>
      <c r="D400" s="1" t="s">
        <v>14</v>
      </c>
      <c r="E400" s="1">
        <v>69</v>
      </c>
      <c r="F400" s="1">
        <v>2</v>
      </c>
      <c r="G400" s="1">
        <v>1</v>
      </c>
      <c r="H400" s="1">
        <v>0</v>
      </c>
      <c r="I400" s="1">
        <v>1347</v>
      </c>
      <c r="J400" s="1">
        <v>0</v>
      </c>
      <c r="K400" s="1">
        <v>0</v>
      </c>
      <c r="L400" s="1"/>
      <c r="M400" s="1"/>
      <c r="N400" s="1"/>
      <c r="O400" s="1"/>
      <c r="P400" s="1"/>
      <c r="Q400" s="1"/>
      <c r="R400" s="1"/>
      <c r="S400" s="1"/>
      <c r="T400" s="1"/>
    </row>
    <row r="401" spans="1:20" ht="13" x14ac:dyDescent="0.15">
      <c r="A401" s="1" t="s">
        <v>1212</v>
      </c>
      <c r="B401" s="1" t="s">
        <v>1213</v>
      </c>
      <c r="C401" s="4" t="s">
        <v>1214</v>
      </c>
      <c r="D401" s="1" t="s">
        <v>14</v>
      </c>
      <c r="E401" s="1">
        <v>69</v>
      </c>
      <c r="F401" s="1">
        <v>2</v>
      </c>
      <c r="G401" s="1">
        <v>0</v>
      </c>
      <c r="H401" s="1">
        <v>0</v>
      </c>
      <c r="I401" s="1">
        <v>681</v>
      </c>
      <c r="J401" s="1">
        <v>0</v>
      </c>
      <c r="K401" s="1">
        <v>1</v>
      </c>
      <c r="L401" s="1"/>
      <c r="M401" s="1"/>
      <c r="N401" s="1"/>
      <c r="O401" s="1"/>
      <c r="P401" s="1"/>
      <c r="Q401" s="1"/>
      <c r="R401" s="1"/>
      <c r="S401" s="1"/>
      <c r="T401" s="1"/>
    </row>
    <row r="402" spans="1:20" ht="13" x14ac:dyDescent="0.15">
      <c r="A402" s="1" t="s">
        <v>1215</v>
      </c>
      <c r="B402" s="1" t="s">
        <v>1216</v>
      </c>
      <c r="C402" s="4" t="s">
        <v>1217</v>
      </c>
      <c r="D402" s="1" t="s">
        <v>14</v>
      </c>
      <c r="E402" s="1">
        <v>72</v>
      </c>
      <c r="F402" s="1">
        <v>2</v>
      </c>
      <c r="G402" s="1">
        <v>1</v>
      </c>
      <c r="H402" s="1">
        <v>0</v>
      </c>
      <c r="I402" s="1">
        <v>384</v>
      </c>
      <c r="J402" s="1">
        <v>0</v>
      </c>
      <c r="K402" s="1">
        <v>1</v>
      </c>
      <c r="L402" s="1"/>
      <c r="M402" s="1"/>
      <c r="N402" s="1"/>
      <c r="O402" s="1"/>
      <c r="P402" s="1"/>
      <c r="Q402" s="1"/>
      <c r="R402" s="1"/>
      <c r="S402" s="1"/>
      <c r="T402" s="1"/>
    </row>
    <row r="403" spans="1:20" ht="13" x14ac:dyDescent="0.15">
      <c r="A403" s="1" t="s">
        <v>1218</v>
      </c>
      <c r="B403" s="1" t="s">
        <v>1219</v>
      </c>
      <c r="C403" s="4" t="s">
        <v>1220</v>
      </c>
      <c r="D403" s="1" t="s">
        <v>14</v>
      </c>
      <c r="E403" s="1">
        <v>44</v>
      </c>
      <c r="F403" s="1">
        <v>1</v>
      </c>
      <c r="G403" s="1">
        <v>1</v>
      </c>
      <c r="H403" s="1">
        <v>0</v>
      </c>
      <c r="I403" s="1">
        <v>643</v>
      </c>
      <c r="J403" s="1">
        <v>1</v>
      </c>
      <c r="K403" s="1">
        <v>1</v>
      </c>
      <c r="L403" s="1"/>
      <c r="M403" s="1"/>
      <c r="N403" s="1"/>
      <c r="O403" s="1"/>
      <c r="P403" s="1"/>
      <c r="Q403" s="1"/>
      <c r="R403" s="1"/>
      <c r="S403" s="1"/>
      <c r="T403" s="1"/>
    </row>
    <row r="404" spans="1:20" ht="13" x14ac:dyDescent="0.15">
      <c r="A404" s="1" t="s">
        <v>1221</v>
      </c>
      <c r="B404" s="1" t="s">
        <v>1222</v>
      </c>
      <c r="C404" s="4" t="s">
        <v>1223</v>
      </c>
      <c r="D404" s="1" t="s">
        <v>14</v>
      </c>
      <c r="E404" s="1">
        <v>59</v>
      </c>
      <c r="F404" s="1">
        <v>2</v>
      </c>
      <c r="G404" s="1">
        <v>1</v>
      </c>
      <c r="H404" s="1">
        <v>0</v>
      </c>
      <c r="I404" s="1">
        <v>711</v>
      </c>
      <c r="J404" s="1">
        <v>1</v>
      </c>
      <c r="K404" s="1">
        <v>0</v>
      </c>
      <c r="L404" s="1"/>
      <c r="M404" s="1"/>
      <c r="N404" s="1"/>
      <c r="O404" s="1"/>
      <c r="P404" s="1"/>
      <c r="Q404" s="1"/>
      <c r="R404" s="1"/>
      <c r="S404" s="1"/>
      <c r="T404" s="1"/>
    </row>
    <row r="405" spans="1:20" ht="13" x14ac:dyDescent="0.15">
      <c r="A405" s="1" t="s">
        <v>1224</v>
      </c>
      <c r="B405" s="1" t="s">
        <v>1225</v>
      </c>
      <c r="C405" s="4" t="s">
        <v>1226</v>
      </c>
      <c r="D405" s="1" t="s">
        <v>14</v>
      </c>
      <c r="E405" s="1">
        <v>45</v>
      </c>
      <c r="F405" s="1">
        <v>1</v>
      </c>
      <c r="G405" s="1">
        <v>1</v>
      </c>
      <c r="H405" s="1">
        <v>0</v>
      </c>
      <c r="I405" s="1">
        <v>319</v>
      </c>
      <c r="J405" s="1">
        <v>0</v>
      </c>
      <c r="K405" s="1">
        <v>0</v>
      </c>
      <c r="L405" s="1"/>
      <c r="M405" s="1"/>
      <c r="N405" s="1"/>
      <c r="O405" s="1"/>
      <c r="P405" s="1"/>
      <c r="Q405" s="1"/>
      <c r="R405" s="1"/>
      <c r="S405" s="1"/>
      <c r="T405" s="1"/>
    </row>
    <row r="406" spans="1:20" ht="13" x14ac:dyDescent="0.15">
      <c r="A406" s="1" t="s">
        <v>1227</v>
      </c>
      <c r="B406" s="1" t="s">
        <v>1228</v>
      </c>
      <c r="C406" s="4" t="s">
        <v>1229</v>
      </c>
      <c r="D406" s="1" t="s">
        <v>14</v>
      </c>
      <c r="E406" s="1">
        <v>54</v>
      </c>
      <c r="F406" s="1">
        <v>1</v>
      </c>
      <c r="G406" s="1">
        <v>0</v>
      </c>
      <c r="H406" s="1">
        <v>0</v>
      </c>
      <c r="I406" s="1">
        <v>292</v>
      </c>
      <c r="J406" s="1">
        <v>0</v>
      </c>
      <c r="K406" s="1">
        <v>0</v>
      </c>
      <c r="L406" s="1"/>
      <c r="M406" s="1"/>
      <c r="N406" s="1"/>
      <c r="O406" s="1"/>
      <c r="P406" s="1"/>
      <c r="Q406" s="1"/>
      <c r="R406" s="1"/>
      <c r="S406" s="1"/>
      <c r="T406" s="1"/>
    </row>
    <row r="407" spans="1:20" ht="13" x14ac:dyDescent="0.15">
      <c r="A407" s="1" t="s">
        <v>1230</v>
      </c>
      <c r="B407" s="1" t="s">
        <v>1231</v>
      </c>
      <c r="C407" s="4" t="s">
        <v>1232</v>
      </c>
      <c r="D407" s="1" t="s">
        <v>14</v>
      </c>
      <c r="E407" s="1">
        <v>66</v>
      </c>
      <c r="F407" s="1">
        <v>1</v>
      </c>
      <c r="G407" s="1">
        <v>0</v>
      </c>
      <c r="H407" s="1">
        <v>0</v>
      </c>
      <c r="I407" s="1">
        <v>363</v>
      </c>
      <c r="J407" s="1">
        <v>1</v>
      </c>
      <c r="K407" s="1">
        <v>1</v>
      </c>
      <c r="L407" s="1"/>
      <c r="M407" s="1"/>
      <c r="N407" s="1"/>
      <c r="O407" s="1"/>
      <c r="P407" s="1"/>
      <c r="Q407" s="1"/>
      <c r="R407" s="1"/>
      <c r="S407" s="1"/>
      <c r="T407" s="1"/>
    </row>
    <row r="408" spans="1:20" ht="13" x14ac:dyDescent="0.15">
      <c r="A408" s="1" t="s">
        <v>1233</v>
      </c>
      <c r="B408" s="1" t="s">
        <v>1234</v>
      </c>
      <c r="C408" s="4" t="s">
        <v>1235</v>
      </c>
      <c r="D408" s="1" t="s">
        <v>14</v>
      </c>
      <c r="E408" s="1">
        <v>71</v>
      </c>
      <c r="F408" s="1">
        <v>2</v>
      </c>
      <c r="G408" s="1">
        <v>1</v>
      </c>
      <c r="H408" s="1">
        <v>0</v>
      </c>
      <c r="I408" s="1">
        <v>396</v>
      </c>
      <c r="J408" s="1">
        <v>1</v>
      </c>
      <c r="K408" s="1">
        <v>1</v>
      </c>
      <c r="L408" s="1"/>
      <c r="M408" s="1"/>
      <c r="N408" s="1"/>
      <c r="O408" s="1"/>
      <c r="P408" s="1"/>
      <c r="Q408" s="1"/>
      <c r="R408" s="1"/>
      <c r="S408" s="1"/>
      <c r="T408" s="1"/>
    </row>
    <row r="409" spans="1:20" ht="13" x14ac:dyDescent="0.15">
      <c r="A409" s="1" t="s">
        <v>1236</v>
      </c>
      <c r="B409" s="1" t="s">
        <v>1237</v>
      </c>
      <c r="C409" s="4" t="s">
        <v>1238</v>
      </c>
      <c r="D409" s="1" t="s">
        <v>14</v>
      </c>
      <c r="E409" s="1">
        <v>71</v>
      </c>
      <c r="F409" s="1">
        <v>1</v>
      </c>
      <c r="G409" s="1">
        <v>0</v>
      </c>
      <c r="H409" s="1">
        <v>0</v>
      </c>
      <c r="I409" s="1">
        <v>618</v>
      </c>
      <c r="J409" s="1">
        <v>0</v>
      </c>
      <c r="K409" s="1">
        <v>0</v>
      </c>
      <c r="L409" s="1"/>
      <c r="M409" s="1"/>
      <c r="N409" s="1"/>
      <c r="O409" s="1"/>
      <c r="P409" s="1"/>
      <c r="Q409" s="1"/>
      <c r="R409" s="1"/>
      <c r="S409" s="1"/>
      <c r="T409" s="1"/>
    </row>
    <row r="410" spans="1:20" ht="13" x14ac:dyDescent="0.15">
      <c r="A410" s="1" t="s">
        <v>1239</v>
      </c>
      <c r="B410" s="1" t="s">
        <v>1240</v>
      </c>
      <c r="C410" s="4" t="s">
        <v>1241</v>
      </c>
      <c r="D410" s="1" t="s">
        <v>14</v>
      </c>
      <c r="E410" s="1">
        <v>69</v>
      </c>
      <c r="F410" s="1">
        <v>1</v>
      </c>
      <c r="G410" s="1">
        <v>0</v>
      </c>
      <c r="H410" s="1">
        <v>0</v>
      </c>
      <c r="I410" s="1">
        <v>677</v>
      </c>
      <c r="J410" s="1">
        <v>0</v>
      </c>
      <c r="K410" s="1">
        <v>0</v>
      </c>
      <c r="L410" s="1"/>
      <c r="M410" s="1"/>
      <c r="N410" s="1"/>
      <c r="O410" s="1"/>
      <c r="P410" s="1"/>
      <c r="Q410" s="1"/>
      <c r="R410" s="1"/>
      <c r="S410" s="1"/>
      <c r="T410" s="1"/>
    </row>
    <row r="411" spans="1:20" ht="13" x14ac:dyDescent="0.15">
      <c r="A411" s="1" t="s">
        <v>1242</v>
      </c>
      <c r="B411" s="1" t="s">
        <v>1243</v>
      </c>
      <c r="C411" s="4" t="s">
        <v>1244</v>
      </c>
      <c r="D411" s="1" t="s">
        <v>14</v>
      </c>
      <c r="E411" s="1">
        <v>59</v>
      </c>
      <c r="F411" s="1">
        <v>2</v>
      </c>
      <c r="G411" s="1">
        <v>0</v>
      </c>
      <c r="H411" s="1">
        <v>0</v>
      </c>
      <c r="I411" s="1">
        <v>561</v>
      </c>
      <c r="J411" s="1">
        <v>0</v>
      </c>
      <c r="K411" s="1">
        <v>1</v>
      </c>
      <c r="L411" s="1"/>
      <c r="M411" s="1"/>
      <c r="N411" s="1"/>
      <c r="O411" s="1"/>
      <c r="P411" s="1"/>
      <c r="Q411" s="1"/>
      <c r="R411" s="1"/>
      <c r="S411" s="1"/>
      <c r="T411" s="1"/>
    </row>
    <row r="412" spans="1:20" ht="13" x14ac:dyDescent="0.15">
      <c r="A412" s="1" t="s">
        <v>1245</v>
      </c>
      <c r="B412" s="1" t="s">
        <v>1246</v>
      </c>
      <c r="C412" s="4" t="s">
        <v>1247</v>
      </c>
      <c r="D412" s="1" t="s">
        <v>14</v>
      </c>
      <c r="E412" s="1">
        <v>68</v>
      </c>
      <c r="F412" s="1">
        <v>1</v>
      </c>
      <c r="G412" s="1">
        <v>0</v>
      </c>
      <c r="H412" s="1">
        <v>0</v>
      </c>
      <c r="I412" s="1">
        <v>19</v>
      </c>
      <c r="J412" s="1">
        <v>1</v>
      </c>
      <c r="K412" s="1">
        <v>1</v>
      </c>
      <c r="L412" s="1"/>
      <c r="M412" s="1"/>
      <c r="N412" s="1"/>
      <c r="O412" s="1"/>
      <c r="P412" s="1"/>
      <c r="Q412" s="1"/>
      <c r="R412" s="1"/>
      <c r="S412" s="1"/>
      <c r="T412" s="1"/>
    </row>
    <row r="413" spans="1:20" ht="13" x14ac:dyDescent="0.15">
      <c r="A413" s="1" t="s">
        <v>1248</v>
      </c>
      <c r="B413" s="1" t="s">
        <v>1249</v>
      </c>
      <c r="C413" s="4" t="s">
        <v>1250</v>
      </c>
      <c r="D413" s="1" t="s">
        <v>14</v>
      </c>
      <c r="E413" s="1">
        <v>46</v>
      </c>
      <c r="F413" s="1">
        <v>2</v>
      </c>
      <c r="G413" s="1">
        <v>1</v>
      </c>
      <c r="H413" s="1">
        <v>0</v>
      </c>
      <c r="I413" s="1">
        <v>743</v>
      </c>
      <c r="J413" s="1">
        <v>0</v>
      </c>
      <c r="K413" s="1">
        <v>1</v>
      </c>
      <c r="L413" s="1"/>
      <c r="M413" s="1"/>
      <c r="N413" s="1"/>
      <c r="O413" s="1"/>
      <c r="P413" s="1"/>
      <c r="Q413" s="1"/>
      <c r="R413" s="1"/>
      <c r="S413" s="1"/>
      <c r="T413" s="1"/>
    </row>
    <row r="414" spans="1:20" ht="13" x14ac:dyDescent="0.15">
      <c r="A414" s="1" t="s">
        <v>1251</v>
      </c>
      <c r="B414" s="1" t="s">
        <v>1252</v>
      </c>
      <c r="C414" s="4" t="s">
        <v>1253</v>
      </c>
      <c r="D414" s="1" t="s">
        <v>14</v>
      </c>
      <c r="E414" s="1">
        <v>66</v>
      </c>
      <c r="F414" s="1">
        <v>2</v>
      </c>
      <c r="G414" s="1">
        <v>1</v>
      </c>
      <c r="H414" s="1">
        <v>0</v>
      </c>
      <c r="I414" s="1">
        <v>1248</v>
      </c>
      <c r="J414" s="1">
        <v>0</v>
      </c>
      <c r="K414" s="1">
        <v>1</v>
      </c>
      <c r="L414" s="1"/>
      <c r="M414" s="1"/>
      <c r="N414" s="1"/>
      <c r="O414" s="1"/>
      <c r="P414" s="1"/>
      <c r="Q414" s="1"/>
      <c r="R414" s="1"/>
      <c r="S414" s="1"/>
      <c r="T414" s="1"/>
    </row>
    <row r="415" spans="1:20" ht="13" x14ac:dyDescent="0.15">
      <c r="A415" s="1" t="s">
        <v>1254</v>
      </c>
      <c r="B415" s="1" t="s">
        <v>1255</v>
      </c>
      <c r="C415" s="4" t="s">
        <v>1256</v>
      </c>
      <c r="D415" s="1" t="s">
        <v>14</v>
      </c>
      <c r="E415" s="1">
        <v>47</v>
      </c>
      <c r="F415" s="1">
        <v>1</v>
      </c>
      <c r="G415" s="1">
        <v>0</v>
      </c>
      <c r="H415" s="1">
        <v>0</v>
      </c>
      <c r="I415" s="1">
        <v>740</v>
      </c>
      <c r="J415" s="1">
        <v>0</v>
      </c>
      <c r="K415" s="1">
        <v>0</v>
      </c>
      <c r="L415" s="1"/>
      <c r="M415" s="1"/>
      <c r="N415" s="1"/>
      <c r="O415" s="1"/>
      <c r="P415" s="1"/>
      <c r="Q415" s="1"/>
      <c r="R415" s="1"/>
      <c r="S415" s="1"/>
      <c r="T415" s="1"/>
    </row>
    <row r="416" spans="1:20" ht="13" x14ac:dyDescent="0.15">
      <c r="A416" s="1" t="s">
        <v>1257</v>
      </c>
      <c r="B416" s="1" t="s">
        <v>1258</v>
      </c>
      <c r="C416" s="4" t="s">
        <v>1259</v>
      </c>
      <c r="D416" s="1" t="s">
        <v>14</v>
      </c>
      <c r="E416" s="1">
        <v>62</v>
      </c>
      <c r="F416" s="1">
        <v>1</v>
      </c>
      <c r="G416" s="1">
        <v>0</v>
      </c>
      <c r="H416" s="1">
        <v>0</v>
      </c>
      <c r="I416" s="1">
        <v>773</v>
      </c>
      <c r="J416" s="1">
        <v>0</v>
      </c>
      <c r="K416" s="1">
        <v>0</v>
      </c>
      <c r="L416" s="1"/>
      <c r="M416" s="1"/>
      <c r="N416" s="1"/>
      <c r="O416" s="1"/>
      <c r="P416" s="1"/>
      <c r="Q416" s="1"/>
      <c r="R416" s="1"/>
      <c r="S416" s="1"/>
      <c r="T416" s="1"/>
    </row>
    <row r="417" spans="1:20" ht="13" x14ac:dyDescent="0.15">
      <c r="A417" s="1" t="s">
        <v>1260</v>
      </c>
      <c r="B417" s="1" t="s">
        <v>1261</v>
      </c>
      <c r="C417" s="4" t="s">
        <v>1262</v>
      </c>
      <c r="D417" s="1" t="s">
        <v>14</v>
      </c>
      <c r="E417" s="1">
        <v>48</v>
      </c>
      <c r="F417" s="1">
        <v>1</v>
      </c>
      <c r="G417" s="1">
        <v>0</v>
      </c>
      <c r="H417" s="1">
        <v>0</v>
      </c>
      <c r="I417" s="1">
        <v>660</v>
      </c>
      <c r="J417" s="1">
        <v>0</v>
      </c>
      <c r="K417" s="1">
        <v>1</v>
      </c>
      <c r="L417" s="1"/>
      <c r="M417" s="1"/>
      <c r="N417" s="1"/>
      <c r="O417" s="1"/>
      <c r="P417" s="1"/>
      <c r="Q417" s="1"/>
      <c r="R417" s="1"/>
      <c r="S417" s="1"/>
      <c r="T417" s="1"/>
    </row>
    <row r="418" spans="1:20" ht="13" x14ac:dyDescent="0.15">
      <c r="A418" s="1" t="s">
        <v>1263</v>
      </c>
      <c r="B418" s="1" t="s">
        <v>1264</v>
      </c>
      <c r="C418" s="4" t="s">
        <v>1265</v>
      </c>
      <c r="D418" s="1" t="s">
        <v>14</v>
      </c>
      <c r="E418" s="1">
        <v>76</v>
      </c>
      <c r="F418" s="1">
        <v>2</v>
      </c>
      <c r="G418" s="1">
        <v>1</v>
      </c>
      <c r="H418" s="1">
        <v>0</v>
      </c>
      <c r="I418" s="1">
        <v>461</v>
      </c>
      <c r="J418" s="1">
        <v>1</v>
      </c>
      <c r="K418" s="1">
        <v>1</v>
      </c>
      <c r="L418" s="1"/>
      <c r="M418" s="1"/>
      <c r="N418" s="1"/>
      <c r="O418" s="1"/>
      <c r="P418" s="1"/>
      <c r="Q418" s="1"/>
      <c r="R418" s="1"/>
      <c r="S418" s="1"/>
      <c r="T418" s="1"/>
    </row>
    <row r="419" spans="1:20" ht="13" x14ac:dyDescent="0.15">
      <c r="A419" s="1" t="s">
        <v>1266</v>
      </c>
      <c r="B419" s="1" t="s">
        <v>1267</v>
      </c>
      <c r="C419" s="4" t="s">
        <v>1268</v>
      </c>
      <c r="D419" s="1" t="s">
        <v>14</v>
      </c>
      <c r="E419" s="1">
        <v>68</v>
      </c>
      <c r="F419" s="1">
        <v>2</v>
      </c>
      <c r="G419" s="1">
        <v>1</v>
      </c>
      <c r="H419" s="1">
        <v>0</v>
      </c>
      <c r="I419" s="1">
        <v>86</v>
      </c>
      <c r="J419" s="1">
        <v>1</v>
      </c>
      <c r="K419" s="1">
        <v>0</v>
      </c>
      <c r="L419" s="1"/>
      <c r="M419" s="1"/>
      <c r="N419" s="1"/>
      <c r="O419" s="1"/>
      <c r="P419" s="1"/>
      <c r="Q419" s="1"/>
      <c r="R419" s="1"/>
      <c r="S419" s="1"/>
      <c r="T419" s="1"/>
    </row>
    <row r="420" spans="1:20" ht="13" x14ac:dyDescent="0.15">
      <c r="A420" s="1" t="s">
        <v>1269</v>
      </c>
      <c r="B420" s="1" t="s">
        <v>1270</v>
      </c>
      <c r="C420" s="4" t="s">
        <v>1271</v>
      </c>
      <c r="D420" s="1" t="s">
        <v>14</v>
      </c>
      <c r="E420" s="1">
        <v>60</v>
      </c>
      <c r="F420" s="1">
        <v>1</v>
      </c>
      <c r="G420" s="1">
        <v>1</v>
      </c>
      <c r="H420" s="1">
        <v>0</v>
      </c>
      <c r="I420" s="1">
        <v>388</v>
      </c>
      <c r="J420" s="1">
        <v>0</v>
      </c>
      <c r="K420" s="1">
        <v>0</v>
      </c>
      <c r="L420" s="1"/>
      <c r="M420" s="1"/>
      <c r="N420" s="1"/>
      <c r="O420" s="1"/>
      <c r="P420" s="1"/>
      <c r="Q420" s="1"/>
      <c r="R420" s="1"/>
      <c r="S420" s="1"/>
      <c r="T420" s="1"/>
    </row>
    <row r="421" spans="1:20" ht="13" x14ac:dyDescent="0.15">
      <c r="A421" s="1" t="s">
        <v>1272</v>
      </c>
      <c r="B421" s="1" t="s">
        <v>1273</v>
      </c>
      <c r="C421" s="4" t="s">
        <v>1274</v>
      </c>
      <c r="D421" s="1" t="s">
        <v>14</v>
      </c>
      <c r="E421" s="1">
        <v>57</v>
      </c>
      <c r="F421" s="1">
        <v>1</v>
      </c>
      <c r="G421" s="1">
        <v>1</v>
      </c>
      <c r="H421" s="1">
        <v>0</v>
      </c>
      <c r="I421" s="1">
        <v>565</v>
      </c>
      <c r="J421" s="1">
        <v>0</v>
      </c>
      <c r="K421" s="1">
        <v>0</v>
      </c>
      <c r="L421" s="1"/>
      <c r="M421" s="1"/>
      <c r="N421" s="1"/>
      <c r="O421" s="1"/>
      <c r="P421" s="1"/>
      <c r="Q421" s="1"/>
      <c r="R421" s="1"/>
      <c r="S421" s="1"/>
      <c r="T421" s="1"/>
    </row>
    <row r="422" spans="1:20" ht="13" x14ac:dyDescent="0.15">
      <c r="A422" s="1" t="s">
        <v>1275</v>
      </c>
      <c r="B422" s="1" t="s">
        <v>1276</v>
      </c>
      <c r="C422" s="4" t="s">
        <v>1277</v>
      </c>
      <c r="D422" s="1" t="s">
        <v>14</v>
      </c>
      <c r="E422" s="1">
        <v>57</v>
      </c>
      <c r="F422" s="1">
        <v>2</v>
      </c>
      <c r="G422" s="1">
        <v>0</v>
      </c>
      <c r="H422" s="1">
        <v>0</v>
      </c>
      <c r="I422" s="1">
        <v>509</v>
      </c>
      <c r="J422" s="1">
        <v>1</v>
      </c>
      <c r="K422" s="1">
        <v>1</v>
      </c>
      <c r="L422" s="1"/>
      <c r="M422" s="1"/>
      <c r="N422" s="1"/>
      <c r="O422" s="1"/>
      <c r="P422" s="1"/>
      <c r="Q422" s="1"/>
      <c r="R422" s="1"/>
      <c r="S422" s="1"/>
      <c r="T422" s="1"/>
    </row>
    <row r="423" spans="1:20" ht="13" x14ac:dyDescent="0.15">
      <c r="A423" s="1" t="s">
        <v>1278</v>
      </c>
      <c r="B423" s="1" t="s">
        <v>1279</v>
      </c>
      <c r="C423" s="4" t="s">
        <v>1280</v>
      </c>
      <c r="D423" s="1" t="s">
        <v>14</v>
      </c>
      <c r="E423" s="1">
        <v>60</v>
      </c>
      <c r="F423" s="1">
        <v>1</v>
      </c>
      <c r="G423" s="1">
        <v>0</v>
      </c>
      <c r="H423" s="1">
        <v>0</v>
      </c>
      <c r="I423" s="1">
        <v>534</v>
      </c>
      <c r="J423" s="1">
        <v>0</v>
      </c>
      <c r="K423" s="1">
        <v>0</v>
      </c>
      <c r="L423" s="1"/>
      <c r="M423" s="1"/>
      <c r="N423" s="1"/>
      <c r="O423" s="1"/>
      <c r="P423" s="1"/>
      <c r="Q423" s="1"/>
      <c r="R423" s="1"/>
      <c r="S423" s="1"/>
      <c r="T423" s="1"/>
    </row>
    <row r="424" spans="1:20" ht="13" x14ac:dyDescent="0.15">
      <c r="A424" s="1" t="s">
        <v>1281</v>
      </c>
      <c r="B424" s="1" t="s">
        <v>1282</v>
      </c>
      <c r="C424" s="4" t="s">
        <v>1283</v>
      </c>
      <c r="D424" s="1" t="s">
        <v>14</v>
      </c>
      <c r="E424" s="1">
        <v>59</v>
      </c>
      <c r="F424" s="1">
        <v>2</v>
      </c>
      <c r="G424" s="1">
        <v>1</v>
      </c>
      <c r="H424" s="1">
        <v>0</v>
      </c>
      <c r="I424" s="1">
        <v>539</v>
      </c>
      <c r="J424" s="1">
        <v>0</v>
      </c>
      <c r="K424" s="1">
        <v>1</v>
      </c>
      <c r="L424" s="1"/>
      <c r="M424" s="1"/>
      <c r="N424" s="1"/>
      <c r="O424" s="1"/>
      <c r="P424" s="1"/>
      <c r="Q424" s="1"/>
      <c r="R424" s="1"/>
      <c r="S424" s="1"/>
      <c r="T424" s="1"/>
    </row>
    <row r="425" spans="1:20" ht="13" x14ac:dyDescent="0.15">
      <c r="A425" s="1" t="s">
        <v>1284</v>
      </c>
      <c r="B425" s="1" t="s">
        <v>1285</v>
      </c>
      <c r="C425" s="4" t="s">
        <v>1286</v>
      </c>
      <c r="D425" s="1" t="s">
        <v>14</v>
      </c>
      <c r="E425" s="1">
        <v>60</v>
      </c>
      <c r="F425" s="1">
        <v>1</v>
      </c>
      <c r="G425" s="1">
        <v>0</v>
      </c>
      <c r="H425" s="1">
        <v>0</v>
      </c>
      <c r="I425" s="1">
        <v>244</v>
      </c>
      <c r="J425" s="1">
        <v>1</v>
      </c>
      <c r="K425" s="1">
        <v>0</v>
      </c>
      <c r="L425" s="1"/>
      <c r="M425" s="1"/>
      <c r="N425" s="1"/>
      <c r="O425" s="1"/>
      <c r="P425" s="1"/>
      <c r="Q425" s="1"/>
      <c r="R425" s="1"/>
      <c r="S425" s="1"/>
      <c r="T425" s="1"/>
    </row>
    <row r="426" spans="1:20" ht="13" x14ac:dyDescent="0.15">
      <c r="A426" s="1" t="s">
        <v>1287</v>
      </c>
      <c r="B426" s="1" t="s">
        <v>1288</v>
      </c>
      <c r="C426" s="4" t="s">
        <v>1289</v>
      </c>
      <c r="D426" s="1" t="s">
        <v>14</v>
      </c>
      <c r="E426" s="1">
        <v>60</v>
      </c>
      <c r="F426" s="1">
        <v>1</v>
      </c>
      <c r="G426" s="1">
        <v>1</v>
      </c>
      <c r="H426" s="1">
        <v>0</v>
      </c>
      <c r="I426" s="1">
        <v>319</v>
      </c>
      <c r="J426" s="1">
        <v>1</v>
      </c>
      <c r="K426" s="1">
        <v>1</v>
      </c>
      <c r="L426" s="1"/>
      <c r="M426" s="1"/>
      <c r="N426" s="1"/>
      <c r="O426" s="1"/>
      <c r="P426" s="1"/>
      <c r="Q426" s="1"/>
      <c r="R426" s="1"/>
      <c r="S426" s="1"/>
      <c r="T426" s="1"/>
    </row>
    <row r="427" spans="1:20" ht="13" x14ac:dyDescent="0.15">
      <c r="A427" s="1" t="s">
        <v>1290</v>
      </c>
      <c r="B427" s="1" t="s">
        <v>1291</v>
      </c>
      <c r="C427" s="4" t="s">
        <v>1292</v>
      </c>
      <c r="D427" s="1" t="s">
        <v>14</v>
      </c>
      <c r="E427" s="1">
        <v>43</v>
      </c>
      <c r="F427" s="1">
        <v>1</v>
      </c>
      <c r="G427" s="1">
        <v>0</v>
      </c>
      <c r="H427" s="1">
        <v>0</v>
      </c>
      <c r="I427" s="1">
        <v>213</v>
      </c>
      <c r="J427" s="1">
        <v>1</v>
      </c>
      <c r="K427" s="1">
        <v>1</v>
      </c>
      <c r="L427" s="1"/>
      <c r="M427" s="1"/>
      <c r="N427" s="1"/>
      <c r="O427" s="1"/>
      <c r="P427" s="1"/>
      <c r="Q427" s="1"/>
      <c r="R427" s="1"/>
      <c r="S427" s="1"/>
      <c r="T427" s="1"/>
    </row>
    <row r="428" spans="1:20" ht="13" x14ac:dyDescent="0.15">
      <c r="A428" s="1" t="s">
        <v>1293</v>
      </c>
      <c r="B428" s="1" t="s">
        <v>1294</v>
      </c>
      <c r="C428" s="4" t="s">
        <v>1295</v>
      </c>
      <c r="D428" s="1" t="s">
        <v>14</v>
      </c>
      <c r="E428" s="1">
        <v>31</v>
      </c>
      <c r="F428" s="1">
        <v>2</v>
      </c>
      <c r="G428" s="1">
        <v>0</v>
      </c>
      <c r="H428" s="1">
        <v>0</v>
      </c>
      <c r="I428" s="1">
        <v>510</v>
      </c>
      <c r="J428" s="1">
        <v>1</v>
      </c>
      <c r="K428" s="1">
        <v>1</v>
      </c>
      <c r="L428" s="1"/>
      <c r="M428" s="1"/>
      <c r="N428" s="1"/>
      <c r="O428" s="1"/>
      <c r="P428" s="1"/>
      <c r="Q428" s="1"/>
      <c r="R428" s="1"/>
      <c r="S428" s="1"/>
      <c r="T428" s="1"/>
    </row>
    <row r="429" spans="1:20" ht="13" x14ac:dyDescent="0.15">
      <c r="A429" s="1" t="s">
        <v>1296</v>
      </c>
      <c r="B429" s="1" t="s">
        <v>1297</v>
      </c>
      <c r="C429" s="4" t="s">
        <v>1298</v>
      </c>
      <c r="D429" s="1" t="s">
        <v>14</v>
      </c>
      <c r="E429" s="1">
        <v>69</v>
      </c>
      <c r="F429" s="1">
        <v>2</v>
      </c>
      <c r="G429" s="1">
        <v>0</v>
      </c>
      <c r="H429" s="1">
        <v>0</v>
      </c>
      <c r="I429" s="1">
        <v>1037</v>
      </c>
      <c r="J429" s="1">
        <v>0</v>
      </c>
      <c r="K429" s="1">
        <v>0</v>
      </c>
      <c r="L429" s="1"/>
      <c r="M429" s="1"/>
      <c r="N429" s="1"/>
      <c r="O429" s="1"/>
      <c r="P429" s="1"/>
      <c r="Q429" s="1"/>
      <c r="R429" s="1"/>
      <c r="S429" s="1"/>
      <c r="T429" s="1"/>
    </row>
    <row r="430" spans="1:20" ht="13" x14ac:dyDescent="0.15">
      <c r="A430" s="1" t="s">
        <v>1299</v>
      </c>
      <c r="B430" s="1" t="s">
        <v>1300</v>
      </c>
      <c r="C430" s="4" t="s">
        <v>1301</v>
      </c>
      <c r="D430" s="1" t="s">
        <v>14</v>
      </c>
      <c r="E430" s="1">
        <v>71</v>
      </c>
      <c r="F430" s="1">
        <v>1</v>
      </c>
      <c r="G430" s="1">
        <v>1</v>
      </c>
      <c r="H430" s="1">
        <v>0</v>
      </c>
      <c r="I430" s="1">
        <v>349</v>
      </c>
      <c r="J430" s="1">
        <v>1</v>
      </c>
      <c r="K430" s="1">
        <v>0</v>
      </c>
      <c r="L430" s="1"/>
      <c r="M430" s="1"/>
      <c r="N430" s="1"/>
      <c r="O430" s="1"/>
      <c r="P430" s="1"/>
      <c r="Q430" s="1"/>
      <c r="R430" s="1"/>
      <c r="S430" s="1"/>
      <c r="T430" s="1"/>
    </row>
    <row r="431" spans="1:20" ht="13" x14ac:dyDescent="0.15">
      <c r="A431" s="1" t="s">
        <v>1302</v>
      </c>
      <c r="B431" s="1" t="s">
        <v>1303</v>
      </c>
      <c r="C431" s="4" t="s">
        <v>1304</v>
      </c>
      <c r="D431" s="1" t="s">
        <v>14</v>
      </c>
      <c r="E431" s="1">
        <v>65</v>
      </c>
      <c r="F431" s="1">
        <v>1</v>
      </c>
      <c r="G431" s="1">
        <v>1</v>
      </c>
      <c r="H431" s="1">
        <v>0</v>
      </c>
      <c r="I431" s="1">
        <v>205</v>
      </c>
      <c r="J431" s="1">
        <v>0</v>
      </c>
      <c r="K431" s="1">
        <v>1</v>
      </c>
      <c r="L431" s="1"/>
      <c r="M431" s="1"/>
      <c r="N431" s="1"/>
      <c r="O431" s="1"/>
      <c r="P431" s="1"/>
      <c r="Q431" s="1"/>
      <c r="R431" s="1"/>
      <c r="S431" s="1"/>
      <c r="T431" s="1"/>
    </row>
    <row r="432" spans="1:20" ht="13" x14ac:dyDescent="0.15">
      <c r="A432" s="1" t="s">
        <v>1305</v>
      </c>
      <c r="B432" s="1" t="s">
        <v>1306</v>
      </c>
      <c r="C432" s="4" t="s">
        <v>1307</v>
      </c>
      <c r="D432" s="1" t="s">
        <v>14</v>
      </c>
      <c r="E432" s="1">
        <v>58</v>
      </c>
      <c r="F432" s="1">
        <v>2</v>
      </c>
      <c r="G432" s="1">
        <v>0</v>
      </c>
      <c r="H432" s="1">
        <v>0</v>
      </c>
      <c r="I432" s="1">
        <v>421</v>
      </c>
      <c r="J432" s="1">
        <v>0</v>
      </c>
      <c r="K432" s="1">
        <v>1</v>
      </c>
      <c r="L432" s="1"/>
      <c r="M432" s="1"/>
      <c r="N432" s="1"/>
      <c r="O432" s="1"/>
      <c r="P432" s="1"/>
      <c r="Q432" s="1"/>
      <c r="R432" s="1"/>
      <c r="S432" s="1"/>
      <c r="T432" s="1"/>
    </row>
    <row r="433" spans="1:20" ht="13" x14ac:dyDescent="0.15">
      <c r="A433" s="1" t="s">
        <v>1308</v>
      </c>
      <c r="B433" s="1" t="s">
        <v>1309</v>
      </c>
      <c r="C433" s="4" t="s">
        <v>1310</v>
      </c>
      <c r="D433" s="1" t="s">
        <v>14</v>
      </c>
      <c r="E433" s="1">
        <v>52</v>
      </c>
      <c r="F433" s="1">
        <v>1</v>
      </c>
      <c r="G433" s="1">
        <v>1</v>
      </c>
      <c r="H433" s="1">
        <v>0</v>
      </c>
      <c r="I433" s="1">
        <v>169</v>
      </c>
      <c r="J433" s="1">
        <v>0</v>
      </c>
      <c r="K433" s="1">
        <v>1</v>
      </c>
      <c r="L433" s="1"/>
      <c r="M433" s="1"/>
      <c r="N433" s="1"/>
      <c r="O433" s="1"/>
      <c r="P433" s="1"/>
      <c r="Q433" s="1"/>
      <c r="R433" s="1"/>
      <c r="S433" s="1"/>
      <c r="T433" s="1"/>
    </row>
    <row r="434" spans="1:20" ht="13" x14ac:dyDescent="0.15">
      <c r="A434" s="1" t="s">
        <v>1311</v>
      </c>
      <c r="B434" s="1" t="s">
        <v>1312</v>
      </c>
      <c r="C434" s="4" t="s">
        <v>1313</v>
      </c>
      <c r="D434" s="1" t="s">
        <v>14</v>
      </c>
      <c r="E434" s="1">
        <v>47</v>
      </c>
      <c r="F434" s="1">
        <v>1</v>
      </c>
      <c r="G434" s="1">
        <v>0</v>
      </c>
      <c r="H434" s="1">
        <v>0</v>
      </c>
      <c r="I434" s="1">
        <v>239</v>
      </c>
      <c r="J434" s="1">
        <v>1</v>
      </c>
      <c r="K434" s="1">
        <v>1</v>
      </c>
      <c r="L434" s="1"/>
      <c r="M434" s="1"/>
      <c r="N434" s="1"/>
      <c r="O434" s="1"/>
      <c r="P434" s="1"/>
      <c r="Q434" s="1"/>
      <c r="R434" s="1"/>
      <c r="S434" s="1"/>
      <c r="T434" s="1"/>
    </row>
    <row r="435" spans="1:20" ht="13" x14ac:dyDescent="0.15">
      <c r="A435" s="1" t="s">
        <v>1314</v>
      </c>
      <c r="B435" s="1" t="s">
        <v>1315</v>
      </c>
      <c r="C435" s="4" t="s">
        <v>1316</v>
      </c>
      <c r="D435" s="1" t="s">
        <v>14</v>
      </c>
      <c r="E435" s="1">
        <v>74</v>
      </c>
      <c r="F435" s="1">
        <v>1</v>
      </c>
      <c r="G435" s="1">
        <v>1</v>
      </c>
      <c r="H435" s="1">
        <v>0</v>
      </c>
      <c r="I435" s="1">
        <v>174</v>
      </c>
      <c r="J435" s="1">
        <v>0</v>
      </c>
      <c r="K435" s="1">
        <v>1</v>
      </c>
      <c r="L435" s="1"/>
      <c r="M435" s="1"/>
      <c r="N435" s="1"/>
      <c r="O435" s="1"/>
      <c r="P435" s="1"/>
      <c r="Q435" s="1"/>
      <c r="R435" s="1"/>
      <c r="S435" s="1"/>
      <c r="T435" s="1"/>
    </row>
    <row r="436" spans="1:20" ht="13" x14ac:dyDescent="0.15">
      <c r="A436" s="1" t="s">
        <v>1317</v>
      </c>
      <c r="B436" s="1" t="s">
        <v>1318</v>
      </c>
      <c r="C436" s="4" t="s">
        <v>1319</v>
      </c>
      <c r="D436" s="1" t="s">
        <v>14</v>
      </c>
      <c r="E436" s="1">
        <v>77</v>
      </c>
      <c r="F436" s="1">
        <v>2</v>
      </c>
      <c r="G436" s="1">
        <v>0</v>
      </c>
      <c r="H436" s="1">
        <v>0</v>
      </c>
      <c r="I436" s="1">
        <v>351</v>
      </c>
      <c r="J436" s="1">
        <v>0</v>
      </c>
      <c r="K436" s="1">
        <v>0</v>
      </c>
      <c r="L436" s="1"/>
      <c r="M436" s="1"/>
      <c r="N436" s="1"/>
      <c r="O436" s="1"/>
      <c r="P436" s="1"/>
      <c r="Q436" s="1"/>
      <c r="R436" s="1"/>
      <c r="S436" s="1"/>
      <c r="T436" s="1"/>
    </row>
    <row r="437" spans="1:20" ht="13" x14ac:dyDescent="0.15">
      <c r="A437" s="1" t="s">
        <v>1320</v>
      </c>
      <c r="B437" s="1" t="s">
        <v>1321</v>
      </c>
      <c r="C437" s="4" t="s">
        <v>1322</v>
      </c>
      <c r="D437" s="1" t="s">
        <v>14</v>
      </c>
      <c r="E437" s="1">
        <v>43</v>
      </c>
      <c r="F437" s="1">
        <v>1</v>
      </c>
      <c r="G437" s="1">
        <v>1</v>
      </c>
      <c r="H437" s="1">
        <v>1</v>
      </c>
      <c r="I437" s="1">
        <v>407</v>
      </c>
      <c r="J437" s="1">
        <v>0</v>
      </c>
      <c r="K437" s="1">
        <v>0</v>
      </c>
      <c r="L437" s="1"/>
      <c r="M437" s="1"/>
      <c r="N437" s="1"/>
      <c r="O437" s="1"/>
      <c r="P437" s="1"/>
      <c r="Q437" s="1"/>
      <c r="R437" s="1"/>
      <c r="S437" s="1"/>
      <c r="T437" s="1"/>
    </row>
    <row r="438" spans="1:20" ht="13" x14ac:dyDescent="0.15">
      <c r="A438" s="1" t="s">
        <v>1323</v>
      </c>
      <c r="B438" s="1" t="s">
        <v>1324</v>
      </c>
      <c r="C438" s="4" t="s">
        <v>1325</v>
      </c>
      <c r="D438" s="1" t="s">
        <v>14</v>
      </c>
      <c r="E438" s="1">
        <v>54</v>
      </c>
      <c r="F438" s="1">
        <v>2</v>
      </c>
      <c r="G438" s="1">
        <v>1</v>
      </c>
      <c r="H438" s="1">
        <v>0</v>
      </c>
      <c r="I438" s="1">
        <v>571</v>
      </c>
      <c r="J438" s="1">
        <v>0</v>
      </c>
      <c r="K438" s="1">
        <v>0</v>
      </c>
      <c r="L438" s="1"/>
      <c r="M438" s="1"/>
      <c r="N438" s="1"/>
      <c r="O438" s="1"/>
      <c r="P438" s="1"/>
      <c r="Q438" s="1"/>
      <c r="R438" s="1"/>
      <c r="S438" s="1"/>
      <c r="T438" s="1"/>
    </row>
    <row r="439" spans="1:20" ht="13" x14ac:dyDescent="0.15">
      <c r="A439" s="1" t="s">
        <v>1326</v>
      </c>
      <c r="B439" s="1" t="s">
        <v>1327</v>
      </c>
      <c r="C439" s="4" t="s">
        <v>1328</v>
      </c>
      <c r="D439" s="1" t="s">
        <v>14</v>
      </c>
      <c r="E439" s="1">
        <v>56</v>
      </c>
      <c r="F439" s="1">
        <v>2</v>
      </c>
      <c r="G439" s="1">
        <v>1</v>
      </c>
      <c r="H439" s="1">
        <v>0</v>
      </c>
      <c r="I439" s="1">
        <v>248</v>
      </c>
      <c r="J439" s="1">
        <v>1</v>
      </c>
      <c r="K439" s="1">
        <v>1</v>
      </c>
      <c r="L439" s="1"/>
      <c r="M439" s="1"/>
      <c r="N439" s="1"/>
      <c r="O439" s="1"/>
      <c r="P439" s="1"/>
      <c r="Q439" s="1"/>
      <c r="R439" s="1"/>
      <c r="S439" s="1"/>
      <c r="T439" s="1"/>
    </row>
    <row r="440" spans="1:20" ht="13" x14ac:dyDescent="0.15">
      <c r="A440" s="1" t="s">
        <v>1329</v>
      </c>
      <c r="B440" s="1" t="s">
        <v>1330</v>
      </c>
      <c r="C440" s="4" t="s">
        <v>1331</v>
      </c>
      <c r="D440" s="1" t="s">
        <v>14</v>
      </c>
      <c r="E440" s="1">
        <v>64</v>
      </c>
      <c r="F440" s="1">
        <v>1</v>
      </c>
      <c r="G440" s="1">
        <v>0</v>
      </c>
      <c r="H440" s="1">
        <v>0</v>
      </c>
      <c r="I440" s="1">
        <v>219</v>
      </c>
      <c r="J440" s="1">
        <v>1</v>
      </c>
      <c r="K440" s="1">
        <v>1</v>
      </c>
      <c r="L440" s="1"/>
      <c r="M440" s="1"/>
      <c r="N440" s="1"/>
      <c r="O440" s="1"/>
      <c r="P440" s="1"/>
      <c r="Q440" s="1"/>
      <c r="R440" s="1"/>
      <c r="S440" s="1"/>
      <c r="T440" s="1"/>
    </row>
    <row r="441" spans="1:20" ht="13" x14ac:dyDescent="0.15">
      <c r="A441" s="1" t="s">
        <v>1332</v>
      </c>
      <c r="B441" s="1" t="s">
        <v>1333</v>
      </c>
      <c r="C441" s="4" t="s">
        <v>1334</v>
      </c>
      <c r="D441" s="1" t="s">
        <v>14</v>
      </c>
      <c r="E441" s="1">
        <v>44</v>
      </c>
      <c r="F441" s="1">
        <v>1</v>
      </c>
      <c r="G441" s="1">
        <v>1</v>
      </c>
      <c r="H441" s="1">
        <v>0</v>
      </c>
      <c r="I441" s="1">
        <v>616</v>
      </c>
      <c r="J441" s="1">
        <v>0</v>
      </c>
      <c r="K441" s="1">
        <v>0</v>
      </c>
      <c r="L441" s="1"/>
      <c r="M441" s="1"/>
      <c r="N441" s="1"/>
      <c r="O441" s="1"/>
      <c r="P441" s="1"/>
      <c r="Q441" s="1"/>
      <c r="R441" s="1"/>
      <c r="S441" s="1"/>
      <c r="T441" s="1"/>
    </row>
    <row r="442" spans="1:20" ht="13" x14ac:dyDescent="0.15">
      <c r="A442" s="1" t="s">
        <v>1335</v>
      </c>
      <c r="B442" s="1" t="s">
        <v>1336</v>
      </c>
      <c r="C442" s="4" t="s">
        <v>1337</v>
      </c>
      <c r="D442" s="1" t="s">
        <v>14</v>
      </c>
      <c r="E442" s="1">
        <v>56</v>
      </c>
      <c r="F442" s="1">
        <v>2</v>
      </c>
      <c r="G442" s="1">
        <v>1</v>
      </c>
      <c r="H442" s="1">
        <v>0</v>
      </c>
      <c r="I442" s="1">
        <v>762</v>
      </c>
      <c r="J442" s="1">
        <v>0</v>
      </c>
      <c r="K442" s="1">
        <v>0</v>
      </c>
      <c r="L442" s="1"/>
      <c r="M442" s="1"/>
      <c r="N442" s="1"/>
      <c r="O442" s="1"/>
      <c r="P442" s="1"/>
      <c r="Q442" s="1"/>
      <c r="R442" s="1"/>
      <c r="S442" s="1"/>
      <c r="T442" s="1"/>
    </row>
    <row r="443" spans="1:20" ht="13" x14ac:dyDescent="0.15">
      <c r="A443" s="1" t="s">
        <v>1338</v>
      </c>
      <c r="B443" s="1" t="s">
        <v>1339</v>
      </c>
      <c r="C443" s="4" t="s">
        <v>1340</v>
      </c>
      <c r="D443" s="1" t="s">
        <v>14</v>
      </c>
      <c r="E443" s="1">
        <v>62</v>
      </c>
      <c r="F443" s="1">
        <v>2</v>
      </c>
      <c r="G443" s="1">
        <v>0</v>
      </c>
      <c r="H443" s="1">
        <v>0</v>
      </c>
      <c r="I443" s="1">
        <v>386</v>
      </c>
      <c r="J443" s="1">
        <v>0</v>
      </c>
      <c r="K443" s="1">
        <v>1</v>
      </c>
      <c r="L443" s="1"/>
      <c r="M443" s="1"/>
      <c r="N443" s="1"/>
      <c r="O443" s="1"/>
      <c r="P443" s="1"/>
      <c r="Q443" s="1"/>
      <c r="R443" s="1"/>
      <c r="S443" s="1"/>
      <c r="T443" s="1"/>
    </row>
    <row r="444" spans="1:20" ht="13" x14ac:dyDescent="0.15">
      <c r="A444" s="1" t="s">
        <v>1341</v>
      </c>
      <c r="B444" s="1" t="s">
        <v>1342</v>
      </c>
      <c r="C444" s="5" t="s">
        <v>1343</v>
      </c>
      <c r="D444" s="1" t="s">
        <v>304</v>
      </c>
      <c r="E444" s="1">
        <v>56.25</v>
      </c>
      <c r="F444" s="1">
        <v>2</v>
      </c>
      <c r="G444" s="1">
        <v>0</v>
      </c>
      <c r="H444" s="1">
        <v>0</v>
      </c>
      <c r="I444" s="1">
        <v>397</v>
      </c>
      <c r="J444" s="1">
        <v>0</v>
      </c>
      <c r="K444" s="43"/>
      <c r="L444" s="1"/>
      <c r="M444" s="1"/>
      <c r="N444" s="1"/>
      <c r="O444" s="1"/>
      <c r="P444" s="1"/>
      <c r="Q444" s="1"/>
      <c r="R444" s="1"/>
      <c r="S444" s="1"/>
      <c r="T444" s="1"/>
    </row>
    <row r="445" spans="1:20" ht="13" x14ac:dyDescent="0.15">
      <c r="A445" s="1" t="s">
        <v>1344</v>
      </c>
      <c r="B445" s="1" t="s">
        <v>1345</v>
      </c>
      <c r="C445" s="5" t="s">
        <v>1346</v>
      </c>
      <c r="D445" s="1" t="s">
        <v>304</v>
      </c>
      <c r="E445" s="1">
        <v>67.92</v>
      </c>
      <c r="F445" s="1">
        <v>1</v>
      </c>
      <c r="G445" s="1">
        <v>0</v>
      </c>
      <c r="H445" s="1">
        <v>0</v>
      </c>
      <c r="I445" s="1">
        <v>483</v>
      </c>
      <c r="J445" s="1">
        <v>1</v>
      </c>
      <c r="K445" s="43"/>
      <c r="L445" s="1"/>
      <c r="M445" s="1"/>
      <c r="N445" s="1"/>
      <c r="O445" s="1"/>
      <c r="P445" s="1"/>
      <c r="Q445" s="1"/>
      <c r="R445" s="1"/>
      <c r="S445" s="1"/>
      <c r="T445" s="1"/>
    </row>
    <row r="446" spans="1:20" ht="13" x14ac:dyDescent="0.15">
      <c r="A446" s="1" t="s">
        <v>1347</v>
      </c>
      <c r="B446" s="1" t="s">
        <v>1348</v>
      </c>
      <c r="C446" s="5" t="s">
        <v>1349</v>
      </c>
      <c r="D446" s="1" t="s">
        <v>304</v>
      </c>
      <c r="E446" s="1">
        <v>55.95</v>
      </c>
      <c r="F446" s="1">
        <v>2</v>
      </c>
      <c r="G446" s="1">
        <v>0</v>
      </c>
      <c r="H446" s="1">
        <v>0</v>
      </c>
      <c r="I446" s="1">
        <v>733</v>
      </c>
      <c r="J446" s="1">
        <v>0</v>
      </c>
      <c r="K446" s="43"/>
      <c r="L446" s="1"/>
      <c r="M446" s="1"/>
      <c r="N446" s="1"/>
      <c r="O446" s="1"/>
      <c r="P446" s="1"/>
      <c r="Q446" s="1"/>
      <c r="R446" s="1"/>
      <c r="S446" s="1"/>
      <c r="T446" s="1"/>
    </row>
    <row r="447" spans="1:20" ht="13" x14ac:dyDescent="0.15">
      <c r="A447" s="1" t="s">
        <v>1350</v>
      </c>
      <c r="B447" s="1" t="s">
        <v>1351</v>
      </c>
      <c r="C447" s="5" t="s">
        <v>1352</v>
      </c>
      <c r="D447" s="1" t="s">
        <v>304</v>
      </c>
      <c r="E447" s="1">
        <v>25.57</v>
      </c>
      <c r="F447" s="1">
        <v>2</v>
      </c>
      <c r="G447" s="1">
        <v>0</v>
      </c>
      <c r="H447" s="1">
        <v>0</v>
      </c>
      <c r="I447" s="1">
        <v>479</v>
      </c>
      <c r="J447" s="1">
        <v>0</v>
      </c>
      <c r="K447" s="43"/>
      <c r="L447" s="1"/>
      <c r="M447" s="1"/>
      <c r="N447" s="1"/>
      <c r="O447" s="1"/>
      <c r="P447" s="1"/>
      <c r="Q447" s="1"/>
      <c r="R447" s="1"/>
      <c r="S447" s="1"/>
      <c r="T447" s="1"/>
    </row>
    <row r="448" spans="1:20" ht="13" x14ac:dyDescent="0.15">
      <c r="A448" s="1" t="s">
        <v>1353</v>
      </c>
      <c r="B448" s="1" t="s">
        <v>1354</v>
      </c>
      <c r="C448" s="1" t="s">
        <v>1355</v>
      </c>
      <c r="D448" s="1" t="s">
        <v>210</v>
      </c>
      <c r="E448" s="1">
        <v>51</v>
      </c>
      <c r="F448" s="1">
        <v>1</v>
      </c>
      <c r="G448" s="1">
        <v>1</v>
      </c>
      <c r="H448" s="1">
        <v>0</v>
      </c>
      <c r="I448" s="1">
        <v>1489</v>
      </c>
      <c r="J448" s="43"/>
      <c r="K448" s="1">
        <v>1</v>
      </c>
      <c r="L448" s="1"/>
      <c r="M448" s="1"/>
      <c r="N448" s="1"/>
      <c r="O448" s="1"/>
      <c r="P448" s="1"/>
      <c r="Q448" s="1"/>
      <c r="R448" s="1"/>
      <c r="S448" s="1"/>
      <c r="T448" s="1"/>
    </row>
    <row r="449" spans="1:20" ht="13" x14ac:dyDescent="0.15">
      <c r="A449" s="1" t="s">
        <v>1356</v>
      </c>
      <c r="B449" s="1" t="s">
        <v>1357</v>
      </c>
      <c r="C449" s="1" t="s">
        <v>1358</v>
      </c>
      <c r="D449" s="1" t="s">
        <v>210</v>
      </c>
      <c r="E449" s="1">
        <v>18</v>
      </c>
      <c r="F449" s="1">
        <v>2</v>
      </c>
      <c r="G449" s="1">
        <v>1</v>
      </c>
      <c r="H449" s="1">
        <v>0</v>
      </c>
      <c r="I449" s="1">
        <v>630</v>
      </c>
      <c r="J449" s="43"/>
      <c r="K449" s="1">
        <v>1</v>
      </c>
      <c r="L449" s="1"/>
      <c r="M449" s="1"/>
      <c r="N449" s="1"/>
      <c r="O449" s="1"/>
      <c r="P449" s="1"/>
      <c r="Q449" s="1"/>
      <c r="R449" s="1"/>
      <c r="S449" s="1"/>
      <c r="T449" s="1"/>
    </row>
    <row r="450" spans="1:20" ht="13" x14ac:dyDescent="0.15">
      <c r="A450" s="1" t="s">
        <v>1359</v>
      </c>
      <c r="B450" s="1" t="s">
        <v>1360</v>
      </c>
      <c r="C450" s="5" t="s">
        <v>1361</v>
      </c>
      <c r="D450" s="1" t="s">
        <v>304</v>
      </c>
      <c r="E450" s="1">
        <v>83.63</v>
      </c>
      <c r="F450" s="1">
        <v>2</v>
      </c>
      <c r="G450" s="1">
        <v>0</v>
      </c>
      <c r="H450" s="1">
        <v>0</v>
      </c>
      <c r="I450" s="1">
        <v>13</v>
      </c>
      <c r="J450" s="1">
        <v>0</v>
      </c>
      <c r="K450" s="43"/>
      <c r="L450" s="1"/>
      <c r="M450" s="1"/>
      <c r="N450" s="1"/>
      <c r="O450" s="1"/>
      <c r="P450" s="1"/>
      <c r="Q450" s="1"/>
      <c r="R450" s="1"/>
      <c r="S450" s="1"/>
      <c r="T450" s="1"/>
    </row>
    <row r="451" spans="1:20" ht="13" x14ac:dyDescent="0.15">
      <c r="A451" s="1" t="s">
        <v>1362</v>
      </c>
      <c r="B451" s="1" t="s">
        <v>1363</v>
      </c>
      <c r="C451" s="1" t="s">
        <v>1364</v>
      </c>
      <c r="D451" s="1" t="s">
        <v>210</v>
      </c>
      <c r="E451" s="1">
        <v>54</v>
      </c>
      <c r="F451" s="1">
        <v>1</v>
      </c>
      <c r="G451" s="1">
        <v>1</v>
      </c>
      <c r="H451" s="1">
        <v>0</v>
      </c>
      <c r="I451" s="1">
        <v>86</v>
      </c>
      <c r="J451" s="43"/>
      <c r="K451" s="1">
        <v>1</v>
      </c>
      <c r="L451" s="1"/>
      <c r="M451" s="1"/>
      <c r="N451" s="1"/>
      <c r="O451" s="1"/>
      <c r="P451" s="1"/>
      <c r="Q451" s="1"/>
      <c r="R451" s="1"/>
      <c r="S451" s="1"/>
      <c r="T451" s="1"/>
    </row>
    <row r="452" spans="1:20" ht="13" x14ac:dyDescent="0.15">
      <c r="A452" s="1" t="s">
        <v>1365</v>
      </c>
      <c r="B452" s="1" t="s">
        <v>1366</v>
      </c>
      <c r="C452" s="1" t="s">
        <v>1367</v>
      </c>
      <c r="D452" s="1" t="s">
        <v>210</v>
      </c>
      <c r="E452" s="1">
        <v>50</v>
      </c>
      <c r="F452" s="1">
        <v>1</v>
      </c>
      <c r="G452" s="1">
        <v>1</v>
      </c>
      <c r="H452" s="1">
        <v>0</v>
      </c>
      <c r="I452" s="1">
        <v>600</v>
      </c>
      <c r="J452" s="43"/>
      <c r="K452" s="1">
        <v>1</v>
      </c>
      <c r="L452" s="1"/>
      <c r="M452" s="1"/>
      <c r="N452" s="1"/>
      <c r="O452" s="1"/>
      <c r="P452" s="1"/>
      <c r="Q452" s="1"/>
      <c r="R452" s="1"/>
      <c r="S452" s="1"/>
      <c r="T452" s="1"/>
    </row>
    <row r="453" spans="1:20" ht="13" x14ac:dyDescent="0.15">
      <c r="A453" s="1" t="s">
        <v>1368</v>
      </c>
      <c r="B453" s="1" t="s">
        <v>1369</v>
      </c>
      <c r="C453" s="1" t="s">
        <v>1370</v>
      </c>
      <c r="D453" s="1" t="s">
        <v>210</v>
      </c>
      <c r="E453" s="1">
        <v>33</v>
      </c>
      <c r="F453" s="1">
        <v>2</v>
      </c>
      <c r="G453" s="1">
        <v>0</v>
      </c>
      <c r="H453" s="1">
        <v>0</v>
      </c>
      <c r="I453" s="1">
        <v>370</v>
      </c>
      <c r="J453" s="43"/>
      <c r="K453" s="1">
        <v>1</v>
      </c>
      <c r="L453" s="1"/>
      <c r="M453" s="1"/>
      <c r="N453" s="1"/>
      <c r="O453" s="1"/>
      <c r="P453" s="1"/>
      <c r="Q453" s="1"/>
      <c r="R453" s="1"/>
      <c r="S453" s="1"/>
      <c r="T453" s="1"/>
    </row>
    <row r="454" spans="1:20" ht="13" x14ac:dyDescent="0.15">
      <c r="A454" s="1" t="s">
        <v>1371</v>
      </c>
      <c r="B454" s="1" t="s">
        <v>1372</v>
      </c>
      <c r="C454" s="5" t="s">
        <v>1373</v>
      </c>
      <c r="D454" s="1" t="s">
        <v>304</v>
      </c>
      <c r="E454" s="1">
        <v>66.23</v>
      </c>
      <c r="F454" s="1">
        <v>1</v>
      </c>
      <c r="G454" s="1">
        <v>0</v>
      </c>
      <c r="H454" s="1">
        <v>0</v>
      </c>
      <c r="I454" s="1">
        <v>796</v>
      </c>
      <c r="J454" s="1">
        <v>0</v>
      </c>
      <c r="K454" s="43"/>
      <c r="L454" s="1"/>
      <c r="M454" s="1"/>
      <c r="N454" s="1"/>
      <c r="O454" s="1"/>
      <c r="P454" s="1"/>
      <c r="Q454" s="1"/>
      <c r="R454" s="1"/>
      <c r="S454" s="1"/>
      <c r="T454" s="1"/>
    </row>
    <row r="455" spans="1:20" ht="13" x14ac:dyDescent="0.15">
      <c r="A455" s="1" t="s">
        <v>1374</v>
      </c>
      <c r="B455" s="1" t="s">
        <v>1375</v>
      </c>
      <c r="C455" s="1" t="s">
        <v>1376</v>
      </c>
      <c r="D455" s="1" t="s">
        <v>304</v>
      </c>
      <c r="E455" s="1">
        <v>83.01</v>
      </c>
      <c r="F455" s="1">
        <v>2</v>
      </c>
      <c r="G455" s="1">
        <v>1</v>
      </c>
      <c r="H455" s="1">
        <v>0</v>
      </c>
      <c r="I455" s="1">
        <v>589</v>
      </c>
      <c r="J455" s="1">
        <v>1</v>
      </c>
      <c r="K455" s="43"/>
      <c r="L455" s="1"/>
      <c r="M455" s="1"/>
      <c r="N455" s="1"/>
      <c r="O455" s="1"/>
      <c r="P455" s="1"/>
      <c r="Q455" s="1"/>
      <c r="R455" s="1"/>
      <c r="S455" s="1"/>
      <c r="T455" s="1"/>
    </row>
    <row r="456" spans="1:20" ht="13" x14ac:dyDescent="0.15">
      <c r="A456" s="1" t="s">
        <v>1377</v>
      </c>
      <c r="B456" s="1" t="s">
        <v>1378</v>
      </c>
      <c r="C456" s="1" t="s">
        <v>1379</v>
      </c>
      <c r="D456" s="1" t="s">
        <v>210</v>
      </c>
      <c r="E456" s="1">
        <v>66</v>
      </c>
      <c r="F456" s="1">
        <v>2</v>
      </c>
      <c r="G456" s="1">
        <v>1</v>
      </c>
      <c r="H456" s="1">
        <v>0</v>
      </c>
      <c r="I456" s="1">
        <v>77</v>
      </c>
      <c r="J456" s="43"/>
      <c r="K456" s="1">
        <v>1</v>
      </c>
      <c r="L456" s="1"/>
      <c r="M456" s="1"/>
      <c r="N456" s="1"/>
      <c r="O456" s="1"/>
      <c r="P456" s="1"/>
      <c r="Q456" s="1"/>
      <c r="R456" s="1"/>
      <c r="S456" s="1"/>
      <c r="T456" s="1"/>
    </row>
    <row r="457" spans="1:20" ht="13" x14ac:dyDescent="0.15">
      <c r="A457" s="1" t="s">
        <v>1380</v>
      </c>
      <c r="B457" s="1" t="s">
        <v>1381</v>
      </c>
      <c r="C457" s="1" t="s">
        <v>1382</v>
      </c>
      <c r="D457" s="1" t="s">
        <v>210</v>
      </c>
      <c r="E457" s="1">
        <v>52</v>
      </c>
      <c r="F457" s="1">
        <v>2</v>
      </c>
      <c r="G457" s="1">
        <v>1</v>
      </c>
      <c r="H457" s="1">
        <v>0</v>
      </c>
      <c r="I457" s="1">
        <v>1121</v>
      </c>
      <c r="J457" s="43"/>
      <c r="K457" s="1">
        <v>1</v>
      </c>
      <c r="L457" s="1"/>
      <c r="M457" s="1"/>
      <c r="N457" s="1"/>
      <c r="O457" s="1"/>
      <c r="P457" s="1"/>
      <c r="Q457" s="1"/>
      <c r="R457" s="1"/>
      <c r="S457" s="1"/>
      <c r="T457" s="1"/>
    </row>
    <row r="458" spans="1:20" ht="13" x14ac:dyDescent="0.15">
      <c r="A458" s="1" t="s">
        <v>1383</v>
      </c>
      <c r="B458" s="1" t="s">
        <v>1384</v>
      </c>
      <c r="C458" s="1" t="s">
        <v>1385</v>
      </c>
      <c r="D458" s="1" t="s">
        <v>210</v>
      </c>
      <c r="E458" s="1">
        <v>66</v>
      </c>
      <c r="F458" s="1">
        <v>1</v>
      </c>
      <c r="G458" s="1">
        <v>1</v>
      </c>
      <c r="H458" s="1">
        <v>0</v>
      </c>
      <c r="I458" s="1">
        <v>147</v>
      </c>
      <c r="J458" s="43"/>
      <c r="K458" s="1">
        <v>1</v>
      </c>
      <c r="L458" s="1"/>
      <c r="M458" s="1"/>
      <c r="N458" s="1"/>
      <c r="O458" s="1"/>
      <c r="P458" s="1"/>
      <c r="Q458" s="1"/>
      <c r="R458" s="1"/>
      <c r="S458" s="1"/>
      <c r="T458" s="1"/>
    </row>
    <row r="459" spans="1:20" ht="13" x14ac:dyDescent="0.15">
      <c r="A459" s="1" t="s">
        <v>1386</v>
      </c>
      <c r="B459" s="1" t="s">
        <v>1387</v>
      </c>
      <c r="C459" s="1" t="s">
        <v>1388</v>
      </c>
      <c r="D459" s="1" t="s">
        <v>210</v>
      </c>
      <c r="E459" s="1">
        <v>74</v>
      </c>
      <c r="F459" s="1">
        <v>1</v>
      </c>
      <c r="G459" s="1">
        <v>1</v>
      </c>
      <c r="H459" s="1">
        <v>0</v>
      </c>
      <c r="I459" s="1">
        <v>153</v>
      </c>
      <c r="J459" s="43"/>
      <c r="K459" s="1">
        <v>1</v>
      </c>
      <c r="L459" s="1"/>
      <c r="M459" s="1"/>
      <c r="N459" s="1"/>
      <c r="O459" s="1"/>
      <c r="P459" s="1"/>
      <c r="Q459" s="1"/>
      <c r="R459" s="1"/>
      <c r="S459" s="1"/>
      <c r="T459" s="1"/>
    </row>
    <row r="460" spans="1:20" ht="13" x14ac:dyDescent="0.15">
      <c r="A460" s="1" t="s">
        <v>1389</v>
      </c>
      <c r="B460" s="1" t="s">
        <v>1390</v>
      </c>
      <c r="C460" s="1" t="s">
        <v>1391</v>
      </c>
      <c r="D460" s="1" t="s">
        <v>210</v>
      </c>
      <c r="E460" s="1">
        <v>54</v>
      </c>
      <c r="F460" s="1">
        <v>1</v>
      </c>
      <c r="G460" s="1">
        <v>1</v>
      </c>
      <c r="H460" s="1">
        <v>0</v>
      </c>
      <c r="I460" s="1">
        <v>727</v>
      </c>
      <c r="J460" s="43"/>
      <c r="K460" s="1">
        <v>1</v>
      </c>
      <c r="L460" s="1"/>
      <c r="M460" s="1"/>
      <c r="N460" s="1"/>
      <c r="O460" s="1"/>
      <c r="P460" s="1"/>
      <c r="Q460" s="1"/>
      <c r="R460" s="1"/>
      <c r="S460" s="1"/>
      <c r="T460" s="1"/>
    </row>
    <row r="461" spans="1:20" ht="13" x14ac:dyDescent="0.15">
      <c r="A461" s="1" t="s">
        <v>1392</v>
      </c>
      <c r="B461" s="1" t="s">
        <v>1393</v>
      </c>
      <c r="C461" s="1" t="s">
        <v>1394</v>
      </c>
      <c r="D461" s="1" t="s">
        <v>210</v>
      </c>
      <c r="E461" s="1">
        <v>58</v>
      </c>
      <c r="F461" s="1">
        <v>1</v>
      </c>
      <c r="G461" s="1">
        <v>0</v>
      </c>
      <c r="H461" s="1">
        <v>0</v>
      </c>
      <c r="I461" s="1">
        <v>1048</v>
      </c>
      <c r="J461" s="43"/>
      <c r="K461" s="1">
        <v>1</v>
      </c>
      <c r="L461" s="1"/>
      <c r="M461" s="1"/>
      <c r="N461" s="1"/>
      <c r="O461" s="1"/>
      <c r="P461" s="1"/>
      <c r="Q461" s="1"/>
      <c r="R461" s="1"/>
      <c r="S461" s="1"/>
      <c r="T461" s="1"/>
    </row>
    <row r="462" spans="1:20" ht="13" x14ac:dyDescent="0.15">
      <c r="A462" s="1" t="s">
        <v>1395</v>
      </c>
      <c r="B462" s="1" t="s">
        <v>1396</v>
      </c>
      <c r="C462" s="1" t="s">
        <v>1397</v>
      </c>
      <c r="D462" s="1" t="s">
        <v>210</v>
      </c>
      <c r="E462" s="1">
        <v>44</v>
      </c>
      <c r="F462" s="1">
        <v>2</v>
      </c>
      <c r="G462" s="1">
        <v>0</v>
      </c>
      <c r="H462" s="1">
        <v>0</v>
      </c>
      <c r="I462" s="1">
        <v>567</v>
      </c>
      <c r="J462" s="43"/>
      <c r="K462" s="1">
        <v>1</v>
      </c>
      <c r="L462" s="1"/>
      <c r="M462" s="1"/>
      <c r="N462" s="1"/>
      <c r="O462" s="1"/>
      <c r="P462" s="1"/>
      <c r="Q462" s="1"/>
      <c r="R462" s="1"/>
      <c r="S462" s="1"/>
      <c r="T462" s="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550"/>
  <sheetViews>
    <sheetView workbookViewId="0"/>
  </sheetViews>
  <sheetFormatPr baseColWidth="10" defaultColWidth="12.6640625" defaultRowHeight="15.75" customHeight="1" x14ac:dyDescent="0.15"/>
  <cols>
    <col min="1" max="2" width="17.5" customWidth="1"/>
  </cols>
  <sheetData>
    <row r="1" spans="1:2" ht="15.75" customHeight="1" x14ac:dyDescent="0.15">
      <c r="A1" s="1" t="s">
        <v>0</v>
      </c>
      <c r="B1" s="1" t="s">
        <v>0</v>
      </c>
    </row>
    <row r="2" spans="1:2" ht="15" x14ac:dyDescent="0.2">
      <c r="A2" s="3" t="s">
        <v>11</v>
      </c>
      <c r="B2" s="47" t="s">
        <v>11</v>
      </c>
    </row>
    <row r="3" spans="1:2" ht="15" x14ac:dyDescent="0.2">
      <c r="A3" s="3" t="s">
        <v>15</v>
      </c>
      <c r="B3" s="47" t="s">
        <v>15</v>
      </c>
    </row>
    <row r="4" spans="1:2" ht="15" x14ac:dyDescent="0.2">
      <c r="A4" s="3" t="s">
        <v>18</v>
      </c>
      <c r="B4" s="47" t="s">
        <v>18</v>
      </c>
    </row>
    <row r="5" spans="1:2" ht="15" x14ac:dyDescent="0.2">
      <c r="A5" s="3" t="s">
        <v>21</v>
      </c>
      <c r="B5" s="47" t="s">
        <v>21</v>
      </c>
    </row>
    <row r="6" spans="1:2" ht="15" x14ac:dyDescent="0.2">
      <c r="A6" s="3" t="s">
        <v>24</v>
      </c>
      <c r="B6" s="47" t="s">
        <v>24</v>
      </c>
    </row>
    <row r="7" spans="1:2" ht="15" x14ac:dyDescent="0.2">
      <c r="A7" s="3" t="s">
        <v>27</v>
      </c>
      <c r="B7" s="47" t="s">
        <v>27</v>
      </c>
    </row>
    <row r="8" spans="1:2" ht="15" x14ac:dyDescent="0.2">
      <c r="A8" s="3" t="s">
        <v>30</v>
      </c>
      <c r="B8" s="47" t="s">
        <v>30</v>
      </c>
    </row>
    <row r="9" spans="1:2" ht="15" x14ac:dyDescent="0.2">
      <c r="A9" s="3" t="s">
        <v>33</v>
      </c>
      <c r="B9" s="47" t="s">
        <v>33</v>
      </c>
    </row>
    <row r="10" spans="1:2" ht="15" x14ac:dyDescent="0.2">
      <c r="A10" s="3" t="s">
        <v>36</v>
      </c>
      <c r="B10" s="47" t="s">
        <v>36</v>
      </c>
    </row>
    <row r="11" spans="1:2" ht="15" x14ac:dyDescent="0.2">
      <c r="A11" s="3" t="s">
        <v>39</v>
      </c>
      <c r="B11" s="47" t="s">
        <v>39</v>
      </c>
    </row>
    <row r="12" spans="1:2" ht="15" x14ac:dyDescent="0.2">
      <c r="A12" s="3" t="s">
        <v>42</v>
      </c>
      <c r="B12" s="47" t="s">
        <v>42</v>
      </c>
    </row>
    <row r="13" spans="1:2" ht="15" x14ac:dyDescent="0.2">
      <c r="A13" s="3" t="s">
        <v>45</v>
      </c>
      <c r="B13" s="47" t="s">
        <v>45</v>
      </c>
    </row>
    <row r="14" spans="1:2" ht="15" x14ac:dyDescent="0.2">
      <c r="A14" s="3" t="s">
        <v>48</v>
      </c>
      <c r="B14" s="47" t="s">
        <v>48</v>
      </c>
    </row>
    <row r="15" spans="1:2" ht="15" x14ac:dyDescent="0.2">
      <c r="A15" s="3" t="s">
        <v>51</v>
      </c>
      <c r="B15" s="47" t="s">
        <v>51</v>
      </c>
    </row>
    <row r="16" spans="1:2" ht="15" x14ac:dyDescent="0.2">
      <c r="A16" s="3" t="s">
        <v>54</v>
      </c>
      <c r="B16" s="47" t="s">
        <v>54</v>
      </c>
    </row>
    <row r="17" spans="1:2" ht="15" x14ac:dyDescent="0.2">
      <c r="A17" s="3" t="s">
        <v>57</v>
      </c>
      <c r="B17" s="47" t="s">
        <v>57</v>
      </c>
    </row>
    <row r="18" spans="1:2" ht="15" x14ac:dyDescent="0.2">
      <c r="A18" s="3" t="s">
        <v>60</v>
      </c>
      <c r="B18" s="47" t="s">
        <v>60</v>
      </c>
    </row>
    <row r="19" spans="1:2" ht="15" x14ac:dyDescent="0.2">
      <c r="A19" s="3" t="s">
        <v>63</v>
      </c>
      <c r="B19" s="47" t="s">
        <v>63</v>
      </c>
    </row>
    <row r="20" spans="1:2" ht="15" x14ac:dyDescent="0.2">
      <c r="A20" s="3" t="s">
        <v>66</v>
      </c>
      <c r="B20" s="47" t="s">
        <v>66</v>
      </c>
    </row>
    <row r="21" spans="1:2" ht="15" x14ac:dyDescent="0.2">
      <c r="A21" s="3" t="s">
        <v>69</v>
      </c>
      <c r="B21" s="47" t="s">
        <v>69</v>
      </c>
    </row>
    <row r="22" spans="1:2" ht="15" x14ac:dyDescent="0.2">
      <c r="A22" s="3" t="s">
        <v>72</v>
      </c>
      <c r="B22" s="47" t="s">
        <v>72</v>
      </c>
    </row>
    <row r="23" spans="1:2" ht="15" x14ac:dyDescent="0.2">
      <c r="A23" s="3" t="s">
        <v>75</v>
      </c>
      <c r="B23" s="47" t="s">
        <v>75</v>
      </c>
    </row>
    <row r="24" spans="1:2" ht="15" x14ac:dyDescent="0.2">
      <c r="A24" s="3" t="s">
        <v>78</v>
      </c>
      <c r="B24" s="47" t="s">
        <v>78</v>
      </c>
    </row>
    <row r="25" spans="1:2" ht="15" x14ac:dyDescent="0.2">
      <c r="A25" s="3" t="s">
        <v>81</v>
      </c>
      <c r="B25" s="47" t="s">
        <v>81</v>
      </c>
    </row>
    <row r="26" spans="1:2" ht="15" x14ac:dyDescent="0.2">
      <c r="A26" s="3" t="s">
        <v>84</v>
      </c>
      <c r="B26" s="47" t="s">
        <v>84</v>
      </c>
    </row>
    <row r="27" spans="1:2" ht="15" x14ac:dyDescent="0.2">
      <c r="A27" s="3" t="s">
        <v>87</v>
      </c>
      <c r="B27" s="47" t="s">
        <v>87</v>
      </c>
    </row>
    <row r="28" spans="1:2" ht="15" x14ac:dyDescent="0.2">
      <c r="A28" s="3" t="s">
        <v>90</v>
      </c>
      <c r="B28" s="47" t="s">
        <v>90</v>
      </c>
    </row>
    <row r="29" spans="1:2" ht="15" x14ac:dyDescent="0.2">
      <c r="A29" s="3" t="s">
        <v>93</v>
      </c>
      <c r="B29" s="47" t="s">
        <v>93</v>
      </c>
    </row>
    <row r="30" spans="1:2" ht="15" x14ac:dyDescent="0.2">
      <c r="A30" s="3" t="s">
        <v>96</v>
      </c>
      <c r="B30" s="47" t="s">
        <v>96</v>
      </c>
    </row>
    <row r="31" spans="1:2" ht="15" x14ac:dyDescent="0.2">
      <c r="A31" s="3" t="s">
        <v>99</v>
      </c>
      <c r="B31" s="47" t="s">
        <v>99</v>
      </c>
    </row>
    <row r="32" spans="1:2" ht="15" x14ac:dyDescent="0.2">
      <c r="A32" s="3" t="s">
        <v>102</v>
      </c>
      <c r="B32" s="47" t="s">
        <v>102</v>
      </c>
    </row>
    <row r="33" spans="1:2" ht="15.75" customHeight="1" x14ac:dyDescent="0.15">
      <c r="A33" s="1" t="s">
        <v>105</v>
      </c>
      <c r="B33" s="1" t="s">
        <v>105</v>
      </c>
    </row>
    <row r="34" spans="1:2" ht="15.75" customHeight="1" x14ac:dyDescent="0.15">
      <c r="A34" s="1" t="s">
        <v>108</v>
      </c>
      <c r="B34" s="1" t="s">
        <v>108</v>
      </c>
    </row>
    <row r="35" spans="1:2" ht="15.75" customHeight="1" x14ac:dyDescent="0.15">
      <c r="A35" s="1" t="s">
        <v>111</v>
      </c>
      <c r="B35" s="1" t="s">
        <v>111</v>
      </c>
    </row>
    <row r="36" spans="1:2" ht="15.75" customHeight="1" x14ac:dyDescent="0.15">
      <c r="A36" s="1" t="s">
        <v>114</v>
      </c>
      <c r="B36" s="1" t="s">
        <v>114</v>
      </c>
    </row>
    <row r="37" spans="1:2" ht="15.75" customHeight="1" x14ac:dyDescent="0.15">
      <c r="A37" s="1" t="s">
        <v>117</v>
      </c>
      <c r="B37" s="1" t="s">
        <v>117</v>
      </c>
    </row>
    <row r="38" spans="1:2" ht="15.75" customHeight="1" x14ac:dyDescent="0.15">
      <c r="A38" s="1" t="s">
        <v>120</v>
      </c>
      <c r="B38" s="1" t="s">
        <v>120</v>
      </c>
    </row>
    <row r="39" spans="1:2" ht="15.75" customHeight="1" x14ac:dyDescent="0.15">
      <c r="A39" s="1" t="s">
        <v>123</v>
      </c>
      <c r="B39" s="1" t="s">
        <v>123</v>
      </c>
    </row>
    <row r="40" spans="1:2" ht="15.75" customHeight="1" x14ac:dyDescent="0.15">
      <c r="A40" s="1" t="s">
        <v>126</v>
      </c>
      <c r="B40" s="1" t="s">
        <v>126</v>
      </c>
    </row>
    <row r="41" spans="1:2" ht="15.75" customHeight="1" x14ac:dyDescent="0.15">
      <c r="A41" s="1" t="s">
        <v>129</v>
      </c>
      <c r="B41" s="1" t="s">
        <v>129</v>
      </c>
    </row>
    <row r="42" spans="1:2" ht="15.75" customHeight="1" x14ac:dyDescent="0.15">
      <c r="A42" s="1" t="s">
        <v>132</v>
      </c>
      <c r="B42" s="1" t="s">
        <v>132</v>
      </c>
    </row>
    <row r="43" spans="1:2" ht="15.75" customHeight="1" x14ac:dyDescent="0.15">
      <c r="A43" s="1" t="s">
        <v>135</v>
      </c>
      <c r="B43" s="1" t="s">
        <v>135</v>
      </c>
    </row>
    <row r="44" spans="1:2" ht="15.75" customHeight="1" x14ac:dyDescent="0.15">
      <c r="A44" s="1" t="s">
        <v>138</v>
      </c>
      <c r="B44" s="1" t="s">
        <v>138</v>
      </c>
    </row>
    <row r="45" spans="1:2" ht="15.75" customHeight="1" x14ac:dyDescent="0.15">
      <c r="A45" s="1" t="s">
        <v>141</v>
      </c>
      <c r="B45" s="1" t="s">
        <v>141</v>
      </c>
    </row>
    <row r="46" spans="1:2" ht="15.75" customHeight="1" x14ac:dyDescent="0.15">
      <c r="A46" s="1" t="s">
        <v>144</v>
      </c>
      <c r="B46" s="1" t="s">
        <v>144</v>
      </c>
    </row>
    <row r="47" spans="1:2" ht="15.75" customHeight="1" x14ac:dyDescent="0.15">
      <c r="A47" s="1" t="s">
        <v>147</v>
      </c>
      <c r="B47" s="1" t="s">
        <v>147</v>
      </c>
    </row>
    <row r="48" spans="1:2" ht="15.75" customHeight="1" x14ac:dyDescent="0.15">
      <c r="A48" s="1" t="s">
        <v>150</v>
      </c>
      <c r="B48" s="1" t="s">
        <v>150</v>
      </c>
    </row>
    <row r="49" spans="1:2" ht="15.75" customHeight="1" x14ac:dyDescent="0.15">
      <c r="A49" s="1" t="s">
        <v>153</v>
      </c>
      <c r="B49" s="1" t="s">
        <v>153</v>
      </c>
    </row>
    <row r="50" spans="1:2" ht="15.75" customHeight="1" x14ac:dyDescent="0.15">
      <c r="A50" s="1" t="s">
        <v>156</v>
      </c>
      <c r="B50" s="1" t="s">
        <v>156</v>
      </c>
    </row>
    <row r="51" spans="1:2" ht="15.75" customHeight="1" x14ac:dyDescent="0.15">
      <c r="A51" s="1" t="s">
        <v>159</v>
      </c>
      <c r="B51" s="1" t="s">
        <v>159</v>
      </c>
    </row>
    <row r="52" spans="1:2" ht="15.75" customHeight="1" x14ac:dyDescent="0.15">
      <c r="A52" s="1" t="s">
        <v>162</v>
      </c>
      <c r="B52" s="1" t="s">
        <v>162</v>
      </c>
    </row>
    <row r="53" spans="1:2" ht="15.75" customHeight="1" x14ac:dyDescent="0.15">
      <c r="A53" s="1" t="s">
        <v>165</v>
      </c>
      <c r="B53" s="1" t="s">
        <v>165</v>
      </c>
    </row>
    <row r="54" spans="1:2" ht="15.75" customHeight="1" x14ac:dyDescent="0.15">
      <c r="A54" s="1" t="s">
        <v>168</v>
      </c>
      <c r="B54" s="1" t="s">
        <v>168</v>
      </c>
    </row>
    <row r="55" spans="1:2" ht="15.75" customHeight="1" x14ac:dyDescent="0.15">
      <c r="A55" s="1" t="s">
        <v>171</v>
      </c>
      <c r="B55" s="1" t="s">
        <v>171</v>
      </c>
    </row>
    <row r="56" spans="1:2" ht="15.75" customHeight="1" x14ac:dyDescent="0.15">
      <c r="A56" s="1" t="s">
        <v>174</v>
      </c>
      <c r="B56" s="1" t="s">
        <v>174</v>
      </c>
    </row>
    <row r="57" spans="1:2" ht="15.75" customHeight="1" x14ac:dyDescent="0.15">
      <c r="A57" s="1" t="s">
        <v>177</v>
      </c>
      <c r="B57" s="1" t="s">
        <v>177</v>
      </c>
    </row>
    <row r="58" spans="1:2" ht="15.75" customHeight="1" x14ac:dyDescent="0.15">
      <c r="A58" s="1" t="s">
        <v>180</v>
      </c>
      <c r="B58" s="1" t="s">
        <v>180</v>
      </c>
    </row>
    <row r="59" spans="1:2" ht="15.75" customHeight="1" x14ac:dyDescent="0.15">
      <c r="A59" s="1" t="s">
        <v>183</v>
      </c>
      <c r="B59" s="1" t="s">
        <v>183</v>
      </c>
    </row>
    <row r="60" spans="1:2" ht="15.75" customHeight="1" x14ac:dyDescent="0.15">
      <c r="A60" s="1" t="s">
        <v>186</v>
      </c>
      <c r="B60" s="1" t="s">
        <v>186</v>
      </c>
    </row>
    <row r="61" spans="1:2" ht="15.75" customHeight="1" x14ac:dyDescent="0.15">
      <c r="A61" s="1" t="s">
        <v>189</v>
      </c>
      <c r="B61" s="1" t="s">
        <v>189</v>
      </c>
    </row>
    <row r="62" spans="1:2" ht="15.75" customHeight="1" x14ac:dyDescent="0.15">
      <c r="A62" s="1" t="s">
        <v>192</v>
      </c>
      <c r="B62" s="1" t="s">
        <v>192</v>
      </c>
    </row>
    <row r="63" spans="1:2" ht="15.75" customHeight="1" x14ac:dyDescent="0.15">
      <c r="A63" s="1" t="s">
        <v>195</v>
      </c>
      <c r="B63" s="1" t="s">
        <v>195</v>
      </c>
    </row>
    <row r="64" spans="1:2" ht="15.75" customHeight="1" x14ac:dyDescent="0.15">
      <c r="A64" s="1" t="s">
        <v>198</v>
      </c>
      <c r="B64" s="1" t="s">
        <v>198</v>
      </c>
    </row>
    <row r="65" spans="1:2" ht="15.75" customHeight="1" x14ac:dyDescent="0.15">
      <c r="A65" s="1" t="s">
        <v>201</v>
      </c>
      <c r="B65" s="1" t="s">
        <v>201</v>
      </c>
    </row>
    <row r="66" spans="1:2" ht="15.75" customHeight="1" x14ac:dyDescent="0.15">
      <c r="A66" s="1" t="s">
        <v>204</v>
      </c>
      <c r="B66" s="1" t="s">
        <v>204</v>
      </c>
    </row>
    <row r="67" spans="1:2" ht="15.75" customHeight="1" x14ac:dyDescent="0.15">
      <c r="A67" s="1" t="s">
        <v>207</v>
      </c>
      <c r="B67" s="1" t="s">
        <v>207</v>
      </c>
    </row>
    <row r="68" spans="1:2" ht="15" x14ac:dyDescent="0.2">
      <c r="A68" s="3" t="s">
        <v>211</v>
      </c>
      <c r="B68" s="47" t="s">
        <v>211</v>
      </c>
    </row>
    <row r="69" spans="1:2" ht="15.75" customHeight="1" x14ac:dyDescent="0.15">
      <c r="A69" s="1" t="s">
        <v>214</v>
      </c>
      <c r="B69" s="1" t="s">
        <v>214</v>
      </c>
    </row>
    <row r="70" spans="1:2" ht="15.75" customHeight="1" x14ac:dyDescent="0.15">
      <c r="A70" s="1" t="s">
        <v>217</v>
      </c>
      <c r="B70" s="1" t="s">
        <v>217</v>
      </c>
    </row>
    <row r="71" spans="1:2" ht="15.75" customHeight="1" x14ac:dyDescent="0.15">
      <c r="A71" s="1" t="s">
        <v>220</v>
      </c>
      <c r="B71" s="1" t="s">
        <v>220</v>
      </c>
    </row>
    <row r="72" spans="1:2" ht="15.75" customHeight="1" x14ac:dyDescent="0.15">
      <c r="A72" s="1" t="s">
        <v>223</v>
      </c>
      <c r="B72" s="1" t="s">
        <v>223</v>
      </c>
    </row>
    <row r="73" spans="1:2" ht="15.75" customHeight="1" x14ac:dyDescent="0.15">
      <c r="A73" s="1" t="s">
        <v>226</v>
      </c>
      <c r="B73" s="1" t="s">
        <v>226</v>
      </c>
    </row>
    <row r="74" spans="1:2" ht="15.75" customHeight="1" x14ac:dyDescent="0.15">
      <c r="A74" s="1" t="s">
        <v>229</v>
      </c>
      <c r="B74" s="1" t="s">
        <v>229</v>
      </c>
    </row>
    <row r="75" spans="1:2" ht="15.75" customHeight="1" x14ac:dyDescent="0.15">
      <c r="A75" s="1" t="s">
        <v>232</v>
      </c>
      <c r="B75" s="1" t="s">
        <v>232</v>
      </c>
    </row>
    <row r="76" spans="1:2" ht="15.75" customHeight="1" x14ac:dyDescent="0.15">
      <c r="A76" s="1" t="s">
        <v>235</v>
      </c>
      <c r="B76" s="1" t="s">
        <v>235</v>
      </c>
    </row>
    <row r="77" spans="1:2" ht="15" x14ac:dyDescent="0.2">
      <c r="A77" s="3" t="s">
        <v>238</v>
      </c>
      <c r="B77" s="47" t="s">
        <v>238</v>
      </c>
    </row>
    <row r="78" spans="1:2" ht="15.75" customHeight="1" x14ac:dyDescent="0.15">
      <c r="A78" s="1" t="s">
        <v>241</v>
      </c>
      <c r="B78" s="1" t="s">
        <v>241</v>
      </c>
    </row>
    <row r="79" spans="1:2" ht="15.75" customHeight="1" x14ac:dyDescent="0.15">
      <c r="A79" s="1" t="s">
        <v>244</v>
      </c>
      <c r="B79" s="1" t="s">
        <v>244</v>
      </c>
    </row>
    <row r="80" spans="1:2" ht="15.75" customHeight="1" x14ac:dyDescent="0.15">
      <c r="A80" s="1" t="s">
        <v>247</v>
      </c>
      <c r="B80" s="1" t="s">
        <v>247</v>
      </c>
    </row>
    <row r="81" spans="1:2" ht="15.75" customHeight="1" x14ac:dyDescent="0.15">
      <c r="A81" s="1" t="s">
        <v>250</v>
      </c>
      <c r="B81" s="1" t="s">
        <v>250</v>
      </c>
    </row>
    <row r="82" spans="1:2" ht="15.75" customHeight="1" x14ac:dyDescent="0.15">
      <c r="A82" s="1" t="s">
        <v>253</v>
      </c>
      <c r="B82" s="1" t="s">
        <v>253</v>
      </c>
    </row>
    <row r="83" spans="1:2" ht="15.75" customHeight="1" x14ac:dyDescent="0.15">
      <c r="A83" s="1" t="s">
        <v>256</v>
      </c>
      <c r="B83" s="1" t="s">
        <v>256</v>
      </c>
    </row>
    <row r="84" spans="1:2" ht="15.75" customHeight="1" x14ac:dyDescent="0.15">
      <c r="A84" s="1" t="s">
        <v>259</v>
      </c>
      <c r="B84" s="1" t="s">
        <v>259</v>
      </c>
    </row>
    <row r="85" spans="1:2" ht="15.75" customHeight="1" x14ac:dyDescent="0.15">
      <c r="A85" s="1" t="s">
        <v>262</v>
      </c>
      <c r="B85" s="1" t="s">
        <v>262</v>
      </c>
    </row>
    <row r="86" spans="1:2" ht="15.75" customHeight="1" x14ac:dyDescent="0.15">
      <c r="A86" s="1" t="s">
        <v>265</v>
      </c>
      <c r="B86" s="1" t="s">
        <v>265</v>
      </c>
    </row>
    <row r="87" spans="1:2" ht="15.75" customHeight="1" x14ac:dyDescent="0.15">
      <c r="A87" s="1" t="s">
        <v>268</v>
      </c>
      <c r="B87" s="1" t="s">
        <v>268</v>
      </c>
    </row>
    <row r="88" spans="1:2" ht="15.75" customHeight="1" x14ac:dyDescent="0.15">
      <c r="A88" s="1" t="s">
        <v>1487</v>
      </c>
      <c r="B88" s="1" t="s">
        <v>1487</v>
      </c>
    </row>
    <row r="89" spans="1:2" ht="15.75" customHeight="1" x14ac:dyDescent="0.15">
      <c r="A89" s="1" t="s">
        <v>1488</v>
      </c>
      <c r="B89" s="1" t="s">
        <v>1488</v>
      </c>
    </row>
    <row r="90" spans="1:2" ht="15.75" customHeight="1" x14ac:dyDescent="0.15">
      <c r="A90" s="1" t="s">
        <v>1489</v>
      </c>
      <c r="B90" s="1" t="s">
        <v>1489</v>
      </c>
    </row>
    <row r="91" spans="1:2" ht="15.75" customHeight="1" x14ac:dyDescent="0.15">
      <c r="A91" s="1" t="s">
        <v>271</v>
      </c>
      <c r="B91" s="1" t="s">
        <v>271</v>
      </c>
    </row>
    <row r="92" spans="1:2" ht="15.75" customHeight="1" x14ac:dyDescent="0.15">
      <c r="A92" s="1" t="s">
        <v>274</v>
      </c>
      <c r="B92" s="1" t="s">
        <v>274</v>
      </c>
    </row>
    <row r="93" spans="1:2" ht="15.75" customHeight="1" x14ac:dyDescent="0.15">
      <c r="A93" s="1" t="s">
        <v>277</v>
      </c>
      <c r="B93" s="1" t="s">
        <v>277</v>
      </c>
    </row>
    <row r="94" spans="1:2" ht="15.75" customHeight="1" x14ac:dyDescent="0.15">
      <c r="A94" s="1" t="s">
        <v>280</v>
      </c>
      <c r="B94" s="1" t="s">
        <v>280</v>
      </c>
    </row>
    <row r="95" spans="1:2" ht="15.75" customHeight="1" x14ac:dyDescent="0.15">
      <c r="A95" s="1" t="s">
        <v>283</v>
      </c>
      <c r="B95" s="1" t="s">
        <v>283</v>
      </c>
    </row>
    <row r="96" spans="1:2" ht="15.75" customHeight="1" x14ac:dyDescent="0.15">
      <c r="A96" s="1" t="s">
        <v>286</v>
      </c>
      <c r="B96" s="1" t="s">
        <v>286</v>
      </c>
    </row>
    <row r="97" spans="1:2" ht="15.75" customHeight="1" x14ac:dyDescent="0.15">
      <c r="A97" s="1" t="s">
        <v>1490</v>
      </c>
      <c r="B97" s="1" t="s">
        <v>1490</v>
      </c>
    </row>
    <row r="98" spans="1:2" ht="15.75" customHeight="1" x14ac:dyDescent="0.15">
      <c r="A98" s="1" t="s">
        <v>1491</v>
      </c>
      <c r="B98" s="1" t="s">
        <v>1491</v>
      </c>
    </row>
    <row r="99" spans="1:2" ht="15.75" customHeight="1" x14ac:dyDescent="0.15">
      <c r="A99" s="1" t="s">
        <v>289</v>
      </c>
      <c r="B99" s="1" t="s">
        <v>289</v>
      </c>
    </row>
    <row r="100" spans="1:2" ht="15.75" customHeight="1" x14ac:dyDescent="0.15">
      <c r="A100" s="1" t="s">
        <v>292</v>
      </c>
      <c r="B100" s="1" t="s">
        <v>292</v>
      </c>
    </row>
    <row r="101" spans="1:2" ht="15.75" customHeight="1" x14ac:dyDescent="0.15">
      <c r="A101" s="1" t="s">
        <v>295</v>
      </c>
      <c r="B101" s="1" t="s">
        <v>295</v>
      </c>
    </row>
    <row r="102" spans="1:2" ht="15.75" customHeight="1" x14ac:dyDescent="0.15">
      <c r="A102" s="1" t="s">
        <v>1492</v>
      </c>
      <c r="B102" s="1" t="s">
        <v>1492</v>
      </c>
    </row>
    <row r="103" spans="1:2" ht="15.75" customHeight="1" x14ac:dyDescent="0.15">
      <c r="A103" s="1" t="s">
        <v>298</v>
      </c>
      <c r="B103" s="1" t="s">
        <v>298</v>
      </c>
    </row>
    <row r="104" spans="1:2" ht="15.75" customHeight="1" x14ac:dyDescent="0.15">
      <c r="A104" s="1" t="s">
        <v>301</v>
      </c>
      <c r="B104" s="1" t="s">
        <v>301</v>
      </c>
    </row>
    <row r="105" spans="1:2" ht="15.75" customHeight="1" x14ac:dyDescent="0.15">
      <c r="A105" s="1" t="s">
        <v>305</v>
      </c>
      <c r="B105" s="1" t="s">
        <v>305</v>
      </c>
    </row>
    <row r="106" spans="1:2" ht="15.75" customHeight="1" x14ac:dyDescent="0.15">
      <c r="A106" s="1" t="s">
        <v>308</v>
      </c>
      <c r="B106" s="1" t="s">
        <v>308</v>
      </c>
    </row>
    <row r="107" spans="1:2" ht="15.75" customHeight="1" x14ac:dyDescent="0.15">
      <c r="A107" s="1" t="s">
        <v>311</v>
      </c>
      <c r="B107" s="1" t="s">
        <v>311</v>
      </c>
    </row>
    <row r="108" spans="1:2" ht="15.75" customHeight="1" x14ac:dyDescent="0.15">
      <c r="A108" s="1" t="s">
        <v>314</v>
      </c>
      <c r="B108" s="1" t="s">
        <v>314</v>
      </c>
    </row>
    <row r="109" spans="1:2" ht="15.75" customHeight="1" x14ac:dyDescent="0.15">
      <c r="A109" s="1" t="s">
        <v>317</v>
      </c>
      <c r="B109" s="1" t="s">
        <v>317</v>
      </c>
    </row>
    <row r="110" spans="1:2" ht="15.75" customHeight="1" x14ac:dyDescent="0.15">
      <c r="A110" s="1" t="s">
        <v>320</v>
      </c>
      <c r="B110" s="1" t="s">
        <v>320</v>
      </c>
    </row>
    <row r="111" spans="1:2" ht="15.75" customHeight="1" x14ac:dyDescent="0.15">
      <c r="A111" s="1" t="s">
        <v>323</v>
      </c>
      <c r="B111" s="1" t="s">
        <v>323</v>
      </c>
    </row>
    <row r="112" spans="1:2" ht="15.75" customHeight="1" x14ac:dyDescent="0.15">
      <c r="A112" s="1" t="s">
        <v>326</v>
      </c>
      <c r="B112" s="1" t="s">
        <v>326</v>
      </c>
    </row>
    <row r="113" spans="1:2" ht="15.75" customHeight="1" x14ac:dyDescent="0.15">
      <c r="A113" s="1" t="s">
        <v>329</v>
      </c>
      <c r="B113" s="1" t="s">
        <v>329</v>
      </c>
    </row>
    <row r="114" spans="1:2" ht="15.75" customHeight="1" x14ac:dyDescent="0.15">
      <c r="A114" s="1" t="s">
        <v>332</v>
      </c>
      <c r="B114" s="1" t="s">
        <v>332</v>
      </c>
    </row>
    <row r="115" spans="1:2" ht="15.75" customHeight="1" x14ac:dyDescent="0.15">
      <c r="A115" s="1" t="s">
        <v>335</v>
      </c>
      <c r="B115" s="1" t="s">
        <v>335</v>
      </c>
    </row>
    <row r="116" spans="1:2" ht="15.75" customHeight="1" x14ac:dyDescent="0.15">
      <c r="A116" s="1" t="s">
        <v>338</v>
      </c>
      <c r="B116" s="1" t="s">
        <v>338</v>
      </c>
    </row>
    <row r="117" spans="1:2" ht="15.75" customHeight="1" x14ac:dyDescent="0.15">
      <c r="A117" s="1" t="s">
        <v>341</v>
      </c>
      <c r="B117" s="1" t="s">
        <v>341</v>
      </c>
    </row>
    <row r="118" spans="1:2" ht="15.75" customHeight="1" x14ac:dyDescent="0.15">
      <c r="A118" s="1" t="s">
        <v>344</v>
      </c>
      <c r="B118" s="1" t="s">
        <v>344</v>
      </c>
    </row>
    <row r="119" spans="1:2" ht="15.75" customHeight="1" x14ac:dyDescent="0.15">
      <c r="A119" s="1" t="s">
        <v>347</v>
      </c>
      <c r="B119" s="1" t="s">
        <v>347</v>
      </c>
    </row>
    <row r="120" spans="1:2" ht="15.75" customHeight="1" x14ac:dyDescent="0.15">
      <c r="A120" s="1" t="s">
        <v>350</v>
      </c>
      <c r="B120" s="1" t="s">
        <v>350</v>
      </c>
    </row>
    <row r="121" spans="1:2" ht="15.75" customHeight="1" x14ac:dyDescent="0.15">
      <c r="A121" s="1" t="s">
        <v>353</v>
      </c>
      <c r="B121" s="1" t="s">
        <v>353</v>
      </c>
    </row>
    <row r="122" spans="1:2" ht="15.75" customHeight="1" x14ac:dyDescent="0.15">
      <c r="A122" s="1" t="s">
        <v>356</v>
      </c>
      <c r="B122" s="1" t="s">
        <v>356</v>
      </c>
    </row>
    <row r="123" spans="1:2" ht="15.75" customHeight="1" x14ac:dyDescent="0.15">
      <c r="A123" s="1" t="s">
        <v>359</v>
      </c>
      <c r="B123" s="1" t="s">
        <v>359</v>
      </c>
    </row>
    <row r="124" spans="1:2" ht="15.75" customHeight="1" x14ac:dyDescent="0.15">
      <c r="A124" s="1" t="s">
        <v>362</v>
      </c>
      <c r="B124" s="1" t="s">
        <v>362</v>
      </c>
    </row>
    <row r="125" spans="1:2" ht="15.75" customHeight="1" x14ac:dyDescent="0.15">
      <c r="A125" s="1" t="s">
        <v>365</v>
      </c>
      <c r="B125" s="1" t="s">
        <v>365</v>
      </c>
    </row>
    <row r="126" spans="1:2" ht="15.75" customHeight="1" x14ac:dyDescent="0.15">
      <c r="A126" s="1" t="s">
        <v>368</v>
      </c>
      <c r="B126" s="1" t="s">
        <v>368</v>
      </c>
    </row>
    <row r="127" spans="1:2" ht="13" x14ac:dyDescent="0.15">
      <c r="A127" s="1" t="s">
        <v>371</v>
      </c>
      <c r="B127" s="1" t="s">
        <v>371</v>
      </c>
    </row>
    <row r="128" spans="1:2" ht="13" x14ac:dyDescent="0.15">
      <c r="A128" s="1" t="s">
        <v>374</v>
      </c>
      <c r="B128" s="1" t="s">
        <v>374</v>
      </c>
    </row>
    <row r="129" spans="1:2" ht="13" x14ac:dyDescent="0.15">
      <c r="A129" s="1" t="s">
        <v>377</v>
      </c>
      <c r="B129" s="1" t="s">
        <v>377</v>
      </c>
    </row>
    <row r="130" spans="1:2" ht="13" x14ac:dyDescent="0.15">
      <c r="A130" s="1" t="s">
        <v>380</v>
      </c>
      <c r="B130" s="1" t="s">
        <v>380</v>
      </c>
    </row>
    <row r="131" spans="1:2" ht="13" x14ac:dyDescent="0.15">
      <c r="A131" s="1" t="s">
        <v>383</v>
      </c>
      <c r="B131" s="1" t="s">
        <v>383</v>
      </c>
    </row>
    <row r="132" spans="1:2" ht="13" x14ac:dyDescent="0.15">
      <c r="A132" s="1" t="s">
        <v>386</v>
      </c>
      <c r="B132" s="1" t="s">
        <v>386</v>
      </c>
    </row>
    <row r="133" spans="1:2" ht="13" x14ac:dyDescent="0.15">
      <c r="A133" s="1" t="s">
        <v>389</v>
      </c>
      <c r="B133" s="1" t="s">
        <v>389</v>
      </c>
    </row>
    <row r="134" spans="1:2" ht="13" x14ac:dyDescent="0.15">
      <c r="A134" s="1" t="s">
        <v>392</v>
      </c>
      <c r="B134" s="1" t="s">
        <v>392</v>
      </c>
    </row>
    <row r="135" spans="1:2" ht="13" x14ac:dyDescent="0.15">
      <c r="A135" s="1" t="s">
        <v>395</v>
      </c>
      <c r="B135" s="1" t="s">
        <v>395</v>
      </c>
    </row>
    <row r="136" spans="1:2" ht="13" x14ac:dyDescent="0.15">
      <c r="A136" s="1" t="s">
        <v>398</v>
      </c>
      <c r="B136" s="1" t="s">
        <v>398</v>
      </c>
    </row>
    <row r="137" spans="1:2" ht="13" x14ac:dyDescent="0.15">
      <c r="A137" s="1" t="s">
        <v>401</v>
      </c>
      <c r="B137" s="1" t="s">
        <v>401</v>
      </c>
    </row>
    <row r="138" spans="1:2" ht="13" x14ac:dyDescent="0.15">
      <c r="A138" s="1" t="s">
        <v>404</v>
      </c>
      <c r="B138" s="1" t="s">
        <v>404</v>
      </c>
    </row>
    <row r="139" spans="1:2" ht="13" x14ac:dyDescent="0.15">
      <c r="A139" s="1" t="s">
        <v>407</v>
      </c>
      <c r="B139" s="1" t="s">
        <v>407</v>
      </c>
    </row>
    <row r="140" spans="1:2" ht="13" x14ac:dyDescent="0.15">
      <c r="A140" s="1" t="s">
        <v>410</v>
      </c>
      <c r="B140" s="1" t="s">
        <v>410</v>
      </c>
    </row>
    <row r="141" spans="1:2" ht="13" x14ac:dyDescent="0.15">
      <c r="A141" s="1" t="s">
        <v>413</v>
      </c>
      <c r="B141" s="1" t="s">
        <v>413</v>
      </c>
    </row>
    <row r="142" spans="1:2" ht="13" x14ac:dyDescent="0.15">
      <c r="A142" s="1" t="s">
        <v>416</v>
      </c>
      <c r="B142" s="1" t="s">
        <v>416</v>
      </c>
    </row>
    <row r="143" spans="1:2" ht="13" x14ac:dyDescent="0.15">
      <c r="A143" s="1" t="s">
        <v>419</v>
      </c>
      <c r="B143" s="1" t="s">
        <v>419</v>
      </c>
    </row>
    <row r="144" spans="1:2" ht="13" x14ac:dyDescent="0.15">
      <c r="A144" s="1" t="s">
        <v>422</v>
      </c>
      <c r="B144" s="1" t="s">
        <v>422</v>
      </c>
    </row>
    <row r="145" spans="1:2" ht="13" x14ac:dyDescent="0.15">
      <c r="A145" s="1" t="s">
        <v>425</v>
      </c>
      <c r="B145" s="1" t="s">
        <v>425</v>
      </c>
    </row>
    <row r="146" spans="1:2" ht="13" x14ac:dyDescent="0.15">
      <c r="A146" s="1" t="s">
        <v>428</v>
      </c>
      <c r="B146" s="1" t="s">
        <v>428</v>
      </c>
    </row>
    <row r="147" spans="1:2" ht="13" x14ac:dyDescent="0.15">
      <c r="A147" s="1" t="s">
        <v>431</v>
      </c>
      <c r="B147" s="1" t="s">
        <v>431</v>
      </c>
    </row>
    <row r="148" spans="1:2" ht="13" x14ac:dyDescent="0.15">
      <c r="A148" s="1" t="s">
        <v>434</v>
      </c>
      <c r="B148" s="1" t="s">
        <v>434</v>
      </c>
    </row>
    <row r="149" spans="1:2" ht="13" x14ac:dyDescent="0.15">
      <c r="A149" s="1" t="s">
        <v>437</v>
      </c>
      <c r="B149" s="1" t="s">
        <v>437</v>
      </c>
    </row>
    <row r="150" spans="1:2" ht="13" x14ac:dyDescent="0.15">
      <c r="A150" s="1" t="s">
        <v>440</v>
      </c>
      <c r="B150" s="1" t="s">
        <v>440</v>
      </c>
    </row>
    <row r="151" spans="1:2" ht="13" x14ac:dyDescent="0.15">
      <c r="A151" s="1" t="s">
        <v>443</v>
      </c>
      <c r="B151" s="1" t="s">
        <v>443</v>
      </c>
    </row>
    <row r="152" spans="1:2" ht="13" x14ac:dyDescent="0.15">
      <c r="A152" s="1" t="s">
        <v>446</v>
      </c>
      <c r="B152" s="1" t="s">
        <v>446</v>
      </c>
    </row>
    <row r="153" spans="1:2" ht="13" x14ac:dyDescent="0.15">
      <c r="A153" s="1" t="s">
        <v>449</v>
      </c>
      <c r="B153" s="1" t="s">
        <v>449</v>
      </c>
    </row>
    <row r="154" spans="1:2" ht="13" x14ac:dyDescent="0.15">
      <c r="A154" s="1" t="s">
        <v>452</v>
      </c>
      <c r="B154" s="1" t="s">
        <v>452</v>
      </c>
    </row>
    <row r="155" spans="1:2" ht="13" x14ac:dyDescent="0.15">
      <c r="A155" s="1" t="s">
        <v>455</v>
      </c>
      <c r="B155" s="1" t="s">
        <v>455</v>
      </c>
    </row>
    <row r="156" spans="1:2" ht="13" x14ac:dyDescent="0.15">
      <c r="A156" s="1" t="s">
        <v>458</v>
      </c>
      <c r="B156" s="1" t="s">
        <v>458</v>
      </c>
    </row>
    <row r="157" spans="1:2" ht="13" x14ac:dyDescent="0.15">
      <c r="A157" s="1" t="s">
        <v>461</v>
      </c>
      <c r="B157" s="1" t="s">
        <v>461</v>
      </c>
    </row>
    <row r="158" spans="1:2" ht="13" x14ac:dyDescent="0.15">
      <c r="A158" s="1" t="s">
        <v>464</v>
      </c>
      <c r="B158" s="1" t="s">
        <v>464</v>
      </c>
    </row>
    <row r="159" spans="1:2" ht="13" x14ac:dyDescent="0.15">
      <c r="A159" s="1" t="s">
        <v>467</v>
      </c>
      <c r="B159" s="1" t="s">
        <v>467</v>
      </c>
    </row>
    <row r="160" spans="1:2" ht="13" x14ac:dyDescent="0.15">
      <c r="A160" s="1" t="s">
        <v>470</v>
      </c>
      <c r="B160" s="1" t="s">
        <v>470</v>
      </c>
    </row>
    <row r="161" spans="1:2" ht="13" x14ac:dyDescent="0.15">
      <c r="A161" s="1" t="s">
        <v>473</v>
      </c>
      <c r="B161" s="1" t="s">
        <v>473</v>
      </c>
    </row>
    <row r="162" spans="1:2" ht="13" x14ac:dyDescent="0.15">
      <c r="A162" s="1" t="s">
        <v>476</v>
      </c>
      <c r="B162" s="1" t="s">
        <v>476</v>
      </c>
    </row>
    <row r="163" spans="1:2" ht="13" x14ac:dyDescent="0.15">
      <c r="A163" s="1" t="s">
        <v>479</v>
      </c>
      <c r="B163" s="1" t="s">
        <v>479</v>
      </c>
    </row>
    <row r="164" spans="1:2" ht="13" x14ac:dyDescent="0.15">
      <c r="A164" s="1" t="s">
        <v>482</v>
      </c>
      <c r="B164" s="1" t="s">
        <v>482</v>
      </c>
    </row>
    <row r="165" spans="1:2" ht="13" x14ac:dyDescent="0.15">
      <c r="A165" s="1" t="s">
        <v>485</v>
      </c>
      <c r="B165" s="1" t="s">
        <v>485</v>
      </c>
    </row>
    <row r="166" spans="1:2" ht="13" x14ac:dyDescent="0.15">
      <c r="A166" s="1" t="s">
        <v>488</v>
      </c>
      <c r="B166" s="1" t="s">
        <v>488</v>
      </c>
    </row>
    <row r="167" spans="1:2" ht="13" x14ac:dyDescent="0.15">
      <c r="A167" s="1" t="s">
        <v>491</v>
      </c>
      <c r="B167" s="1" t="s">
        <v>491</v>
      </c>
    </row>
    <row r="168" spans="1:2" ht="13" x14ac:dyDescent="0.15">
      <c r="A168" s="1" t="s">
        <v>494</v>
      </c>
      <c r="B168" s="1" t="s">
        <v>494</v>
      </c>
    </row>
    <row r="169" spans="1:2" ht="13" x14ac:dyDescent="0.15">
      <c r="A169" s="1" t="s">
        <v>497</v>
      </c>
      <c r="B169" s="1" t="s">
        <v>497</v>
      </c>
    </row>
    <row r="170" spans="1:2" ht="13" x14ac:dyDescent="0.15">
      <c r="A170" s="1" t="s">
        <v>500</v>
      </c>
      <c r="B170" s="1" t="s">
        <v>500</v>
      </c>
    </row>
    <row r="171" spans="1:2" ht="13" x14ac:dyDescent="0.15">
      <c r="A171" s="1" t="s">
        <v>503</v>
      </c>
      <c r="B171" s="1" t="s">
        <v>503</v>
      </c>
    </row>
    <row r="172" spans="1:2" ht="13" x14ac:dyDescent="0.15">
      <c r="A172" s="1" t="s">
        <v>506</v>
      </c>
      <c r="B172" s="1" t="s">
        <v>506</v>
      </c>
    </row>
    <row r="173" spans="1:2" ht="13" x14ac:dyDescent="0.15">
      <c r="A173" s="1" t="s">
        <v>509</v>
      </c>
      <c r="B173" s="1" t="s">
        <v>509</v>
      </c>
    </row>
    <row r="174" spans="1:2" ht="13" x14ac:dyDescent="0.15">
      <c r="A174" s="1" t="s">
        <v>512</v>
      </c>
      <c r="B174" s="1" t="s">
        <v>512</v>
      </c>
    </row>
    <row r="175" spans="1:2" ht="13" x14ac:dyDescent="0.15">
      <c r="A175" s="1" t="s">
        <v>515</v>
      </c>
      <c r="B175" s="1" t="s">
        <v>515</v>
      </c>
    </row>
    <row r="176" spans="1:2" ht="13" x14ac:dyDescent="0.15">
      <c r="A176" s="1" t="s">
        <v>518</v>
      </c>
      <c r="B176" s="1" t="s">
        <v>518</v>
      </c>
    </row>
    <row r="177" spans="1:2" ht="13" x14ac:dyDescent="0.15">
      <c r="A177" s="1" t="s">
        <v>521</v>
      </c>
      <c r="B177" s="1" t="s">
        <v>521</v>
      </c>
    </row>
    <row r="178" spans="1:2" ht="13" x14ac:dyDescent="0.15">
      <c r="A178" s="1" t="s">
        <v>524</v>
      </c>
      <c r="B178" s="1" t="s">
        <v>524</v>
      </c>
    </row>
    <row r="179" spans="1:2" ht="13" x14ac:dyDescent="0.15">
      <c r="A179" s="1" t="s">
        <v>527</v>
      </c>
      <c r="B179" s="1" t="s">
        <v>527</v>
      </c>
    </row>
    <row r="180" spans="1:2" ht="13" x14ac:dyDescent="0.15">
      <c r="A180" s="1" t="s">
        <v>530</v>
      </c>
      <c r="B180" s="1" t="s">
        <v>530</v>
      </c>
    </row>
    <row r="181" spans="1:2" ht="13" x14ac:dyDescent="0.15">
      <c r="A181" s="1" t="s">
        <v>533</v>
      </c>
      <c r="B181" s="1" t="s">
        <v>533</v>
      </c>
    </row>
    <row r="182" spans="1:2" ht="13" x14ac:dyDescent="0.15">
      <c r="A182" s="1" t="s">
        <v>536</v>
      </c>
      <c r="B182" s="1" t="s">
        <v>536</v>
      </c>
    </row>
    <row r="183" spans="1:2" ht="13" x14ac:dyDescent="0.15">
      <c r="A183" s="1" t="s">
        <v>539</v>
      </c>
      <c r="B183" s="1" t="s">
        <v>539</v>
      </c>
    </row>
    <row r="184" spans="1:2" ht="13" x14ac:dyDescent="0.15">
      <c r="A184" s="1" t="s">
        <v>542</v>
      </c>
      <c r="B184" s="1" t="s">
        <v>542</v>
      </c>
    </row>
    <row r="185" spans="1:2" ht="13" x14ac:dyDescent="0.15">
      <c r="A185" s="1" t="s">
        <v>545</v>
      </c>
      <c r="B185" s="1" t="s">
        <v>545</v>
      </c>
    </row>
    <row r="186" spans="1:2" ht="13" x14ac:dyDescent="0.15">
      <c r="A186" s="1" t="s">
        <v>548</v>
      </c>
      <c r="B186" s="1" t="s">
        <v>548</v>
      </c>
    </row>
    <row r="187" spans="1:2" ht="13" x14ac:dyDescent="0.15">
      <c r="A187" s="1" t="s">
        <v>551</v>
      </c>
      <c r="B187" s="1" t="s">
        <v>551</v>
      </c>
    </row>
    <row r="188" spans="1:2" ht="13" x14ac:dyDescent="0.15">
      <c r="A188" s="1" t="s">
        <v>554</v>
      </c>
      <c r="B188" s="1" t="s">
        <v>554</v>
      </c>
    </row>
    <row r="189" spans="1:2" ht="13" x14ac:dyDescent="0.15">
      <c r="A189" s="1" t="s">
        <v>557</v>
      </c>
      <c r="B189" s="1" t="s">
        <v>557</v>
      </c>
    </row>
    <row r="190" spans="1:2" ht="13" x14ac:dyDescent="0.15">
      <c r="A190" s="1" t="s">
        <v>560</v>
      </c>
      <c r="B190" s="1" t="s">
        <v>560</v>
      </c>
    </row>
    <row r="191" spans="1:2" ht="13" x14ac:dyDescent="0.15">
      <c r="A191" s="1" t="s">
        <v>563</v>
      </c>
      <c r="B191" s="1" t="s">
        <v>563</v>
      </c>
    </row>
    <row r="192" spans="1:2" ht="13" x14ac:dyDescent="0.15">
      <c r="A192" s="1" t="s">
        <v>566</v>
      </c>
      <c r="B192" s="1" t="s">
        <v>566</v>
      </c>
    </row>
    <row r="193" spans="1:2" ht="13" x14ac:dyDescent="0.15">
      <c r="A193" s="1" t="s">
        <v>569</v>
      </c>
      <c r="B193" s="1" t="s">
        <v>569</v>
      </c>
    </row>
    <row r="194" spans="1:2" ht="13" x14ac:dyDescent="0.15">
      <c r="A194" s="1" t="s">
        <v>572</v>
      </c>
      <c r="B194" s="1" t="s">
        <v>572</v>
      </c>
    </row>
    <row r="195" spans="1:2" ht="13" x14ac:dyDescent="0.15">
      <c r="A195" s="1" t="s">
        <v>575</v>
      </c>
      <c r="B195" s="1" t="s">
        <v>575</v>
      </c>
    </row>
    <row r="196" spans="1:2" ht="13" x14ac:dyDescent="0.15">
      <c r="A196" s="1" t="s">
        <v>578</v>
      </c>
      <c r="B196" s="1" t="s">
        <v>578</v>
      </c>
    </row>
    <row r="197" spans="1:2" ht="13" x14ac:dyDescent="0.15">
      <c r="A197" s="1" t="s">
        <v>581</v>
      </c>
      <c r="B197" s="1" t="s">
        <v>581</v>
      </c>
    </row>
    <row r="198" spans="1:2" ht="13" x14ac:dyDescent="0.15">
      <c r="A198" s="1" t="s">
        <v>584</v>
      </c>
      <c r="B198" s="1" t="s">
        <v>584</v>
      </c>
    </row>
    <row r="199" spans="1:2" ht="13" x14ac:dyDescent="0.15">
      <c r="A199" s="1" t="s">
        <v>587</v>
      </c>
      <c r="B199" s="1" t="s">
        <v>587</v>
      </c>
    </row>
    <row r="200" spans="1:2" ht="15" x14ac:dyDescent="0.2">
      <c r="A200" s="3" t="s">
        <v>590</v>
      </c>
      <c r="B200" s="47" t="s">
        <v>590</v>
      </c>
    </row>
    <row r="201" spans="1:2" ht="15" x14ac:dyDescent="0.2">
      <c r="A201" s="3" t="s">
        <v>593</v>
      </c>
      <c r="B201" s="47" t="s">
        <v>593</v>
      </c>
    </row>
    <row r="202" spans="1:2" ht="13" x14ac:dyDescent="0.15">
      <c r="A202" s="1" t="s">
        <v>596</v>
      </c>
      <c r="B202" s="1" t="s">
        <v>596</v>
      </c>
    </row>
    <row r="203" spans="1:2" ht="13" x14ac:dyDescent="0.15">
      <c r="A203" s="1" t="s">
        <v>599</v>
      </c>
      <c r="B203" s="1" t="s">
        <v>599</v>
      </c>
    </row>
    <row r="204" spans="1:2" ht="13" x14ac:dyDescent="0.15">
      <c r="A204" s="1" t="s">
        <v>602</v>
      </c>
      <c r="B204" s="1" t="s">
        <v>602</v>
      </c>
    </row>
    <row r="205" spans="1:2" ht="13" x14ac:dyDescent="0.15">
      <c r="A205" s="1" t="s">
        <v>605</v>
      </c>
      <c r="B205" s="1" t="s">
        <v>605</v>
      </c>
    </row>
    <row r="206" spans="1:2" ht="13" x14ac:dyDescent="0.15">
      <c r="A206" s="1" t="s">
        <v>608</v>
      </c>
      <c r="B206" s="1" t="s">
        <v>608</v>
      </c>
    </row>
    <row r="207" spans="1:2" ht="13" x14ac:dyDescent="0.15">
      <c r="A207" s="1" t="s">
        <v>611</v>
      </c>
      <c r="B207" s="1" t="s">
        <v>611</v>
      </c>
    </row>
    <row r="208" spans="1:2" ht="13" x14ac:dyDescent="0.15">
      <c r="A208" s="1" t="s">
        <v>614</v>
      </c>
      <c r="B208" s="1" t="s">
        <v>614</v>
      </c>
    </row>
    <row r="209" spans="1:2" ht="13" x14ac:dyDescent="0.15">
      <c r="A209" s="1" t="s">
        <v>617</v>
      </c>
      <c r="B209" s="1" t="s">
        <v>617</v>
      </c>
    </row>
    <row r="210" spans="1:2" ht="13" x14ac:dyDescent="0.15">
      <c r="A210" s="1" t="s">
        <v>620</v>
      </c>
      <c r="B210" s="1" t="s">
        <v>620</v>
      </c>
    </row>
    <row r="211" spans="1:2" ht="13" x14ac:dyDescent="0.15">
      <c r="A211" s="1" t="s">
        <v>623</v>
      </c>
      <c r="B211" s="1" t="s">
        <v>623</v>
      </c>
    </row>
    <row r="212" spans="1:2" ht="13" x14ac:dyDescent="0.15">
      <c r="A212" s="1" t="s">
        <v>626</v>
      </c>
      <c r="B212" s="1" t="s">
        <v>626</v>
      </c>
    </row>
    <row r="213" spans="1:2" ht="13" x14ac:dyDescent="0.15">
      <c r="A213" s="1" t="s">
        <v>629</v>
      </c>
      <c r="B213" s="1" t="s">
        <v>629</v>
      </c>
    </row>
    <row r="214" spans="1:2" ht="13" x14ac:dyDescent="0.15">
      <c r="A214" s="1" t="s">
        <v>632</v>
      </c>
      <c r="B214" s="1" t="s">
        <v>632</v>
      </c>
    </row>
    <row r="215" spans="1:2" ht="13" x14ac:dyDescent="0.15">
      <c r="A215" s="1" t="s">
        <v>635</v>
      </c>
      <c r="B215" s="1" t="s">
        <v>635</v>
      </c>
    </row>
    <row r="216" spans="1:2" ht="13" x14ac:dyDescent="0.15">
      <c r="A216" s="1" t="s">
        <v>638</v>
      </c>
      <c r="B216" s="1" t="s">
        <v>638</v>
      </c>
    </row>
    <row r="217" spans="1:2" ht="13" x14ac:dyDescent="0.15">
      <c r="A217" s="1" t="s">
        <v>641</v>
      </c>
      <c r="B217" s="1" t="s">
        <v>641</v>
      </c>
    </row>
    <row r="218" spans="1:2" ht="13" x14ac:dyDescent="0.15">
      <c r="A218" s="1" t="s">
        <v>644</v>
      </c>
      <c r="B218" s="1" t="s">
        <v>644</v>
      </c>
    </row>
    <row r="219" spans="1:2" ht="13" x14ac:dyDescent="0.15">
      <c r="A219" s="1" t="s">
        <v>647</v>
      </c>
      <c r="B219" s="1" t="s">
        <v>647</v>
      </c>
    </row>
    <row r="220" spans="1:2" ht="13" x14ac:dyDescent="0.15">
      <c r="A220" s="6" t="s">
        <v>650</v>
      </c>
      <c r="B220" s="48" t="s">
        <v>650</v>
      </c>
    </row>
    <row r="221" spans="1:2" ht="13" x14ac:dyDescent="0.15">
      <c r="A221" s="1" t="s">
        <v>653</v>
      </c>
      <c r="B221" s="1" t="s">
        <v>653</v>
      </c>
    </row>
    <row r="222" spans="1:2" ht="13" x14ac:dyDescent="0.15">
      <c r="A222" s="1" t="s">
        <v>656</v>
      </c>
      <c r="B222" s="1" t="s">
        <v>656</v>
      </c>
    </row>
    <row r="223" spans="1:2" ht="13" x14ac:dyDescent="0.15">
      <c r="A223" s="1" t="s">
        <v>659</v>
      </c>
      <c r="B223" s="1" t="s">
        <v>659</v>
      </c>
    </row>
    <row r="224" spans="1:2" ht="13" x14ac:dyDescent="0.15">
      <c r="A224" s="1" t="s">
        <v>662</v>
      </c>
      <c r="B224" s="1" t="s">
        <v>662</v>
      </c>
    </row>
    <row r="225" spans="1:2" ht="13" x14ac:dyDescent="0.15">
      <c r="A225" s="1" t="s">
        <v>665</v>
      </c>
      <c r="B225" s="1" t="s">
        <v>665</v>
      </c>
    </row>
    <row r="226" spans="1:2" ht="13" x14ac:dyDescent="0.15">
      <c r="A226" s="1" t="s">
        <v>668</v>
      </c>
      <c r="B226" s="1" t="s">
        <v>668</v>
      </c>
    </row>
    <row r="227" spans="1:2" ht="13" x14ac:dyDescent="0.15">
      <c r="A227" s="1" t="s">
        <v>671</v>
      </c>
      <c r="B227" s="1" t="s">
        <v>671</v>
      </c>
    </row>
    <row r="228" spans="1:2" ht="13" x14ac:dyDescent="0.15">
      <c r="A228" s="1" t="s">
        <v>674</v>
      </c>
      <c r="B228" s="1" t="s">
        <v>674</v>
      </c>
    </row>
    <row r="229" spans="1:2" ht="13" x14ac:dyDescent="0.15">
      <c r="A229" s="1" t="s">
        <v>677</v>
      </c>
      <c r="B229" s="1" t="s">
        <v>677</v>
      </c>
    </row>
    <row r="230" spans="1:2" ht="13" x14ac:dyDescent="0.15">
      <c r="A230" s="1" t="s">
        <v>680</v>
      </c>
      <c r="B230" s="1" t="s">
        <v>680</v>
      </c>
    </row>
    <row r="231" spans="1:2" ht="13" x14ac:dyDescent="0.15">
      <c r="A231" s="1" t="s">
        <v>683</v>
      </c>
      <c r="B231" s="1" t="s">
        <v>683</v>
      </c>
    </row>
    <row r="232" spans="1:2" ht="13" x14ac:dyDescent="0.15">
      <c r="A232" s="1" t="s">
        <v>686</v>
      </c>
      <c r="B232" s="1" t="s">
        <v>686</v>
      </c>
    </row>
    <row r="233" spans="1:2" ht="13" x14ac:dyDescent="0.15">
      <c r="A233" s="1" t="s">
        <v>689</v>
      </c>
      <c r="B233" s="1" t="s">
        <v>689</v>
      </c>
    </row>
    <row r="234" spans="1:2" ht="13" x14ac:dyDescent="0.15">
      <c r="A234" s="1" t="s">
        <v>692</v>
      </c>
      <c r="B234" s="1" t="s">
        <v>692</v>
      </c>
    </row>
    <row r="235" spans="1:2" ht="13" x14ac:dyDescent="0.15">
      <c r="A235" s="1" t="s">
        <v>695</v>
      </c>
      <c r="B235" s="1" t="s">
        <v>695</v>
      </c>
    </row>
    <row r="236" spans="1:2" ht="13" x14ac:dyDescent="0.15">
      <c r="A236" s="1" t="s">
        <v>698</v>
      </c>
      <c r="B236" s="1" t="s">
        <v>698</v>
      </c>
    </row>
    <row r="237" spans="1:2" ht="13" x14ac:dyDescent="0.15">
      <c r="A237" s="1" t="s">
        <v>701</v>
      </c>
      <c r="B237" s="1" t="s">
        <v>701</v>
      </c>
    </row>
    <row r="238" spans="1:2" ht="13" x14ac:dyDescent="0.15">
      <c r="A238" s="1" t="s">
        <v>704</v>
      </c>
      <c r="B238" s="1" t="s">
        <v>704</v>
      </c>
    </row>
    <row r="239" spans="1:2" ht="13" x14ac:dyDescent="0.15">
      <c r="A239" s="1" t="s">
        <v>707</v>
      </c>
      <c r="B239" s="1" t="s">
        <v>707</v>
      </c>
    </row>
    <row r="240" spans="1:2" ht="13" x14ac:dyDescent="0.15">
      <c r="A240" s="1" t="s">
        <v>710</v>
      </c>
      <c r="B240" s="1" t="s">
        <v>710</v>
      </c>
    </row>
    <row r="241" spans="1:2" ht="13" x14ac:dyDescent="0.15">
      <c r="A241" s="1" t="s">
        <v>713</v>
      </c>
      <c r="B241" s="1" t="s">
        <v>713</v>
      </c>
    </row>
    <row r="242" spans="1:2" ht="13" x14ac:dyDescent="0.15">
      <c r="A242" s="1" t="s">
        <v>716</v>
      </c>
      <c r="B242" s="1" t="s">
        <v>716</v>
      </c>
    </row>
    <row r="243" spans="1:2" ht="13" x14ac:dyDescent="0.15">
      <c r="A243" s="1" t="s">
        <v>719</v>
      </c>
      <c r="B243" s="1" t="s">
        <v>719</v>
      </c>
    </row>
    <row r="244" spans="1:2" ht="13" x14ac:dyDescent="0.15">
      <c r="A244" s="1" t="s">
        <v>722</v>
      </c>
      <c r="B244" s="1" t="s">
        <v>722</v>
      </c>
    </row>
    <row r="245" spans="1:2" ht="13" x14ac:dyDescent="0.15">
      <c r="A245" s="1" t="s">
        <v>725</v>
      </c>
      <c r="B245" s="1" t="s">
        <v>725</v>
      </c>
    </row>
    <row r="246" spans="1:2" ht="13" x14ac:dyDescent="0.15">
      <c r="A246" s="1" t="s">
        <v>728</v>
      </c>
      <c r="B246" s="1" t="s">
        <v>728</v>
      </c>
    </row>
    <row r="247" spans="1:2" ht="13" x14ac:dyDescent="0.15">
      <c r="A247" s="1" t="s">
        <v>731</v>
      </c>
      <c r="B247" s="1" t="s">
        <v>731</v>
      </c>
    </row>
    <row r="248" spans="1:2" ht="13" x14ac:dyDescent="0.15">
      <c r="A248" s="1" t="s">
        <v>734</v>
      </c>
      <c r="B248" s="1" t="s">
        <v>734</v>
      </c>
    </row>
    <row r="249" spans="1:2" ht="13" x14ac:dyDescent="0.15">
      <c r="A249" s="1" t="s">
        <v>737</v>
      </c>
      <c r="B249" s="1" t="s">
        <v>737</v>
      </c>
    </row>
    <row r="250" spans="1:2" ht="13" x14ac:dyDescent="0.15">
      <c r="A250" s="1" t="s">
        <v>740</v>
      </c>
      <c r="B250" s="1" t="s">
        <v>740</v>
      </c>
    </row>
    <row r="251" spans="1:2" ht="13" x14ac:dyDescent="0.15">
      <c r="A251" s="1" t="s">
        <v>743</v>
      </c>
      <c r="B251" s="1" t="s">
        <v>743</v>
      </c>
    </row>
    <row r="252" spans="1:2" ht="13" x14ac:dyDescent="0.15">
      <c r="A252" s="1" t="s">
        <v>746</v>
      </c>
      <c r="B252" s="1" t="s">
        <v>746</v>
      </c>
    </row>
    <row r="253" spans="1:2" ht="13" x14ac:dyDescent="0.15">
      <c r="A253" s="1" t="s">
        <v>749</v>
      </c>
      <c r="B253" s="1" t="s">
        <v>749</v>
      </c>
    </row>
    <row r="254" spans="1:2" ht="13" x14ac:dyDescent="0.15">
      <c r="A254" s="1" t="s">
        <v>752</v>
      </c>
      <c r="B254" s="1" t="s">
        <v>752</v>
      </c>
    </row>
    <row r="255" spans="1:2" ht="13" x14ac:dyDescent="0.15">
      <c r="A255" s="1" t="s">
        <v>755</v>
      </c>
      <c r="B255" s="1" t="s">
        <v>755</v>
      </c>
    </row>
    <row r="256" spans="1:2" ht="13" x14ac:dyDescent="0.15">
      <c r="A256" s="1" t="s">
        <v>758</v>
      </c>
      <c r="B256" s="1" t="s">
        <v>758</v>
      </c>
    </row>
    <row r="257" spans="1:2" ht="13" x14ac:dyDescent="0.15">
      <c r="A257" s="1" t="s">
        <v>762</v>
      </c>
      <c r="B257" s="1" t="s">
        <v>762</v>
      </c>
    </row>
    <row r="258" spans="1:2" ht="13" x14ac:dyDescent="0.15">
      <c r="A258" s="1" t="s">
        <v>765</v>
      </c>
      <c r="B258" s="1" t="s">
        <v>765</v>
      </c>
    </row>
    <row r="259" spans="1:2" ht="13" x14ac:dyDescent="0.15">
      <c r="A259" s="1" t="s">
        <v>768</v>
      </c>
      <c r="B259" s="1" t="s">
        <v>768</v>
      </c>
    </row>
    <row r="260" spans="1:2" ht="13" x14ac:dyDescent="0.15">
      <c r="A260" s="1" t="s">
        <v>771</v>
      </c>
      <c r="B260" s="1" t="s">
        <v>771</v>
      </c>
    </row>
    <row r="261" spans="1:2" ht="13" x14ac:dyDescent="0.15">
      <c r="A261" s="1" t="s">
        <v>774</v>
      </c>
      <c r="B261" s="1" t="s">
        <v>774</v>
      </c>
    </row>
    <row r="262" spans="1:2" ht="13" x14ac:dyDescent="0.15">
      <c r="A262" s="1" t="s">
        <v>777</v>
      </c>
      <c r="B262" s="1" t="s">
        <v>777</v>
      </c>
    </row>
    <row r="263" spans="1:2" ht="13" x14ac:dyDescent="0.15">
      <c r="A263" s="1" t="s">
        <v>780</v>
      </c>
      <c r="B263" s="1" t="s">
        <v>780</v>
      </c>
    </row>
    <row r="264" spans="1:2" ht="13" x14ac:dyDescent="0.15">
      <c r="A264" s="1" t="s">
        <v>783</v>
      </c>
      <c r="B264" s="1" t="s">
        <v>783</v>
      </c>
    </row>
    <row r="265" spans="1:2" ht="13" x14ac:dyDescent="0.15">
      <c r="A265" s="1" t="s">
        <v>786</v>
      </c>
      <c r="B265" s="1" t="s">
        <v>786</v>
      </c>
    </row>
    <row r="266" spans="1:2" ht="13" x14ac:dyDescent="0.15">
      <c r="A266" s="1" t="s">
        <v>789</v>
      </c>
      <c r="B266" s="1" t="s">
        <v>789</v>
      </c>
    </row>
    <row r="267" spans="1:2" ht="13" x14ac:dyDescent="0.15">
      <c r="A267" s="1" t="s">
        <v>792</v>
      </c>
      <c r="B267" s="1" t="s">
        <v>792</v>
      </c>
    </row>
    <row r="268" spans="1:2" ht="13" x14ac:dyDescent="0.15">
      <c r="A268" s="1" t="s">
        <v>795</v>
      </c>
      <c r="B268" s="1" t="s">
        <v>795</v>
      </c>
    </row>
    <row r="269" spans="1:2" ht="13" x14ac:dyDescent="0.15">
      <c r="A269" s="1" t="s">
        <v>798</v>
      </c>
      <c r="B269" s="1" t="s">
        <v>798</v>
      </c>
    </row>
    <row r="270" spans="1:2" ht="13" x14ac:dyDescent="0.15">
      <c r="A270" s="1" t="s">
        <v>801</v>
      </c>
      <c r="B270" s="1" t="s">
        <v>801</v>
      </c>
    </row>
    <row r="271" spans="1:2" ht="13" x14ac:dyDescent="0.15">
      <c r="A271" s="1" t="s">
        <v>804</v>
      </c>
      <c r="B271" s="1" t="s">
        <v>804</v>
      </c>
    </row>
    <row r="272" spans="1:2" ht="13" x14ac:dyDescent="0.15">
      <c r="A272" s="1" t="s">
        <v>807</v>
      </c>
      <c r="B272" s="1" t="s">
        <v>807</v>
      </c>
    </row>
    <row r="273" spans="1:2" ht="13" x14ac:dyDescent="0.15">
      <c r="A273" s="1" t="s">
        <v>810</v>
      </c>
      <c r="B273" s="1" t="s">
        <v>810</v>
      </c>
    </row>
    <row r="274" spans="1:2" ht="13" x14ac:dyDescent="0.15">
      <c r="A274" s="1" t="s">
        <v>813</v>
      </c>
      <c r="B274" s="1" t="s">
        <v>813</v>
      </c>
    </row>
    <row r="275" spans="1:2" ht="13" x14ac:dyDescent="0.15">
      <c r="A275" s="1" t="s">
        <v>816</v>
      </c>
      <c r="B275" s="1" t="s">
        <v>816</v>
      </c>
    </row>
    <row r="276" spans="1:2" ht="13" x14ac:dyDescent="0.15">
      <c r="A276" s="1" t="s">
        <v>819</v>
      </c>
      <c r="B276" s="1" t="s">
        <v>819</v>
      </c>
    </row>
    <row r="277" spans="1:2" ht="13" x14ac:dyDescent="0.15">
      <c r="A277" s="1" t="s">
        <v>822</v>
      </c>
      <c r="B277" s="1" t="s">
        <v>822</v>
      </c>
    </row>
    <row r="278" spans="1:2" ht="13" x14ac:dyDescent="0.15">
      <c r="A278" s="1" t="s">
        <v>825</v>
      </c>
      <c r="B278" s="1" t="s">
        <v>825</v>
      </c>
    </row>
    <row r="279" spans="1:2" ht="13" x14ac:dyDescent="0.15">
      <c r="A279" s="1" t="s">
        <v>828</v>
      </c>
      <c r="B279" s="1" t="s">
        <v>828</v>
      </c>
    </row>
    <row r="280" spans="1:2" ht="13" x14ac:dyDescent="0.15">
      <c r="A280" s="1" t="s">
        <v>831</v>
      </c>
      <c r="B280" s="1" t="s">
        <v>831</v>
      </c>
    </row>
    <row r="281" spans="1:2" ht="13" x14ac:dyDescent="0.15">
      <c r="A281" s="1" t="s">
        <v>834</v>
      </c>
      <c r="B281" s="1" t="s">
        <v>834</v>
      </c>
    </row>
    <row r="282" spans="1:2" ht="13" x14ac:dyDescent="0.15">
      <c r="A282" s="1" t="s">
        <v>837</v>
      </c>
      <c r="B282" s="1" t="s">
        <v>837</v>
      </c>
    </row>
    <row r="283" spans="1:2" ht="13" x14ac:dyDescent="0.15">
      <c r="A283" s="1" t="s">
        <v>840</v>
      </c>
      <c r="B283" s="1" t="s">
        <v>840</v>
      </c>
    </row>
    <row r="284" spans="1:2" ht="13" x14ac:dyDescent="0.15">
      <c r="A284" s="1" t="s">
        <v>843</v>
      </c>
      <c r="B284" s="1" t="s">
        <v>843</v>
      </c>
    </row>
    <row r="285" spans="1:2" ht="13" x14ac:dyDescent="0.15">
      <c r="A285" s="1" t="s">
        <v>846</v>
      </c>
      <c r="B285" s="1" t="s">
        <v>846</v>
      </c>
    </row>
    <row r="286" spans="1:2" ht="13" x14ac:dyDescent="0.15">
      <c r="A286" s="1" t="s">
        <v>849</v>
      </c>
      <c r="B286" s="1" t="s">
        <v>849</v>
      </c>
    </row>
    <row r="287" spans="1:2" ht="13" x14ac:dyDescent="0.15">
      <c r="A287" s="1" t="s">
        <v>852</v>
      </c>
      <c r="B287" s="1" t="s">
        <v>852</v>
      </c>
    </row>
    <row r="288" spans="1:2" ht="13" x14ac:dyDescent="0.15">
      <c r="A288" s="1" t="s">
        <v>855</v>
      </c>
      <c r="B288" s="1" t="s">
        <v>855</v>
      </c>
    </row>
    <row r="289" spans="1:2" ht="13" x14ac:dyDescent="0.15">
      <c r="A289" s="1" t="s">
        <v>858</v>
      </c>
      <c r="B289" s="1" t="s">
        <v>858</v>
      </c>
    </row>
    <row r="290" spans="1:2" ht="13" x14ac:dyDescent="0.15">
      <c r="A290" s="1" t="s">
        <v>861</v>
      </c>
      <c r="B290" s="1" t="s">
        <v>861</v>
      </c>
    </row>
    <row r="291" spans="1:2" ht="13" x14ac:dyDescent="0.15">
      <c r="A291" s="1" t="s">
        <v>864</v>
      </c>
      <c r="B291" s="1" t="s">
        <v>864</v>
      </c>
    </row>
    <row r="292" spans="1:2" ht="13" x14ac:dyDescent="0.15">
      <c r="A292" s="1" t="s">
        <v>867</v>
      </c>
      <c r="B292" s="1" t="s">
        <v>867</v>
      </c>
    </row>
    <row r="293" spans="1:2" ht="13" x14ac:dyDescent="0.15">
      <c r="A293" s="1" t="s">
        <v>870</v>
      </c>
      <c r="B293" s="1" t="s">
        <v>870</v>
      </c>
    </row>
    <row r="294" spans="1:2" ht="13" x14ac:dyDescent="0.15">
      <c r="A294" s="1" t="s">
        <v>873</v>
      </c>
      <c r="B294" s="1" t="s">
        <v>873</v>
      </c>
    </row>
    <row r="295" spans="1:2" ht="13" x14ac:dyDescent="0.15">
      <c r="A295" s="1" t="s">
        <v>876</v>
      </c>
      <c r="B295" s="1" t="s">
        <v>876</v>
      </c>
    </row>
    <row r="296" spans="1:2" ht="13" x14ac:dyDescent="0.15">
      <c r="A296" s="1" t="s">
        <v>879</v>
      </c>
      <c r="B296" s="1" t="s">
        <v>879</v>
      </c>
    </row>
    <row r="297" spans="1:2" ht="13" x14ac:dyDescent="0.15">
      <c r="A297" s="1" t="s">
        <v>882</v>
      </c>
      <c r="B297" s="1" t="s">
        <v>882</v>
      </c>
    </row>
    <row r="298" spans="1:2" ht="13" x14ac:dyDescent="0.15">
      <c r="A298" s="1" t="s">
        <v>885</v>
      </c>
      <c r="B298" s="1" t="s">
        <v>885</v>
      </c>
    </row>
    <row r="299" spans="1:2" ht="13" x14ac:dyDescent="0.15">
      <c r="A299" s="1" t="s">
        <v>888</v>
      </c>
      <c r="B299" s="1" t="s">
        <v>888</v>
      </c>
    </row>
    <row r="300" spans="1:2" ht="13" x14ac:dyDescent="0.15">
      <c r="A300" s="1" t="s">
        <v>891</v>
      </c>
      <c r="B300" s="1" t="s">
        <v>891</v>
      </c>
    </row>
    <row r="301" spans="1:2" ht="13" x14ac:dyDescent="0.15">
      <c r="A301" s="1" t="s">
        <v>894</v>
      </c>
      <c r="B301" s="1" t="s">
        <v>894</v>
      </c>
    </row>
    <row r="302" spans="1:2" ht="13" x14ac:dyDescent="0.15">
      <c r="A302" s="1" t="s">
        <v>897</v>
      </c>
      <c r="B302" s="1" t="s">
        <v>897</v>
      </c>
    </row>
    <row r="303" spans="1:2" ht="13" x14ac:dyDescent="0.15">
      <c r="A303" s="1" t="s">
        <v>900</v>
      </c>
      <c r="B303" s="1" t="s">
        <v>900</v>
      </c>
    </row>
    <row r="304" spans="1:2" ht="13" x14ac:dyDescent="0.15">
      <c r="A304" s="1" t="s">
        <v>903</v>
      </c>
      <c r="B304" s="1" t="s">
        <v>903</v>
      </c>
    </row>
    <row r="305" spans="1:2" ht="13" x14ac:dyDescent="0.15">
      <c r="A305" s="1" t="s">
        <v>906</v>
      </c>
      <c r="B305" s="1" t="s">
        <v>906</v>
      </c>
    </row>
    <row r="306" spans="1:2" ht="13" x14ac:dyDescent="0.15">
      <c r="A306" s="1" t="s">
        <v>909</v>
      </c>
      <c r="B306" s="1" t="s">
        <v>909</v>
      </c>
    </row>
    <row r="307" spans="1:2" ht="13" x14ac:dyDescent="0.15">
      <c r="A307" s="1" t="s">
        <v>912</v>
      </c>
      <c r="B307" s="1" t="s">
        <v>912</v>
      </c>
    </row>
    <row r="308" spans="1:2" ht="13" x14ac:dyDescent="0.15">
      <c r="A308" s="1" t="s">
        <v>915</v>
      </c>
      <c r="B308" s="1" t="s">
        <v>915</v>
      </c>
    </row>
    <row r="309" spans="1:2" ht="13" x14ac:dyDescent="0.15">
      <c r="A309" s="1" t="s">
        <v>918</v>
      </c>
      <c r="B309" s="1" t="s">
        <v>918</v>
      </c>
    </row>
    <row r="310" spans="1:2" ht="13" x14ac:dyDescent="0.15">
      <c r="A310" s="1" t="s">
        <v>921</v>
      </c>
      <c r="B310" s="1" t="s">
        <v>921</v>
      </c>
    </row>
    <row r="311" spans="1:2" ht="13" x14ac:dyDescent="0.15">
      <c r="A311" s="1" t="s">
        <v>924</v>
      </c>
      <c r="B311" s="1" t="s">
        <v>924</v>
      </c>
    </row>
    <row r="312" spans="1:2" ht="13" x14ac:dyDescent="0.15">
      <c r="A312" s="1" t="s">
        <v>927</v>
      </c>
      <c r="B312" s="1" t="s">
        <v>927</v>
      </c>
    </row>
    <row r="313" spans="1:2" ht="13" x14ac:dyDescent="0.15">
      <c r="A313" s="1" t="s">
        <v>930</v>
      </c>
      <c r="B313" s="1" t="s">
        <v>930</v>
      </c>
    </row>
    <row r="314" spans="1:2" ht="13" x14ac:dyDescent="0.15">
      <c r="A314" s="1" t="s">
        <v>933</v>
      </c>
      <c r="B314" s="1" t="s">
        <v>933</v>
      </c>
    </row>
    <row r="315" spans="1:2" ht="13" x14ac:dyDescent="0.15">
      <c r="A315" s="1" t="s">
        <v>936</v>
      </c>
      <c r="B315" s="1" t="s">
        <v>936</v>
      </c>
    </row>
    <row r="316" spans="1:2" ht="13" x14ac:dyDescent="0.15">
      <c r="A316" s="1" t="s">
        <v>939</v>
      </c>
      <c r="B316" s="1" t="s">
        <v>939</v>
      </c>
    </row>
    <row r="317" spans="1:2" ht="13" x14ac:dyDescent="0.15">
      <c r="A317" s="1" t="s">
        <v>942</v>
      </c>
      <c r="B317" s="1" t="s">
        <v>942</v>
      </c>
    </row>
    <row r="318" spans="1:2" ht="13" x14ac:dyDescent="0.15">
      <c r="A318" s="1" t="s">
        <v>945</v>
      </c>
      <c r="B318" s="1" t="s">
        <v>945</v>
      </c>
    </row>
    <row r="319" spans="1:2" ht="13" x14ac:dyDescent="0.15">
      <c r="A319" s="1" t="s">
        <v>948</v>
      </c>
      <c r="B319" s="1" t="s">
        <v>948</v>
      </c>
    </row>
    <row r="320" spans="1:2" ht="13" x14ac:dyDescent="0.15">
      <c r="A320" s="1" t="s">
        <v>951</v>
      </c>
      <c r="B320" s="1" t="s">
        <v>951</v>
      </c>
    </row>
    <row r="321" spans="1:2" ht="13" x14ac:dyDescent="0.15">
      <c r="A321" s="1" t="s">
        <v>954</v>
      </c>
      <c r="B321" s="1" t="s">
        <v>954</v>
      </c>
    </row>
    <row r="322" spans="1:2" ht="13" x14ac:dyDescent="0.15">
      <c r="A322" s="1" t="s">
        <v>957</v>
      </c>
      <c r="B322" s="1" t="s">
        <v>957</v>
      </c>
    </row>
    <row r="323" spans="1:2" ht="13" x14ac:dyDescent="0.15">
      <c r="A323" s="1" t="s">
        <v>960</v>
      </c>
      <c r="B323" s="1" t="s">
        <v>960</v>
      </c>
    </row>
    <row r="324" spans="1:2" ht="13" x14ac:dyDescent="0.15">
      <c r="A324" s="1" t="s">
        <v>963</v>
      </c>
      <c r="B324" s="1" t="s">
        <v>963</v>
      </c>
    </row>
    <row r="325" spans="1:2" ht="13" x14ac:dyDescent="0.15">
      <c r="A325" s="1" t="s">
        <v>966</v>
      </c>
      <c r="B325" s="1" t="s">
        <v>966</v>
      </c>
    </row>
    <row r="326" spans="1:2" ht="13" x14ac:dyDescent="0.15">
      <c r="A326" s="1" t="s">
        <v>969</v>
      </c>
      <c r="B326" s="1" t="s">
        <v>969</v>
      </c>
    </row>
    <row r="327" spans="1:2" ht="13" x14ac:dyDescent="0.15">
      <c r="A327" s="1" t="s">
        <v>972</v>
      </c>
      <c r="B327" s="1" t="s">
        <v>972</v>
      </c>
    </row>
    <row r="328" spans="1:2" ht="13" x14ac:dyDescent="0.15">
      <c r="A328" s="1" t="s">
        <v>975</v>
      </c>
      <c r="B328" s="1" t="s">
        <v>975</v>
      </c>
    </row>
    <row r="329" spans="1:2" ht="13" x14ac:dyDescent="0.15">
      <c r="A329" s="1" t="s">
        <v>978</v>
      </c>
      <c r="B329" s="1" t="s">
        <v>978</v>
      </c>
    </row>
    <row r="330" spans="1:2" ht="13" x14ac:dyDescent="0.15">
      <c r="A330" s="1" t="s">
        <v>981</v>
      </c>
      <c r="B330" s="1" t="s">
        <v>981</v>
      </c>
    </row>
    <row r="331" spans="1:2" ht="13" x14ac:dyDescent="0.15">
      <c r="A331" s="1" t="s">
        <v>984</v>
      </c>
      <c r="B331" s="1" t="s">
        <v>984</v>
      </c>
    </row>
    <row r="332" spans="1:2" ht="13" x14ac:dyDescent="0.15">
      <c r="A332" s="1" t="s">
        <v>987</v>
      </c>
      <c r="B332" s="1" t="s">
        <v>987</v>
      </c>
    </row>
    <row r="333" spans="1:2" ht="13" x14ac:dyDescent="0.15">
      <c r="A333" s="1" t="s">
        <v>990</v>
      </c>
      <c r="B333" s="1" t="s">
        <v>990</v>
      </c>
    </row>
    <row r="334" spans="1:2" ht="13" x14ac:dyDescent="0.15">
      <c r="A334" s="1" t="s">
        <v>993</v>
      </c>
      <c r="B334" s="1" t="s">
        <v>993</v>
      </c>
    </row>
    <row r="335" spans="1:2" ht="13" x14ac:dyDescent="0.15">
      <c r="A335" s="1" t="s">
        <v>996</v>
      </c>
      <c r="B335" s="1" t="s">
        <v>996</v>
      </c>
    </row>
    <row r="336" spans="1:2" ht="13" x14ac:dyDescent="0.15">
      <c r="A336" s="1" t="s">
        <v>999</v>
      </c>
      <c r="B336" s="1" t="s">
        <v>999</v>
      </c>
    </row>
    <row r="337" spans="1:2" ht="13" x14ac:dyDescent="0.15">
      <c r="A337" s="1" t="s">
        <v>1002</v>
      </c>
      <c r="B337" s="1" t="s">
        <v>1002</v>
      </c>
    </row>
    <row r="338" spans="1:2" ht="13" x14ac:dyDescent="0.15">
      <c r="A338" s="1" t="s">
        <v>1005</v>
      </c>
      <c r="B338" s="1" t="s">
        <v>1005</v>
      </c>
    </row>
    <row r="339" spans="1:2" ht="13" x14ac:dyDescent="0.15">
      <c r="A339" s="1" t="s">
        <v>1008</v>
      </c>
      <c r="B339" s="1" t="s">
        <v>1008</v>
      </c>
    </row>
    <row r="340" spans="1:2" ht="13" x14ac:dyDescent="0.15">
      <c r="A340" s="1" t="s">
        <v>1011</v>
      </c>
      <c r="B340" s="1" t="s">
        <v>1011</v>
      </c>
    </row>
    <row r="341" spans="1:2" ht="13" x14ac:dyDescent="0.15">
      <c r="A341" s="1" t="s">
        <v>1014</v>
      </c>
      <c r="B341" s="1" t="s">
        <v>1014</v>
      </c>
    </row>
    <row r="342" spans="1:2" ht="13" x14ac:dyDescent="0.15">
      <c r="A342" s="1" t="s">
        <v>1017</v>
      </c>
      <c r="B342" s="1" t="s">
        <v>1017</v>
      </c>
    </row>
    <row r="343" spans="1:2" ht="13" x14ac:dyDescent="0.15">
      <c r="A343" s="1" t="s">
        <v>1020</v>
      </c>
      <c r="B343" s="1" t="s">
        <v>1020</v>
      </c>
    </row>
    <row r="344" spans="1:2" ht="13" x14ac:dyDescent="0.15">
      <c r="A344" s="1" t="s">
        <v>1023</v>
      </c>
      <c r="B344" s="1" t="s">
        <v>1023</v>
      </c>
    </row>
    <row r="345" spans="1:2" ht="13" x14ac:dyDescent="0.15">
      <c r="A345" s="1" t="s">
        <v>1026</v>
      </c>
      <c r="B345" s="1" t="s">
        <v>1026</v>
      </c>
    </row>
    <row r="346" spans="1:2" ht="13" x14ac:dyDescent="0.15">
      <c r="A346" s="1" t="s">
        <v>1029</v>
      </c>
      <c r="B346" s="1" t="s">
        <v>1029</v>
      </c>
    </row>
    <row r="347" spans="1:2" ht="13" x14ac:dyDescent="0.15">
      <c r="A347" s="1" t="s">
        <v>1032</v>
      </c>
      <c r="B347" s="1" t="s">
        <v>1032</v>
      </c>
    </row>
    <row r="348" spans="1:2" ht="13" x14ac:dyDescent="0.15">
      <c r="A348" s="1" t="s">
        <v>1035</v>
      </c>
      <c r="B348" s="1" t="s">
        <v>1035</v>
      </c>
    </row>
    <row r="349" spans="1:2" ht="13" x14ac:dyDescent="0.15">
      <c r="A349" s="1" t="s">
        <v>1038</v>
      </c>
      <c r="B349" s="1" t="s">
        <v>1038</v>
      </c>
    </row>
    <row r="350" spans="1:2" ht="13" x14ac:dyDescent="0.15">
      <c r="A350" s="1" t="s">
        <v>1041</v>
      </c>
      <c r="B350" s="1" t="s">
        <v>1041</v>
      </c>
    </row>
    <row r="351" spans="1:2" ht="13" x14ac:dyDescent="0.15">
      <c r="A351" s="1" t="s">
        <v>1044</v>
      </c>
      <c r="B351" s="1" t="s">
        <v>1044</v>
      </c>
    </row>
    <row r="352" spans="1:2" ht="13" x14ac:dyDescent="0.15">
      <c r="A352" s="1" t="s">
        <v>1047</v>
      </c>
      <c r="B352" s="1" t="s">
        <v>1047</v>
      </c>
    </row>
    <row r="353" spans="1:2" ht="13" x14ac:dyDescent="0.15">
      <c r="A353" s="1" t="s">
        <v>1050</v>
      </c>
      <c r="B353" s="1" t="s">
        <v>1050</v>
      </c>
    </row>
    <row r="354" spans="1:2" ht="13" x14ac:dyDescent="0.15">
      <c r="A354" s="1" t="s">
        <v>1053</v>
      </c>
      <c r="B354" s="1" t="s">
        <v>1053</v>
      </c>
    </row>
    <row r="355" spans="1:2" ht="13" x14ac:dyDescent="0.15">
      <c r="A355" s="1" t="s">
        <v>1056</v>
      </c>
      <c r="B355" s="1" t="s">
        <v>1056</v>
      </c>
    </row>
    <row r="356" spans="1:2" ht="13" x14ac:dyDescent="0.15">
      <c r="A356" s="1" t="s">
        <v>1059</v>
      </c>
      <c r="B356" s="1" t="s">
        <v>1059</v>
      </c>
    </row>
    <row r="357" spans="1:2" ht="13" x14ac:dyDescent="0.15">
      <c r="A357" s="1" t="s">
        <v>1062</v>
      </c>
      <c r="B357" s="1" t="s">
        <v>1062</v>
      </c>
    </row>
    <row r="358" spans="1:2" ht="13" x14ac:dyDescent="0.15">
      <c r="A358" s="1" t="s">
        <v>1065</v>
      </c>
      <c r="B358" s="1" t="s">
        <v>1065</v>
      </c>
    </row>
    <row r="359" spans="1:2" ht="13" x14ac:dyDescent="0.15">
      <c r="A359" s="1" t="s">
        <v>1068</v>
      </c>
      <c r="B359" s="1" t="s">
        <v>1068</v>
      </c>
    </row>
    <row r="360" spans="1:2" ht="13" x14ac:dyDescent="0.15">
      <c r="A360" s="1" t="s">
        <v>1071</v>
      </c>
      <c r="B360" s="1" t="s">
        <v>1071</v>
      </c>
    </row>
    <row r="361" spans="1:2" ht="13" x14ac:dyDescent="0.15">
      <c r="A361" s="1" t="s">
        <v>1074</v>
      </c>
      <c r="B361" s="1" t="s">
        <v>1074</v>
      </c>
    </row>
    <row r="362" spans="1:2" ht="13" x14ac:dyDescent="0.15">
      <c r="A362" s="1" t="s">
        <v>1077</v>
      </c>
      <c r="B362" s="1" t="s">
        <v>1077</v>
      </c>
    </row>
    <row r="363" spans="1:2" ht="13" x14ac:dyDescent="0.15">
      <c r="A363" s="1" t="s">
        <v>1080</v>
      </c>
      <c r="B363" s="1" t="s">
        <v>1080</v>
      </c>
    </row>
    <row r="364" spans="1:2" ht="13" x14ac:dyDescent="0.15">
      <c r="A364" s="1" t="s">
        <v>1083</v>
      </c>
      <c r="B364" s="1" t="s">
        <v>1083</v>
      </c>
    </row>
    <row r="365" spans="1:2" ht="13" x14ac:dyDescent="0.15">
      <c r="A365" s="1" t="s">
        <v>1086</v>
      </c>
      <c r="B365" s="1" t="s">
        <v>1086</v>
      </c>
    </row>
    <row r="366" spans="1:2" ht="13" x14ac:dyDescent="0.15">
      <c r="A366" s="1" t="s">
        <v>1089</v>
      </c>
      <c r="B366" s="1" t="s">
        <v>1089</v>
      </c>
    </row>
    <row r="367" spans="1:2" ht="13" x14ac:dyDescent="0.15">
      <c r="A367" s="1" t="s">
        <v>1092</v>
      </c>
      <c r="B367" s="1" t="s">
        <v>1092</v>
      </c>
    </row>
    <row r="368" spans="1:2" ht="13" x14ac:dyDescent="0.15">
      <c r="A368" s="1" t="s">
        <v>1095</v>
      </c>
      <c r="B368" s="1" t="s">
        <v>1095</v>
      </c>
    </row>
    <row r="369" spans="1:2" ht="13" x14ac:dyDescent="0.15">
      <c r="A369" s="1" t="s">
        <v>1098</v>
      </c>
      <c r="B369" s="1" t="s">
        <v>1098</v>
      </c>
    </row>
    <row r="370" spans="1:2" ht="13" x14ac:dyDescent="0.15">
      <c r="A370" s="1" t="s">
        <v>1101</v>
      </c>
      <c r="B370" s="1" t="s">
        <v>1101</v>
      </c>
    </row>
    <row r="371" spans="1:2" ht="13" x14ac:dyDescent="0.15">
      <c r="A371" s="1" t="s">
        <v>1104</v>
      </c>
      <c r="B371" s="1" t="s">
        <v>1104</v>
      </c>
    </row>
    <row r="372" spans="1:2" ht="13" x14ac:dyDescent="0.15">
      <c r="A372" s="1" t="s">
        <v>1107</v>
      </c>
      <c r="B372" s="1" t="s">
        <v>1107</v>
      </c>
    </row>
    <row r="373" spans="1:2" ht="13" x14ac:dyDescent="0.15">
      <c r="A373" s="1" t="s">
        <v>1110</v>
      </c>
      <c r="B373" s="1" t="s">
        <v>1110</v>
      </c>
    </row>
    <row r="374" spans="1:2" ht="13" x14ac:dyDescent="0.15">
      <c r="A374" s="1" t="s">
        <v>1113</v>
      </c>
      <c r="B374" s="1" t="s">
        <v>1113</v>
      </c>
    </row>
    <row r="375" spans="1:2" ht="13" x14ac:dyDescent="0.15">
      <c r="A375" s="1" t="s">
        <v>1116</v>
      </c>
      <c r="B375" s="1" t="s">
        <v>1116</v>
      </c>
    </row>
    <row r="376" spans="1:2" ht="13" x14ac:dyDescent="0.15">
      <c r="A376" s="1" t="s">
        <v>1119</v>
      </c>
      <c r="B376" s="1" t="s">
        <v>1119</v>
      </c>
    </row>
    <row r="377" spans="1:2" ht="13" x14ac:dyDescent="0.15">
      <c r="A377" s="1" t="s">
        <v>1122</v>
      </c>
      <c r="B377" s="1" t="s">
        <v>1122</v>
      </c>
    </row>
    <row r="378" spans="1:2" ht="13" x14ac:dyDescent="0.15">
      <c r="A378" s="1" t="s">
        <v>1125</v>
      </c>
      <c r="B378" s="1" t="s">
        <v>1125</v>
      </c>
    </row>
    <row r="379" spans="1:2" ht="13" x14ac:dyDescent="0.15">
      <c r="A379" s="1" t="s">
        <v>1128</v>
      </c>
      <c r="B379" s="1" t="s">
        <v>1128</v>
      </c>
    </row>
    <row r="380" spans="1:2" ht="13" x14ac:dyDescent="0.15">
      <c r="A380" s="1" t="s">
        <v>1131</v>
      </c>
      <c r="B380" s="1" t="s">
        <v>1131</v>
      </c>
    </row>
    <row r="381" spans="1:2" ht="13" x14ac:dyDescent="0.15">
      <c r="A381" s="1" t="s">
        <v>1134</v>
      </c>
      <c r="B381" s="1" t="s">
        <v>1134</v>
      </c>
    </row>
    <row r="382" spans="1:2" ht="13" x14ac:dyDescent="0.15">
      <c r="A382" s="1" t="s">
        <v>1137</v>
      </c>
      <c r="B382" s="1" t="s">
        <v>1137</v>
      </c>
    </row>
    <row r="383" spans="1:2" ht="13" x14ac:dyDescent="0.15">
      <c r="A383" s="1" t="s">
        <v>1140</v>
      </c>
      <c r="B383" s="1" t="s">
        <v>1140</v>
      </c>
    </row>
    <row r="384" spans="1:2" ht="13" x14ac:dyDescent="0.15">
      <c r="A384" s="1" t="s">
        <v>1143</v>
      </c>
      <c r="B384" s="1" t="s">
        <v>1143</v>
      </c>
    </row>
    <row r="385" spans="1:2" ht="13" x14ac:dyDescent="0.15">
      <c r="A385" s="1" t="s">
        <v>1146</v>
      </c>
      <c r="B385" s="1" t="s">
        <v>1146</v>
      </c>
    </row>
    <row r="386" spans="1:2" ht="13" x14ac:dyDescent="0.15">
      <c r="A386" s="1" t="s">
        <v>1149</v>
      </c>
      <c r="B386" s="1" t="s">
        <v>1149</v>
      </c>
    </row>
    <row r="387" spans="1:2" ht="13" x14ac:dyDescent="0.15">
      <c r="A387" s="1" t="s">
        <v>1152</v>
      </c>
      <c r="B387" s="1" t="s">
        <v>1152</v>
      </c>
    </row>
    <row r="388" spans="1:2" ht="13" x14ac:dyDescent="0.15">
      <c r="A388" s="1" t="s">
        <v>1155</v>
      </c>
      <c r="B388" s="1" t="s">
        <v>1155</v>
      </c>
    </row>
    <row r="389" spans="1:2" ht="13" x14ac:dyDescent="0.15">
      <c r="A389" s="1" t="s">
        <v>1158</v>
      </c>
      <c r="B389" s="1" t="s">
        <v>1158</v>
      </c>
    </row>
    <row r="390" spans="1:2" ht="13" x14ac:dyDescent="0.15">
      <c r="A390" s="1" t="s">
        <v>1161</v>
      </c>
      <c r="B390" s="1" t="s">
        <v>1161</v>
      </c>
    </row>
    <row r="391" spans="1:2" ht="13" x14ac:dyDescent="0.15">
      <c r="A391" s="1" t="s">
        <v>1164</v>
      </c>
      <c r="B391" s="1" t="s">
        <v>1164</v>
      </c>
    </row>
    <row r="392" spans="1:2" ht="13" x14ac:dyDescent="0.15">
      <c r="A392" s="1" t="s">
        <v>1167</v>
      </c>
      <c r="B392" s="1" t="s">
        <v>1167</v>
      </c>
    </row>
    <row r="393" spans="1:2" ht="13" x14ac:dyDescent="0.15">
      <c r="A393" s="1" t="s">
        <v>1170</v>
      </c>
      <c r="B393" s="1" t="s">
        <v>1170</v>
      </c>
    </row>
    <row r="394" spans="1:2" ht="13" x14ac:dyDescent="0.15">
      <c r="A394" s="1" t="s">
        <v>1173</v>
      </c>
      <c r="B394" s="1" t="s">
        <v>1173</v>
      </c>
    </row>
    <row r="395" spans="1:2" ht="13" x14ac:dyDescent="0.15">
      <c r="A395" s="1" t="s">
        <v>1176</v>
      </c>
      <c r="B395" s="1" t="s">
        <v>1176</v>
      </c>
    </row>
    <row r="396" spans="1:2" ht="13" x14ac:dyDescent="0.15">
      <c r="A396" s="1" t="s">
        <v>1179</v>
      </c>
      <c r="B396" s="1" t="s">
        <v>1179</v>
      </c>
    </row>
    <row r="397" spans="1:2" ht="13" x14ac:dyDescent="0.15">
      <c r="A397" s="1" t="s">
        <v>1182</v>
      </c>
      <c r="B397" s="1" t="s">
        <v>1182</v>
      </c>
    </row>
    <row r="398" spans="1:2" ht="13" x14ac:dyDescent="0.15">
      <c r="A398" s="1" t="s">
        <v>1185</v>
      </c>
      <c r="B398" s="1" t="s">
        <v>1185</v>
      </c>
    </row>
    <row r="399" spans="1:2" ht="13" x14ac:dyDescent="0.15">
      <c r="A399" s="1" t="s">
        <v>1188</v>
      </c>
      <c r="B399" s="1" t="s">
        <v>1188</v>
      </c>
    </row>
    <row r="400" spans="1:2" ht="13" x14ac:dyDescent="0.15">
      <c r="A400" s="1" t="s">
        <v>1191</v>
      </c>
      <c r="B400" s="1" t="s">
        <v>1191</v>
      </c>
    </row>
    <row r="401" spans="1:2" ht="13" x14ac:dyDescent="0.15">
      <c r="A401" s="1" t="s">
        <v>1194</v>
      </c>
      <c r="B401" s="1" t="s">
        <v>1194</v>
      </c>
    </row>
    <row r="402" spans="1:2" ht="13" x14ac:dyDescent="0.15">
      <c r="A402" s="1" t="s">
        <v>1197</v>
      </c>
      <c r="B402" s="1" t="s">
        <v>1197</v>
      </c>
    </row>
    <row r="403" spans="1:2" ht="13" x14ac:dyDescent="0.15">
      <c r="A403" s="1" t="s">
        <v>1200</v>
      </c>
      <c r="B403" s="1" t="s">
        <v>1200</v>
      </c>
    </row>
    <row r="404" spans="1:2" ht="13" x14ac:dyDescent="0.15">
      <c r="A404" s="1" t="s">
        <v>1203</v>
      </c>
      <c r="B404" s="1" t="s">
        <v>1203</v>
      </c>
    </row>
    <row r="405" spans="1:2" ht="13" x14ac:dyDescent="0.15">
      <c r="A405" s="1" t="s">
        <v>1206</v>
      </c>
      <c r="B405" s="1" t="s">
        <v>1206</v>
      </c>
    </row>
    <row r="406" spans="1:2" ht="13" x14ac:dyDescent="0.15">
      <c r="A406" s="1" t="s">
        <v>1209</v>
      </c>
      <c r="B406" s="1" t="s">
        <v>1209</v>
      </c>
    </row>
    <row r="407" spans="1:2" ht="13" x14ac:dyDescent="0.15">
      <c r="A407" s="1" t="s">
        <v>1212</v>
      </c>
      <c r="B407" s="1" t="s">
        <v>1212</v>
      </c>
    </row>
    <row r="408" spans="1:2" ht="13" x14ac:dyDescent="0.15">
      <c r="A408" s="1" t="s">
        <v>1215</v>
      </c>
      <c r="B408" s="1" t="s">
        <v>1215</v>
      </c>
    </row>
    <row r="409" spans="1:2" ht="13" x14ac:dyDescent="0.15">
      <c r="A409" s="1" t="s">
        <v>1218</v>
      </c>
      <c r="B409" s="1" t="s">
        <v>1218</v>
      </c>
    </row>
    <row r="410" spans="1:2" ht="13" x14ac:dyDescent="0.15">
      <c r="A410" s="1" t="s">
        <v>1221</v>
      </c>
      <c r="B410" s="1" t="s">
        <v>1221</v>
      </c>
    </row>
    <row r="411" spans="1:2" ht="13" x14ac:dyDescent="0.15">
      <c r="A411" s="1" t="s">
        <v>1224</v>
      </c>
      <c r="B411" s="1" t="s">
        <v>1224</v>
      </c>
    </row>
    <row r="412" spans="1:2" ht="13" x14ac:dyDescent="0.15">
      <c r="A412" s="1" t="s">
        <v>1227</v>
      </c>
      <c r="B412" s="1" t="s">
        <v>1227</v>
      </c>
    </row>
    <row r="413" spans="1:2" ht="13" x14ac:dyDescent="0.15">
      <c r="A413" s="1" t="s">
        <v>1230</v>
      </c>
      <c r="B413" s="1" t="s">
        <v>1230</v>
      </c>
    </row>
    <row r="414" spans="1:2" ht="13" x14ac:dyDescent="0.15">
      <c r="A414" s="1" t="s">
        <v>1233</v>
      </c>
      <c r="B414" s="1" t="s">
        <v>1233</v>
      </c>
    </row>
    <row r="415" spans="1:2" ht="13" x14ac:dyDescent="0.15">
      <c r="A415" s="1" t="s">
        <v>1236</v>
      </c>
      <c r="B415" s="1" t="s">
        <v>1236</v>
      </c>
    </row>
    <row r="416" spans="1:2" ht="13" x14ac:dyDescent="0.15">
      <c r="A416" s="1" t="s">
        <v>1239</v>
      </c>
      <c r="B416" s="1" t="s">
        <v>1239</v>
      </c>
    </row>
    <row r="417" spans="1:2" ht="13" x14ac:dyDescent="0.15">
      <c r="A417" s="1" t="s">
        <v>1242</v>
      </c>
      <c r="B417" s="1" t="s">
        <v>1242</v>
      </c>
    </row>
    <row r="418" spans="1:2" ht="13" x14ac:dyDescent="0.15">
      <c r="A418" s="1" t="s">
        <v>1245</v>
      </c>
      <c r="B418" s="1" t="s">
        <v>1245</v>
      </c>
    </row>
    <row r="419" spans="1:2" ht="13" x14ac:dyDescent="0.15">
      <c r="A419" s="1" t="s">
        <v>1248</v>
      </c>
      <c r="B419" s="1" t="s">
        <v>1248</v>
      </c>
    </row>
    <row r="420" spans="1:2" ht="13" x14ac:dyDescent="0.15">
      <c r="A420" s="1" t="s">
        <v>1251</v>
      </c>
      <c r="B420" s="1" t="s">
        <v>1251</v>
      </c>
    </row>
    <row r="421" spans="1:2" ht="13" x14ac:dyDescent="0.15">
      <c r="A421" s="1" t="s">
        <v>1254</v>
      </c>
      <c r="B421" s="1" t="s">
        <v>1254</v>
      </c>
    </row>
    <row r="422" spans="1:2" ht="13" x14ac:dyDescent="0.15">
      <c r="A422" s="1" t="s">
        <v>1257</v>
      </c>
      <c r="B422" s="1" t="s">
        <v>1257</v>
      </c>
    </row>
    <row r="423" spans="1:2" ht="13" x14ac:dyDescent="0.15">
      <c r="A423" s="1" t="s">
        <v>1260</v>
      </c>
      <c r="B423" s="1" t="s">
        <v>1260</v>
      </c>
    </row>
    <row r="424" spans="1:2" ht="13" x14ac:dyDescent="0.15">
      <c r="A424" s="1" t="s">
        <v>1263</v>
      </c>
      <c r="B424" s="1" t="s">
        <v>1263</v>
      </c>
    </row>
    <row r="425" spans="1:2" ht="13" x14ac:dyDescent="0.15">
      <c r="A425" s="1" t="s">
        <v>1266</v>
      </c>
      <c r="B425" s="1" t="s">
        <v>1266</v>
      </c>
    </row>
    <row r="426" spans="1:2" ht="13" x14ac:dyDescent="0.15">
      <c r="A426" s="1" t="s">
        <v>1269</v>
      </c>
      <c r="B426" s="1" t="s">
        <v>1269</v>
      </c>
    </row>
    <row r="427" spans="1:2" ht="13" x14ac:dyDescent="0.15">
      <c r="A427" s="1" t="s">
        <v>1272</v>
      </c>
      <c r="B427" s="1" t="s">
        <v>1272</v>
      </c>
    </row>
    <row r="428" spans="1:2" ht="13" x14ac:dyDescent="0.15">
      <c r="A428" s="1" t="s">
        <v>1275</v>
      </c>
      <c r="B428" s="1" t="s">
        <v>1275</v>
      </c>
    </row>
    <row r="429" spans="1:2" ht="13" x14ac:dyDescent="0.15">
      <c r="A429" s="1" t="s">
        <v>1278</v>
      </c>
      <c r="B429" s="1" t="s">
        <v>1278</v>
      </c>
    </row>
    <row r="430" spans="1:2" ht="13" x14ac:dyDescent="0.15">
      <c r="A430" s="1" t="s">
        <v>1281</v>
      </c>
      <c r="B430" s="1" t="s">
        <v>1281</v>
      </c>
    </row>
    <row r="431" spans="1:2" ht="13" x14ac:dyDescent="0.15">
      <c r="A431" s="1" t="s">
        <v>1284</v>
      </c>
      <c r="B431" s="1" t="s">
        <v>1284</v>
      </c>
    </row>
    <row r="432" spans="1:2" ht="13" x14ac:dyDescent="0.15">
      <c r="A432" s="1" t="s">
        <v>1287</v>
      </c>
      <c r="B432" s="1" t="s">
        <v>1287</v>
      </c>
    </row>
    <row r="433" spans="1:2" ht="13" x14ac:dyDescent="0.15">
      <c r="A433" s="1" t="s">
        <v>1290</v>
      </c>
      <c r="B433" s="1" t="s">
        <v>1290</v>
      </c>
    </row>
    <row r="434" spans="1:2" ht="13" x14ac:dyDescent="0.15">
      <c r="A434" s="1" t="s">
        <v>1293</v>
      </c>
      <c r="B434" s="1" t="s">
        <v>1293</v>
      </c>
    </row>
    <row r="435" spans="1:2" ht="13" x14ac:dyDescent="0.15">
      <c r="A435" s="1" t="s">
        <v>1296</v>
      </c>
      <c r="B435" s="1" t="s">
        <v>1296</v>
      </c>
    </row>
    <row r="436" spans="1:2" ht="13" x14ac:dyDescent="0.15">
      <c r="A436" s="1" t="s">
        <v>1299</v>
      </c>
      <c r="B436" s="1" t="s">
        <v>1299</v>
      </c>
    </row>
    <row r="437" spans="1:2" ht="13" x14ac:dyDescent="0.15">
      <c r="A437" s="1" t="s">
        <v>1302</v>
      </c>
      <c r="B437" s="1" t="s">
        <v>1302</v>
      </c>
    </row>
    <row r="438" spans="1:2" ht="13" x14ac:dyDescent="0.15">
      <c r="A438" s="1" t="s">
        <v>1305</v>
      </c>
      <c r="B438" s="1" t="s">
        <v>1305</v>
      </c>
    </row>
    <row r="439" spans="1:2" ht="13" x14ac:dyDescent="0.15">
      <c r="A439" s="1" t="s">
        <v>1308</v>
      </c>
      <c r="B439" s="1" t="s">
        <v>1308</v>
      </c>
    </row>
    <row r="440" spans="1:2" ht="13" x14ac:dyDescent="0.15">
      <c r="A440" s="1" t="s">
        <v>1311</v>
      </c>
      <c r="B440" s="1" t="s">
        <v>1311</v>
      </c>
    </row>
    <row r="441" spans="1:2" ht="13" x14ac:dyDescent="0.15">
      <c r="A441" s="1" t="s">
        <v>1314</v>
      </c>
      <c r="B441" s="1" t="s">
        <v>1314</v>
      </c>
    </row>
    <row r="442" spans="1:2" ht="13" x14ac:dyDescent="0.15">
      <c r="A442" s="1" t="s">
        <v>1317</v>
      </c>
      <c r="B442" s="1" t="s">
        <v>1317</v>
      </c>
    </row>
    <row r="443" spans="1:2" ht="13" x14ac:dyDescent="0.15">
      <c r="A443" s="1" t="s">
        <v>1320</v>
      </c>
      <c r="B443" s="1" t="s">
        <v>1320</v>
      </c>
    </row>
    <row r="444" spans="1:2" ht="13" x14ac:dyDescent="0.15">
      <c r="A444" s="1" t="s">
        <v>1323</v>
      </c>
      <c r="B444" s="1" t="s">
        <v>1323</v>
      </c>
    </row>
    <row r="445" spans="1:2" ht="13" x14ac:dyDescent="0.15">
      <c r="A445" s="1" t="s">
        <v>1326</v>
      </c>
      <c r="B445" s="1" t="s">
        <v>1326</v>
      </c>
    </row>
    <row r="446" spans="1:2" ht="13" x14ac:dyDescent="0.15">
      <c r="A446" s="1" t="s">
        <v>1329</v>
      </c>
      <c r="B446" s="1" t="s">
        <v>1329</v>
      </c>
    </row>
    <row r="447" spans="1:2" ht="13" x14ac:dyDescent="0.15">
      <c r="A447" s="1" t="s">
        <v>1332</v>
      </c>
      <c r="B447" s="1" t="s">
        <v>1332</v>
      </c>
    </row>
    <row r="448" spans="1:2" ht="13" x14ac:dyDescent="0.15">
      <c r="A448" s="1" t="s">
        <v>1335</v>
      </c>
      <c r="B448" s="1" t="s">
        <v>1335</v>
      </c>
    </row>
    <row r="449" spans="1:2" ht="13" x14ac:dyDescent="0.15">
      <c r="A449" s="1" t="s">
        <v>1338</v>
      </c>
      <c r="B449" s="1" t="s">
        <v>1338</v>
      </c>
    </row>
    <row r="450" spans="1:2" ht="13" x14ac:dyDescent="0.15">
      <c r="A450" s="1" t="s">
        <v>1341</v>
      </c>
      <c r="B450" s="1" t="s">
        <v>1341</v>
      </c>
    </row>
    <row r="451" spans="1:2" ht="13" x14ac:dyDescent="0.15">
      <c r="A451" s="1" t="s">
        <v>1344</v>
      </c>
      <c r="B451" s="1" t="s">
        <v>1344</v>
      </c>
    </row>
    <row r="452" spans="1:2" ht="13" x14ac:dyDescent="0.15">
      <c r="A452" s="1" t="s">
        <v>1347</v>
      </c>
      <c r="B452" s="1" t="s">
        <v>1347</v>
      </c>
    </row>
    <row r="453" spans="1:2" ht="13" x14ac:dyDescent="0.15">
      <c r="A453" s="1" t="s">
        <v>1350</v>
      </c>
      <c r="B453" s="1" t="s">
        <v>1350</v>
      </c>
    </row>
    <row r="454" spans="1:2" ht="13" x14ac:dyDescent="0.15">
      <c r="A454" s="1" t="s">
        <v>1493</v>
      </c>
      <c r="B454" s="1" t="s">
        <v>1493</v>
      </c>
    </row>
    <row r="455" spans="1:2" ht="13" x14ac:dyDescent="0.15">
      <c r="A455" s="1" t="s">
        <v>1353</v>
      </c>
      <c r="B455" s="1" t="s">
        <v>1353</v>
      </c>
    </row>
    <row r="456" spans="1:2" ht="13" x14ac:dyDescent="0.15">
      <c r="A456" s="1" t="s">
        <v>1356</v>
      </c>
      <c r="B456" s="1" t="s">
        <v>1356</v>
      </c>
    </row>
    <row r="457" spans="1:2" ht="13" x14ac:dyDescent="0.15">
      <c r="A457" s="1" t="s">
        <v>1359</v>
      </c>
      <c r="B457" s="1" t="s">
        <v>1359</v>
      </c>
    </row>
    <row r="458" spans="1:2" ht="13" x14ac:dyDescent="0.15">
      <c r="A458" s="1" t="s">
        <v>1362</v>
      </c>
      <c r="B458" s="1" t="s">
        <v>1362</v>
      </c>
    </row>
    <row r="459" spans="1:2" ht="13" x14ac:dyDescent="0.15">
      <c r="A459" s="1" t="s">
        <v>1365</v>
      </c>
      <c r="B459" s="1" t="s">
        <v>1365</v>
      </c>
    </row>
    <row r="460" spans="1:2" ht="13" x14ac:dyDescent="0.15">
      <c r="A460" s="1" t="s">
        <v>1368</v>
      </c>
      <c r="B460" s="1" t="s">
        <v>1368</v>
      </c>
    </row>
    <row r="461" spans="1:2" ht="13" x14ac:dyDescent="0.15">
      <c r="A461" s="1" t="s">
        <v>1371</v>
      </c>
      <c r="B461" s="1" t="s">
        <v>1371</v>
      </c>
    </row>
    <row r="462" spans="1:2" ht="13" x14ac:dyDescent="0.15">
      <c r="A462" s="1" t="s">
        <v>1374</v>
      </c>
      <c r="B462" s="1" t="s">
        <v>1374</v>
      </c>
    </row>
    <row r="463" spans="1:2" ht="13" x14ac:dyDescent="0.15">
      <c r="A463" s="1" t="s">
        <v>1377</v>
      </c>
      <c r="B463" s="1" t="s">
        <v>1377</v>
      </c>
    </row>
    <row r="464" spans="1:2" ht="13" x14ac:dyDescent="0.15">
      <c r="A464" s="1" t="s">
        <v>1380</v>
      </c>
      <c r="B464" s="1" t="s">
        <v>1380</v>
      </c>
    </row>
    <row r="465" spans="1:2" ht="13" x14ac:dyDescent="0.15">
      <c r="A465" s="1" t="s">
        <v>1383</v>
      </c>
      <c r="B465" s="1" t="s">
        <v>1383</v>
      </c>
    </row>
    <row r="466" spans="1:2" ht="13" x14ac:dyDescent="0.15">
      <c r="A466" s="1" t="s">
        <v>1386</v>
      </c>
      <c r="B466" s="1" t="s">
        <v>1386</v>
      </c>
    </row>
    <row r="467" spans="1:2" ht="13" x14ac:dyDescent="0.15">
      <c r="A467" s="1" t="s">
        <v>1389</v>
      </c>
      <c r="B467" s="1" t="s">
        <v>1389</v>
      </c>
    </row>
    <row r="468" spans="1:2" ht="13" x14ac:dyDescent="0.15">
      <c r="A468" s="1" t="s">
        <v>1392</v>
      </c>
      <c r="B468" s="1" t="s">
        <v>1392</v>
      </c>
    </row>
    <row r="469" spans="1:2" ht="13" x14ac:dyDescent="0.15">
      <c r="A469" s="1" t="s">
        <v>1395</v>
      </c>
      <c r="B469" s="1" t="s">
        <v>1395</v>
      </c>
    </row>
    <row r="470" spans="1:2" ht="13" x14ac:dyDescent="0.15">
      <c r="A470" s="1" t="s">
        <v>1494</v>
      </c>
      <c r="B470" s="1" t="s">
        <v>1494</v>
      </c>
    </row>
    <row r="471" spans="1:2" ht="13" x14ac:dyDescent="0.15">
      <c r="B471" s="1"/>
    </row>
    <row r="472" spans="1:2" ht="13" x14ac:dyDescent="0.15">
      <c r="B472" s="1"/>
    </row>
    <row r="473" spans="1:2" ht="13" x14ac:dyDescent="0.15">
      <c r="B473" s="1"/>
    </row>
    <row r="474" spans="1:2" ht="13" x14ac:dyDescent="0.15">
      <c r="B474" s="1"/>
    </row>
    <row r="475" spans="1:2" ht="13" x14ac:dyDescent="0.15">
      <c r="B475" s="1"/>
    </row>
    <row r="476" spans="1:2" ht="13" x14ac:dyDescent="0.15">
      <c r="B476" s="1"/>
    </row>
    <row r="477" spans="1:2" ht="13" x14ac:dyDescent="0.15">
      <c r="B477" s="1"/>
    </row>
    <row r="478" spans="1:2" ht="13" x14ac:dyDescent="0.15">
      <c r="B478" s="1"/>
    </row>
    <row r="479" spans="1:2" ht="13" x14ac:dyDescent="0.15">
      <c r="B479" s="1"/>
    </row>
    <row r="480" spans="1:2" ht="13" x14ac:dyDescent="0.15">
      <c r="B480" s="1"/>
    </row>
    <row r="481" spans="2:2" ht="13" x14ac:dyDescent="0.15">
      <c r="B481" s="1"/>
    </row>
    <row r="482" spans="2:2" ht="13" x14ac:dyDescent="0.15">
      <c r="B482" s="1"/>
    </row>
    <row r="483" spans="2:2" ht="13" x14ac:dyDescent="0.15">
      <c r="B483" s="1"/>
    </row>
    <row r="484" spans="2:2" ht="13" x14ac:dyDescent="0.15">
      <c r="B484" s="1"/>
    </row>
    <row r="485" spans="2:2" ht="13" x14ac:dyDescent="0.15">
      <c r="B485" s="1"/>
    </row>
    <row r="486" spans="2:2" ht="13" x14ac:dyDescent="0.15">
      <c r="B486" s="1"/>
    </row>
    <row r="487" spans="2:2" ht="13" x14ac:dyDescent="0.15">
      <c r="B487" s="1"/>
    </row>
    <row r="488" spans="2:2" ht="13" x14ac:dyDescent="0.15">
      <c r="B488" s="1"/>
    </row>
    <row r="489" spans="2:2" ht="13" x14ac:dyDescent="0.15">
      <c r="B489" s="1"/>
    </row>
    <row r="490" spans="2:2" ht="13" x14ac:dyDescent="0.15">
      <c r="B490" s="1"/>
    </row>
    <row r="491" spans="2:2" ht="13" x14ac:dyDescent="0.15">
      <c r="B491" s="1"/>
    </row>
    <row r="492" spans="2:2" ht="13" x14ac:dyDescent="0.15">
      <c r="B492" s="1"/>
    </row>
    <row r="493" spans="2:2" ht="13" x14ac:dyDescent="0.15">
      <c r="B493" s="1"/>
    </row>
    <row r="494" spans="2:2" ht="13" x14ac:dyDescent="0.15">
      <c r="B494" s="1"/>
    </row>
    <row r="495" spans="2:2" ht="13" x14ac:dyDescent="0.15">
      <c r="B495" s="1"/>
    </row>
    <row r="496" spans="2:2" ht="13" x14ac:dyDescent="0.15">
      <c r="B496" s="1"/>
    </row>
    <row r="497" spans="2:2" ht="13" x14ac:dyDescent="0.15">
      <c r="B497" s="1"/>
    </row>
    <row r="498" spans="2:2" ht="13" x14ac:dyDescent="0.15">
      <c r="B498" s="1"/>
    </row>
    <row r="499" spans="2:2" ht="13" x14ac:dyDescent="0.15">
      <c r="B499" s="1"/>
    </row>
    <row r="500" spans="2:2" ht="13" x14ac:dyDescent="0.15">
      <c r="B500" s="1"/>
    </row>
    <row r="501" spans="2:2" ht="13" x14ac:dyDescent="0.15">
      <c r="B501" s="1"/>
    </row>
    <row r="502" spans="2:2" ht="13" x14ac:dyDescent="0.15">
      <c r="B502" s="1"/>
    </row>
    <row r="503" spans="2:2" ht="13" x14ac:dyDescent="0.15">
      <c r="B503" s="1"/>
    </row>
    <row r="504" spans="2:2" ht="13" x14ac:dyDescent="0.15">
      <c r="B504" s="1"/>
    </row>
    <row r="505" spans="2:2" ht="13" x14ac:dyDescent="0.15">
      <c r="B505" s="1"/>
    </row>
    <row r="506" spans="2:2" ht="13" x14ac:dyDescent="0.15">
      <c r="B506" s="1"/>
    </row>
    <row r="507" spans="2:2" ht="13" x14ac:dyDescent="0.15">
      <c r="B507" s="1"/>
    </row>
    <row r="508" spans="2:2" ht="13" x14ac:dyDescent="0.15">
      <c r="B508" s="1"/>
    </row>
    <row r="509" spans="2:2" ht="13" x14ac:dyDescent="0.15">
      <c r="B509" s="1"/>
    </row>
    <row r="510" spans="2:2" ht="13" x14ac:dyDescent="0.15">
      <c r="B510" s="1"/>
    </row>
    <row r="511" spans="2:2" ht="13" x14ac:dyDescent="0.15">
      <c r="B511" s="1"/>
    </row>
    <row r="512" spans="2:2" ht="13" x14ac:dyDescent="0.15">
      <c r="B512" s="1"/>
    </row>
    <row r="513" spans="2:2" ht="13" x14ac:dyDescent="0.15">
      <c r="B513" s="1"/>
    </row>
    <row r="514" spans="2:2" ht="13" x14ac:dyDescent="0.15">
      <c r="B514" s="1"/>
    </row>
    <row r="515" spans="2:2" ht="13" x14ac:dyDescent="0.15">
      <c r="B515" s="1"/>
    </row>
    <row r="516" spans="2:2" ht="13" x14ac:dyDescent="0.15">
      <c r="B516" s="1"/>
    </row>
    <row r="517" spans="2:2" ht="13" x14ac:dyDescent="0.15">
      <c r="B517" s="1"/>
    </row>
    <row r="518" spans="2:2" ht="13" x14ac:dyDescent="0.15">
      <c r="B518" s="1"/>
    </row>
    <row r="519" spans="2:2" ht="13" x14ac:dyDescent="0.15">
      <c r="B519" s="1"/>
    </row>
    <row r="520" spans="2:2" ht="13" x14ac:dyDescent="0.15">
      <c r="B520" s="1"/>
    </row>
    <row r="521" spans="2:2" ht="13" x14ac:dyDescent="0.15">
      <c r="B521" s="1" t="s">
        <v>1353</v>
      </c>
    </row>
    <row r="522" spans="2:2" ht="13" x14ac:dyDescent="0.15">
      <c r="B522" s="1" t="s">
        <v>1356</v>
      </c>
    </row>
    <row r="523" spans="2:2" ht="13" x14ac:dyDescent="0.15">
      <c r="B523" s="1" t="s">
        <v>1359</v>
      </c>
    </row>
    <row r="524" spans="2:2" ht="13" x14ac:dyDescent="0.15">
      <c r="B524" s="1" t="s">
        <v>1362</v>
      </c>
    </row>
    <row r="525" spans="2:2" ht="13" x14ac:dyDescent="0.15">
      <c r="B525" s="1" t="s">
        <v>1365</v>
      </c>
    </row>
    <row r="526" spans="2:2" ht="13" x14ac:dyDescent="0.15">
      <c r="B526" s="43" t="s">
        <v>1495</v>
      </c>
    </row>
    <row r="527" spans="2:2" ht="13" x14ac:dyDescent="0.15">
      <c r="B527" s="1" t="s">
        <v>1368</v>
      </c>
    </row>
    <row r="528" spans="2:2" ht="13" x14ac:dyDescent="0.15">
      <c r="B528" s="1" t="s">
        <v>1371</v>
      </c>
    </row>
    <row r="529" spans="2:2" ht="13" x14ac:dyDescent="0.15">
      <c r="B529" s="1" t="s">
        <v>1374</v>
      </c>
    </row>
    <row r="530" spans="2:2" ht="13" x14ac:dyDescent="0.15">
      <c r="B530" s="1" t="s">
        <v>1377</v>
      </c>
    </row>
    <row r="531" spans="2:2" ht="13" x14ac:dyDescent="0.15">
      <c r="B531" s="1" t="s">
        <v>1380</v>
      </c>
    </row>
    <row r="532" spans="2:2" ht="13" x14ac:dyDescent="0.15">
      <c r="B532" s="1" t="s">
        <v>1383</v>
      </c>
    </row>
    <row r="533" spans="2:2" ht="13" x14ac:dyDescent="0.15">
      <c r="B533" s="1" t="s">
        <v>1386</v>
      </c>
    </row>
    <row r="534" spans="2:2" ht="13" x14ac:dyDescent="0.15">
      <c r="B534" s="1" t="s">
        <v>1389</v>
      </c>
    </row>
    <row r="535" spans="2:2" ht="13" x14ac:dyDescent="0.15">
      <c r="B535" s="1" t="s">
        <v>1392</v>
      </c>
    </row>
    <row r="536" spans="2:2" ht="13" x14ac:dyDescent="0.15">
      <c r="B536" s="1" t="s">
        <v>1395</v>
      </c>
    </row>
    <row r="537" spans="2:2" ht="13" x14ac:dyDescent="0.15">
      <c r="B537" s="1" t="s">
        <v>1494</v>
      </c>
    </row>
    <row r="538" spans="2:2" ht="13" x14ac:dyDescent="0.15">
      <c r="B538" s="1" t="s">
        <v>1494</v>
      </c>
    </row>
    <row r="539" spans="2:2" ht="13" x14ac:dyDescent="0.15">
      <c r="B539" s="1" t="s">
        <v>1494</v>
      </c>
    </row>
    <row r="540" spans="2:2" ht="13" x14ac:dyDescent="0.15">
      <c r="B540" s="1" t="s">
        <v>1494</v>
      </c>
    </row>
    <row r="541" spans="2:2" ht="13" x14ac:dyDescent="0.15">
      <c r="B541" s="1" t="s">
        <v>1494</v>
      </c>
    </row>
    <row r="542" spans="2:2" ht="13" x14ac:dyDescent="0.15">
      <c r="B542" s="1" t="s">
        <v>1494</v>
      </c>
    </row>
    <row r="543" spans="2:2" ht="13" x14ac:dyDescent="0.15">
      <c r="B543" s="1" t="s">
        <v>1494</v>
      </c>
    </row>
    <row r="544" spans="2:2" ht="13" x14ac:dyDescent="0.15">
      <c r="B544" s="1" t="s">
        <v>1494</v>
      </c>
    </row>
    <row r="545" spans="2:2" ht="13" x14ac:dyDescent="0.15">
      <c r="B545" s="1" t="s">
        <v>1494</v>
      </c>
    </row>
    <row r="546" spans="2:2" ht="13" x14ac:dyDescent="0.15">
      <c r="B546" s="1" t="s">
        <v>1494</v>
      </c>
    </row>
    <row r="547" spans="2:2" ht="13" x14ac:dyDescent="0.15">
      <c r="B547" s="1" t="s">
        <v>1494</v>
      </c>
    </row>
    <row r="548" spans="2:2" ht="13" x14ac:dyDescent="0.15">
      <c r="B548" s="1" t="s">
        <v>1494</v>
      </c>
    </row>
    <row r="549" spans="2:2" ht="13" x14ac:dyDescent="0.15">
      <c r="B549" s="1" t="s">
        <v>1494</v>
      </c>
    </row>
    <row r="550" spans="2:2" ht="13" x14ac:dyDescent="0.15">
      <c r="B550" s="1" t="s">
        <v>1494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M892"/>
  <sheetViews>
    <sheetView workbookViewId="0">
      <pane xSplit="6" ySplit="1" topLeftCell="G527" activePane="bottomRight" state="frozen"/>
      <selection pane="topRight" activeCell="G1" sqref="G1"/>
      <selection pane="bottomLeft" activeCell="A2" sqref="A2"/>
      <selection pane="bottomRight" activeCell="G2" sqref="G2"/>
    </sheetView>
  </sheetViews>
  <sheetFormatPr baseColWidth="10" defaultColWidth="12.6640625" defaultRowHeight="15.75" customHeight="1" x14ac:dyDescent="0.15"/>
  <cols>
    <col min="1" max="1" width="17.5" customWidth="1"/>
    <col min="2" max="2" width="14.83203125" customWidth="1"/>
    <col min="3" max="3" width="19.6640625" customWidth="1"/>
    <col min="4" max="4" width="18.6640625" customWidth="1"/>
    <col min="5" max="6" width="3.6640625" customWidth="1"/>
    <col min="7" max="7" width="14.1640625" customWidth="1"/>
    <col min="8" max="8" width="11.6640625" customWidth="1"/>
    <col min="9" max="9" width="14.1640625" customWidth="1"/>
    <col min="10" max="10" width="11.1640625" customWidth="1"/>
    <col min="11" max="11" width="11.83203125" customWidth="1"/>
    <col min="12" max="12" width="8.33203125" customWidth="1"/>
    <col min="13" max="13" width="9.33203125" customWidth="1"/>
    <col min="14" max="14" width="10.33203125" customWidth="1"/>
    <col min="15" max="15" width="14.6640625" customWidth="1"/>
    <col min="16" max="16" width="15.6640625" customWidth="1"/>
    <col min="17" max="17" width="14.1640625" customWidth="1"/>
    <col min="18" max="18" width="10.5" customWidth="1"/>
    <col min="19" max="19" width="14.1640625" customWidth="1"/>
    <col min="22" max="22" width="25.33203125" customWidth="1"/>
    <col min="23" max="23" width="13.33203125" customWidth="1"/>
    <col min="25" max="25" width="17.6640625" customWidth="1"/>
  </cols>
  <sheetData>
    <row r="1" spans="1:26" ht="15.75" customHeight="1" x14ac:dyDescent="0.15">
      <c r="A1" s="1" t="s">
        <v>0</v>
      </c>
      <c r="B1" s="1" t="s">
        <v>1</v>
      </c>
      <c r="C1" s="1" t="s">
        <v>2</v>
      </c>
      <c r="D1" s="1" t="s">
        <v>3</v>
      </c>
      <c r="E1" s="1" t="s">
        <v>1431</v>
      </c>
      <c r="F1" s="1" t="s">
        <v>1440</v>
      </c>
      <c r="G1" s="1" t="s">
        <v>1470</v>
      </c>
      <c r="H1" s="1" t="s">
        <v>1496</v>
      </c>
      <c r="I1" s="1" t="s">
        <v>1471</v>
      </c>
      <c r="J1" s="1" t="s">
        <v>1472</v>
      </c>
      <c r="K1" s="1" t="s">
        <v>1497</v>
      </c>
      <c r="L1" s="1" t="s">
        <v>1473</v>
      </c>
      <c r="M1" s="1" t="s">
        <v>1474</v>
      </c>
      <c r="N1" s="1" t="s">
        <v>1475</v>
      </c>
      <c r="O1" s="1" t="s">
        <v>1476</v>
      </c>
      <c r="P1" s="1" t="s">
        <v>1477</v>
      </c>
      <c r="Q1" s="1" t="s">
        <v>1478</v>
      </c>
      <c r="R1" s="1" t="s">
        <v>1433</v>
      </c>
      <c r="S1" s="1" t="s">
        <v>1469</v>
      </c>
      <c r="T1" s="1" t="s">
        <v>1437</v>
      </c>
      <c r="U1" s="1" t="s">
        <v>1498</v>
      </c>
      <c r="V1" s="49" t="s">
        <v>1499</v>
      </c>
      <c r="W1" s="49" t="s">
        <v>1500</v>
      </c>
      <c r="X1" s="2" t="s">
        <v>1501</v>
      </c>
      <c r="Y1" s="2" t="s">
        <v>1502</v>
      </c>
      <c r="Z1" s="2" t="s">
        <v>1503</v>
      </c>
    </row>
    <row r="2" spans="1:26" ht="15" x14ac:dyDescent="0.2">
      <c r="A2" s="47" t="s">
        <v>11</v>
      </c>
      <c r="B2" s="1" t="s">
        <v>12</v>
      </c>
      <c r="C2" s="4" t="s">
        <v>13</v>
      </c>
      <c r="D2" s="1" t="s">
        <v>14</v>
      </c>
      <c r="E2" s="1"/>
      <c r="F2" s="1" t="s">
        <v>1504</v>
      </c>
      <c r="G2" s="1"/>
      <c r="H2" s="1"/>
      <c r="I2" s="1"/>
      <c r="J2" s="1"/>
      <c r="K2" s="1"/>
      <c r="L2" s="1"/>
      <c r="M2" s="1"/>
      <c r="N2" s="1"/>
      <c r="O2" s="1"/>
      <c r="P2" s="1"/>
      <c r="Q2" s="1"/>
      <c r="R2" s="5">
        <v>1</v>
      </c>
      <c r="S2" s="1"/>
      <c r="T2" s="1" t="s">
        <v>1505</v>
      </c>
      <c r="U2" s="1" t="s">
        <v>1506</v>
      </c>
      <c r="V2" s="49">
        <v>224</v>
      </c>
      <c r="W2" s="49">
        <v>0</v>
      </c>
      <c r="X2" s="2">
        <v>38</v>
      </c>
    </row>
    <row r="3" spans="1:26" ht="15" x14ac:dyDescent="0.2">
      <c r="A3" s="47" t="s">
        <v>15</v>
      </c>
      <c r="B3" s="1" t="s">
        <v>16</v>
      </c>
      <c r="C3" s="4" t="s">
        <v>17</v>
      </c>
      <c r="D3" s="1" t="s">
        <v>14</v>
      </c>
      <c r="E3" s="1"/>
      <c r="F3" s="1" t="s">
        <v>1507</v>
      </c>
      <c r="G3" s="1"/>
      <c r="H3" s="1"/>
      <c r="I3" s="1"/>
      <c r="J3" s="1"/>
      <c r="K3" s="1"/>
      <c r="L3" s="1"/>
      <c r="M3" s="1"/>
      <c r="N3" s="1"/>
      <c r="O3" s="1"/>
      <c r="P3" s="1"/>
      <c r="Q3" s="1"/>
      <c r="R3" s="5">
        <v>1</v>
      </c>
      <c r="S3" s="1"/>
      <c r="T3" s="1" t="s">
        <v>1505</v>
      </c>
      <c r="U3" s="1" t="s">
        <v>1506</v>
      </c>
      <c r="V3" s="49">
        <v>313</v>
      </c>
      <c r="W3" s="49">
        <v>1</v>
      </c>
      <c r="X3" s="2">
        <v>64</v>
      </c>
    </row>
    <row r="4" spans="1:26" ht="15" x14ac:dyDescent="0.2">
      <c r="A4" s="47" t="s">
        <v>18</v>
      </c>
      <c r="B4" s="1" t="s">
        <v>19</v>
      </c>
      <c r="C4" s="4" t="s">
        <v>20</v>
      </c>
      <c r="D4" s="1" t="s">
        <v>14</v>
      </c>
      <c r="E4" s="1"/>
      <c r="F4" s="1" t="s">
        <v>1504</v>
      </c>
      <c r="G4" s="1"/>
      <c r="H4" s="1"/>
      <c r="I4" s="1"/>
      <c r="J4" s="1"/>
      <c r="K4" s="1"/>
      <c r="L4" s="1"/>
      <c r="M4" s="1"/>
      <c r="N4" s="1"/>
      <c r="O4" s="1"/>
      <c r="P4" s="1"/>
      <c r="Q4" s="1"/>
      <c r="R4" s="5">
        <v>0</v>
      </c>
      <c r="S4" s="1"/>
      <c r="T4" s="1" t="s">
        <v>1505</v>
      </c>
      <c r="U4" s="1" t="s">
        <v>1506</v>
      </c>
      <c r="V4" s="49">
        <v>241</v>
      </c>
      <c r="W4" s="49">
        <v>1</v>
      </c>
      <c r="X4" s="2">
        <v>54</v>
      </c>
    </row>
    <row r="5" spans="1:26" ht="15" x14ac:dyDescent="0.2">
      <c r="A5" s="47" t="s">
        <v>21</v>
      </c>
      <c r="B5" s="1" t="s">
        <v>22</v>
      </c>
      <c r="C5" s="4" t="s">
        <v>23</v>
      </c>
      <c r="D5" s="1" t="s">
        <v>14</v>
      </c>
      <c r="E5" s="1"/>
      <c r="F5" s="1" t="s">
        <v>1504</v>
      </c>
      <c r="G5" s="1"/>
      <c r="H5" s="1"/>
      <c r="I5" s="1"/>
      <c r="J5" s="1"/>
      <c r="K5" s="1"/>
      <c r="L5" s="1"/>
      <c r="M5" s="1"/>
      <c r="N5" s="1"/>
      <c r="O5" s="1"/>
      <c r="P5" s="1"/>
      <c r="Q5" s="1"/>
      <c r="R5" s="5">
        <v>1</v>
      </c>
      <c r="S5" s="1"/>
      <c r="T5" s="1" t="s">
        <v>1505</v>
      </c>
      <c r="U5" s="1" t="s">
        <v>1508</v>
      </c>
      <c r="V5" s="49">
        <v>1650</v>
      </c>
      <c r="W5" s="49">
        <v>0</v>
      </c>
      <c r="X5" s="2">
        <v>49</v>
      </c>
    </row>
    <row r="6" spans="1:26" ht="15" x14ac:dyDescent="0.2">
      <c r="A6" s="47" t="s">
        <v>24</v>
      </c>
      <c r="B6" s="1" t="s">
        <v>25</v>
      </c>
      <c r="C6" s="4" t="s">
        <v>26</v>
      </c>
      <c r="D6" s="1" t="s">
        <v>14</v>
      </c>
      <c r="E6" s="1"/>
      <c r="F6" s="1" t="s">
        <v>1507</v>
      </c>
      <c r="G6" s="1"/>
      <c r="H6" s="1"/>
      <c r="I6" s="1"/>
      <c r="J6" s="1"/>
      <c r="K6" s="1"/>
      <c r="L6" s="1"/>
      <c r="M6" s="1"/>
      <c r="N6" s="1"/>
      <c r="O6" s="1"/>
      <c r="P6" s="1"/>
      <c r="Q6" s="1"/>
      <c r="R6" s="5">
        <v>1</v>
      </c>
      <c r="S6" s="1"/>
      <c r="T6" s="1" t="s">
        <v>1509</v>
      </c>
      <c r="U6" s="1" t="s">
        <v>1506</v>
      </c>
      <c r="V6" s="49">
        <v>1611</v>
      </c>
      <c r="W6" s="49">
        <v>0</v>
      </c>
      <c r="X6" s="2">
        <v>37</v>
      </c>
    </row>
    <row r="7" spans="1:26" ht="15" x14ac:dyDescent="0.2">
      <c r="A7" s="47" t="s">
        <v>27</v>
      </c>
      <c r="B7" s="1" t="s">
        <v>28</v>
      </c>
      <c r="C7" s="4" t="s">
        <v>29</v>
      </c>
      <c r="D7" s="1" t="s">
        <v>14</v>
      </c>
      <c r="E7" s="1"/>
      <c r="F7" s="1" t="s">
        <v>1507</v>
      </c>
      <c r="G7" s="1"/>
      <c r="H7" s="1"/>
      <c r="I7" s="1"/>
      <c r="J7" s="1"/>
      <c r="K7" s="1"/>
      <c r="L7" s="1"/>
      <c r="M7" s="1"/>
      <c r="N7" s="1"/>
      <c r="O7" s="1"/>
      <c r="P7" s="1"/>
      <c r="Q7" s="1"/>
      <c r="R7" s="5">
        <v>1</v>
      </c>
      <c r="S7" s="1"/>
      <c r="T7" s="1" t="s">
        <v>1509</v>
      </c>
      <c r="U7" s="1" t="s">
        <v>1506</v>
      </c>
      <c r="V7" s="49">
        <v>1797</v>
      </c>
      <c r="W7" s="49">
        <v>0</v>
      </c>
      <c r="X7" s="2">
        <v>60</v>
      </c>
    </row>
    <row r="8" spans="1:26" ht="15" x14ac:dyDescent="0.2">
      <c r="A8" s="47" t="s">
        <v>30</v>
      </c>
      <c r="B8" s="1" t="s">
        <v>31</v>
      </c>
      <c r="C8" s="4" t="s">
        <v>32</v>
      </c>
      <c r="D8" s="1" t="s">
        <v>14</v>
      </c>
      <c r="E8" s="1"/>
      <c r="F8" s="1" t="s">
        <v>1507</v>
      </c>
      <c r="G8" s="1"/>
      <c r="H8" s="1"/>
      <c r="I8" s="1"/>
      <c r="J8" s="1"/>
      <c r="K8" s="1"/>
      <c r="L8" s="1"/>
      <c r="M8" s="1"/>
      <c r="N8" s="1"/>
      <c r="O8" s="1"/>
      <c r="P8" s="1"/>
      <c r="Q8" s="1"/>
      <c r="R8" s="5">
        <v>0</v>
      </c>
      <c r="S8" s="1"/>
      <c r="T8" s="1" t="s">
        <v>1509</v>
      </c>
      <c r="U8" s="1" t="s">
        <v>1506</v>
      </c>
      <c r="V8" s="49">
        <v>567</v>
      </c>
      <c r="W8" s="49">
        <v>1</v>
      </c>
      <c r="X8" s="2">
        <v>52</v>
      </c>
    </row>
    <row r="9" spans="1:26" ht="15" x14ac:dyDescent="0.2">
      <c r="A9" s="47" t="s">
        <v>33</v>
      </c>
      <c r="B9" s="1" t="s">
        <v>34</v>
      </c>
      <c r="C9" s="4" t="s">
        <v>35</v>
      </c>
      <c r="D9" s="1" t="s">
        <v>14</v>
      </c>
      <c r="E9" s="1"/>
      <c r="F9" s="1" t="s">
        <v>1507</v>
      </c>
      <c r="G9" s="1"/>
      <c r="H9" s="1"/>
      <c r="I9" s="1"/>
      <c r="J9" s="1"/>
      <c r="K9" s="1"/>
      <c r="L9" s="1"/>
      <c r="M9" s="1"/>
      <c r="N9" s="1"/>
      <c r="O9" s="1"/>
      <c r="P9" s="1"/>
      <c r="Q9" s="1"/>
      <c r="R9" s="5">
        <v>1</v>
      </c>
      <c r="S9" s="1"/>
      <c r="T9" s="1" t="s">
        <v>1509</v>
      </c>
      <c r="U9" s="1" t="s">
        <v>1506</v>
      </c>
      <c r="V9" s="49">
        <v>1328</v>
      </c>
      <c r="W9" s="49">
        <v>0</v>
      </c>
      <c r="X9" s="2">
        <v>69</v>
      </c>
    </row>
    <row r="10" spans="1:26" ht="15" x14ac:dyDescent="0.2">
      <c r="A10" s="47" t="s">
        <v>36</v>
      </c>
      <c r="B10" s="1" t="s">
        <v>37</v>
      </c>
      <c r="C10" s="4" t="s">
        <v>38</v>
      </c>
      <c r="D10" s="1" t="s">
        <v>14</v>
      </c>
      <c r="E10" s="1"/>
      <c r="F10" s="1" t="s">
        <v>1507</v>
      </c>
      <c r="G10" s="1"/>
      <c r="H10" s="1"/>
      <c r="I10" s="1"/>
      <c r="J10" s="1"/>
      <c r="K10" s="1"/>
      <c r="L10" s="1"/>
      <c r="M10" s="1"/>
      <c r="N10" s="1"/>
      <c r="O10" s="1"/>
      <c r="P10" s="1"/>
      <c r="Q10" s="1"/>
      <c r="R10" s="5">
        <v>1</v>
      </c>
      <c r="S10" s="1"/>
      <c r="T10" s="1" t="s">
        <v>1505</v>
      </c>
      <c r="U10" s="1" t="s">
        <v>1508</v>
      </c>
      <c r="V10" s="49">
        <v>1907</v>
      </c>
      <c r="W10" s="49">
        <v>0</v>
      </c>
      <c r="X10" s="2">
        <v>46</v>
      </c>
    </row>
    <row r="11" spans="1:26" ht="15" x14ac:dyDescent="0.2">
      <c r="A11" s="47" t="s">
        <v>39</v>
      </c>
      <c r="B11" s="1" t="s">
        <v>40</v>
      </c>
      <c r="C11" s="4" t="s">
        <v>41</v>
      </c>
      <c r="D11" s="1" t="s">
        <v>14</v>
      </c>
      <c r="E11" s="1"/>
      <c r="F11" s="1" t="s">
        <v>1507</v>
      </c>
      <c r="G11" s="1"/>
      <c r="H11" s="1"/>
      <c r="I11" s="1"/>
      <c r="J11" s="1"/>
      <c r="K11" s="1"/>
      <c r="L11" s="1"/>
      <c r="M11" s="1"/>
      <c r="N11" s="1"/>
      <c r="O11" s="1"/>
      <c r="P11" s="1"/>
      <c r="Q11" s="1"/>
      <c r="R11" s="5">
        <v>1</v>
      </c>
      <c r="S11" s="1"/>
      <c r="T11" s="1" t="s">
        <v>1509</v>
      </c>
      <c r="U11" s="1" t="s">
        <v>1506</v>
      </c>
      <c r="V11" s="49">
        <v>351</v>
      </c>
      <c r="W11" s="49">
        <v>1</v>
      </c>
      <c r="X11" s="2">
        <v>51</v>
      </c>
    </row>
    <row r="12" spans="1:26" ht="15" x14ac:dyDescent="0.2">
      <c r="A12" s="47" t="s">
        <v>42</v>
      </c>
      <c r="B12" s="1" t="s">
        <v>43</v>
      </c>
      <c r="C12" s="4" t="s">
        <v>44</v>
      </c>
      <c r="D12" s="1" t="s">
        <v>14</v>
      </c>
      <c r="E12" s="1"/>
      <c r="F12" s="1" t="s">
        <v>1507</v>
      </c>
      <c r="G12" s="1"/>
      <c r="H12" s="1"/>
      <c r="I12" s="1"/>
      <c r="J12" s="1"/>
      <c r="K12" s="1"/>
      <c r="L12" s="1"/>
      <c r="M12" s="1"/>
      <c r="N12" s="1"/>
      <c r="O12" s="1"/>
      <c r="P12" s="1"/>
      <c r="Q12" s="1"/>
      <c r="R12" s="5">
        <v>0</v>
      </c>
      <c r="S12" s="1"/>
      <c r="T12" s="1" t="s">
        <v>1505</v>
      </c>
      <c r="U12" s="1" t="s">
        <v>1506</v>
      </c>
      <c r="V12" s="49">
        <v>298</v>
      </c>
      <c r="W12" s="49">
        <v>1</v>
      </c>
      <c r="X12" s="2">
        <v>54</v>
      </c>
    </row>
    <row r="13" spans="1:26" ht="15" x14ac:dyDescent="0.2">
      <c r="A13" s="47" t="s">
        <v>45</v>
      </c>
      <c r="B13" s="1" t="s">
        <v>46</v>
      </c>
      <c r="C13" s="4" t="s">
        <v>47</v>
      </c>
      <c r="D13" s="1" t="s">
        <v>14</v>
      </c>
      <c r="E13" s="1"/>
      <c r="F13" s="1" t="s">
        <v>1504</v>
      </c>
      <c r="G13" s="1"/>
      <c r="H13" s="1"/>
      <c r="I13" s="1"/>
      <c r="J13" s="1"/>
      <c r="K13" s="1"/>
      <c r="L13" s="1"/>
      <c r="M13" s="1"/>
      <c r="N13" s="1"/>
      <c r="O13" s="1"/>
      <c r="P13" s="1"/>
      <c r="Q13" s="1"/>
      <c r="R13" s="5">
        <v>0</v>
      </c>
      <c r="S13" s="1"/>
      <c r="T13" s="1" t="s">
        <v>1509</v>
      </c>
      <c r="U13" s="1" t="s">
        <v>1506</v>
      </c>
      <c r="V13" s="49">
        <v>232</v>
      </c>
      <c r="W13" s="49">
        <v>0</v>
      </c>
      <c r="X13" s="2">
        <v>77</v>
      </c>
    </row>
    <row r="14" spans="1:26" ht="15" x14ac:dyDescent="0.2">
      <c r="A14" s="47" t="s">
        <v>48</v>
      </c>
      <c r="B14" s="1" t="s">
        <v>49</v>
      </c>
      <c r="C14" s="4" t="s">
        <v>50</v>
      </c>
      <c r="D14" s="1" t="s">
        <v>14</v>
      </c>
      <c r="E14" s="1"/>
      <c r="F14" s="1" t="s">
        <v>1507</v>
      </c>
      <c r="G14" s="1"/>
      <c r="H14" s="1"/>
      <c r="I14" s="1"/>
      <c r="J14" s="1"/>
      <c r="K14" s="1"/>
      <c r="L14" s="1"/>
      <c r="M14" s="1"/>
      <c r="N14" s="1"/>
      <c r="O14" s="1"/>
      <c r="P14" s="1"/>
      <c r="Q14" s="1"/>
      <c r="R14" s="5">
        <v>0</v>
      </c>
      <c r="S14" s="1"/>
      <c r="T14" s="1" t="s">
        <v>1509</v>
      </c>
      <c r="U14" s="1" t="s">
        <v>1506</v>
      </c>
      <c r="V14" s="49">
        <v>575</v>
      </c>
      <c r="W14" s="49">
        <v>0</v>
      </c>
      <c r="X14" s="2">
        <v>64</v>
      </c>
    </row>
    <row r="15" spans="1:26" ht="15" x14ac:dyDescent="0.2">
      <c r="A15" s="47" t="s">
        <v>51</v>
      </c>
      <c r="B15" s="1" t="s">
        <v>52</v>
      </c>
      <c r="C15" s="4" t="s">
        <v>53</v>
      </c>
      <c r="D15" s="1" t="s">
        <v>14</v>
      </c>
      <c r="E15" s="1"/>
      <c r="F15" s="1" t="s">
        <v>1504</v>
      </c>
      <c r="G15" s="1"/>
      <c r="H15" s="1"/>
      <c r="I15" s="1"/>
      <c r="J15" s="1"/>
      <c r="K15" s="1"/>
      <c r="L15" s="1"/>
      <c r="M15" s="1"/>
      <c r="N15" s="1"/>
      <c r="O15" s="1"/>
      <c r="P15" s="1"/>
      <c r="Q15" s="1"/>
      <c r="R15" s="5">
        <v>0</v>
      </c>
      <c r="S15" s="1"/>
      <c r="T15" s="1" t="s">
        <v>1510</v>
      </c>
      <c r="U15" s="1" t="s">
        <v>1506</v>
      </c>
      <c r="V15" s="49">
        <v>39</v>
      </c>
      <c r="W15" s="49">
        <v>1</v>
      </c>
      <c r="X15" s="2">
        <v>61</v>
      </c>
    </row>
    <row r="16" spans="1:26" ht="15" x14ac:dyDescent="0.2">
      <c r="A16" s="47" t="s">
        <v>54</v>
      </c>
      <c r="B16" s="1" t="s">
        <v>55</v>
      </c>
      <c r="C16" s="4" t="s">
        <v>56</v>
      </c>
      <c r="D16" s="1" t="s">
        <v>14</v>
      </c>
      <c r="E16" s="1"/>
      <c r="F16" s="1" t="s">
        <v>1504</v>
      </c>
      <c r="G16" s="1"/>
      <c r="H16" s="1"/>
      <c r="I16" s="1"/>
      <c r="J16" s="1"/>
      <c r="K16" s="1"/>
      <c r="L16" s="1"/>
      <c r="M16" s="1"/>
      <c r="N16" s="1"/>
      <c r="O16" s="1"/>
      <c r="P16" s="1"/>
      <c r="Q16" s="1"/>
      <c r="R16" s="5">
        <v>1</v>
      </c>
      <c r="S16" s="1"/>
      <c r="T16" s="1" t="s">
        <v>1509</v>
      </c>
      <c r="U16" s="1" t="s">
        <v>1506</v>
      </c>
      <c r="V16" s="49">
        <v>994</v>
      </c>
      <c r="W16" s="49">
        <v>1</v>
      </c>
      <c r="X16" s="2">
        <v>79</v>
      </c>
    </row>
    <row r="17" spans="1:24" ht="15" x14ac:dyDescent="0.2">
      <c r="A17" s="47" t="s">
        <v>57</v>
      </c>
      <c r="B17" s="1" t="s">
        <v>58</v>
      </c>
      <c r="C17" s="4" t="s">
        <v>59</v>
      </c>
      <c r="D17" s="1" t="s">
        <v>14</v>
      </c>
      <c r="E17" s="1"/>
      <c r="F17" s="1" t="s">
        <v>1504</v>
      </c>
      <c r="G17" s="1"/>
      <c r="H17" s="1"/>
      <c r="I17" s="1"/>
      <c r="J17" s="1"/>
      <c r="K17" s="1"/>
      <c r="L17" s="1"/>
      <c r="M17" s="1"/>
      <c r="N17" s="1"/>
      <c r="O17" s="1"/>
      <c r="P17" s="1"/>
      <c r="Q17" s="1"/>
      <c r="R17" s="5">
        <v>0</v>
      </c>
      <c r="S17" s="1"/>
      <c r="T17" s="1" t="s">
        <v>1505</v>
      </c>
      <c r="U17" s="1" t="s">
        <v>1506</v>
      </c>
      <c r="V17" s="49">
        <v>54</v>
      </c>
      <c r="W17" s="49">
        <v>1</v>
      </c>
      <c r="X17" s="2">
        <v>50</v>
      </c>
    </row>
    <row r="18" spans="1:24" ht="15" x14ac:dyDescent="0.2">
      <c r="A18" s="47" t="s">
        <v>60</v>
      </c>
      <c r="B18" s="1" t="s">
        <v>61</v>
      </c>
      <c r="C18" s="4" t="s">
        <v>62</v>
      </c>
      <c r="D18" s="1" t="s">
        <v>14</v>
      </c>
      <c r="E18" s="1"/>
      <c r="F18" s="1" t="s">
        <v>1507</v>
      </c>
      <c r="G18" s="1"/>
      <c r="H18" s="1"/>
      <c r="I18" s="1"/>
      <c r="J18" s="1"/>
      <c r="K18" s="1"/>
      <c r="L18" s="1"/>
      <c r="M18" s="1"/>
      <c r="N18" s="1"/>
      <c r="O18" s="1"/>
      <c r="P18" s="1"/>
      <c r="Q18" s="1"/>
      <c r="R18" s="5">
        <v>0</v>
      </c>
      <c r="S18" s="1"/>
      <c r="T18" s="1" t="s">
        <v>1505</v>
      </c>
      <c r="U18" s="1" t="s">
        <v>1506</v>
      </c>
      <c r="V18" s="49">
        <v>110</v>
      </c>
      <c r="W18" s="49">
        <v>1</v>
      </c>
      <c r="X18" s="2">
        <v>69</v>
      </c>
    </row>
    <row r="19" spans="1:24" ht="15" x14ac:dyDescent="0.2">
      <c r="A19" s="47" t="s">
        <v>63</v>
      </c>
      <c r="B19" s="1" t="s">
        <v>64</v>
      </c>
      <c r="C19" s="4" t="s">
        <v>65</v>
      </c>
      <c r="D19" s="1" t="s">
        <v>14</v>
      </c>
      <c r="E19" s="1"/>
      <c r="F19" s="1" t="s">
        <v>1504</v>
      </c>
      <c r="G19" s="1"/>
      <c r="H19" s="1"/>
      <c r="I19" s="1"/>
      <c r="J19" s="1"/>
      <c r="K19" s="1"/>
      <c r="L19" s="1"/>
      <c r="M19" s="1"/>
      <c r="N19" s="1"/>
      <c r="O19" s="1"/>
      <c r="P19" s="1"/>
      <c r="Q19" s="1"/>
      <c r="R19" s="5">
        <v>0</v>
      </c>
      <c r="S19" s="1"/>
      <c r="T19" s="1" t="s">
        <v>1509</v>
      </c>
      <c r="U19" s="1" t="s">
        <v>1506</v>
      </c>
      <c r="V19" s="49">
        <v>134</v>
      </c>
      <c r="W19" s="49">
        <v>0</v>
      </c>
      <c r="X19" s="2">
        <v>53</v>
      </c>
    </row>
    <row r="20" spans="1:24" ht="15" x14ac:dyDescent="0.2">
      <c r="A20" s="47" t="s">
        <v>66</v>
      </c>
      <c r="B20" s="1" t="s">
        <v>67</v>
      </c>
      <c r="C20" s="4" t="s">
        <v>68</v>
      </c>
      <c r="D20" s="1" t="s">
        <v>14</v>
      </c>
      <c r="E20" s="1"/>
      <c r="F20" s="1" t="s">
        <v>1504</v>
      </c>
      <c r="G20" s="1"/>
      <c r="H20" s="1"/>
      <c r="I20" s="1"/>
      <c r="J20" s="1"/>
      <c r="K20" s="1"/>
      <c r="L20" s="1"/>
      <c r="M20" s="1"/>
      <c r="N20" s="1"/>
      <c r="O20" s="1"/>
      <c r="P20" s="1"/>
      <c r="Q20" s="1"/>
      <c r="R20" s="5">
        <v>1</v>
      </c>
      <c r="S20" s="1"/>
      <c r="T20" s="1" t="s">
        <v>1509</v>
      </c>
      <c r="U20" s="1" t="s">
        <v>1506</v>
      </c>
      <c r="V20" s="49">
        <v>1673</v>
      </c>
      <c r="W20" s="49">
        <v>0</v>
      </c>
      <c r="X20" s="2">
        <v>52</v>
      </c>
    </row>
    <row r="21" spans="1:24" ht="15" x14ac:dyDescent="0.2">
      <c r="A21" s="47" t="s">
        <v>69</v>
      </c>
      <c r="B21" s="1" t="s">
        <v>70</v>
      </c>
      <c r="C21" s="4" t="s">
        <v>71</v>
      </c>
      <c r="D21" s="1" t="s">
        <v>14</v>
      </c>
      <c r="E21" s="1"/>
      <c r="F21" s="1" t="s">
        <v>1504</v>
      </c>
      <c r="G21" s="1"/>
      <c r="H21" s="1"/>
      <c r="I21" s="1"/>
      <c r="J21" s="1"/>
      <c r="K21" s="1"/>
      <c r="L21" s="1"/>
      <c r="M21" s="1"/>
      <c r="N21" s="1"/>
      <c r="O21" s="1"/>
      <c r="P21" s="1"/>
      <c r="Q21" s="1"/>
      <c r="R21" s="5">
        <v>1</v>
      </c>
      <c r="S21" s="1"/>
      <c r="T21" s="1" t="s">
        <v>1510</v>
      </c>
      <c r="U21" s="1" t="s">
        <v>1506</v>
      </c>
      <c r="V21" s="49">
        <v>54</v>
      </c>
      <c r="W21" s="49">
        <v>1</v>
      </c>
      <c r="X21" s="2">
        <v>74</v>
      </c>
    </row>
    <row r="22" spans="1:24" ht="15" x14ac:dyDescent="0.2">
      <c r="A22" s="47" t="s">
        <v>72</v>
      </c>
      <c r="B22" s="1" t="s">
        <v>73</v>
      </c>
      <c r="C22" s="4" t="s">
        <v>74</v>
      </c>
      <c r="D22" s="1" t="s">
        <v>14</v>
      </c>
      <c r="E22" s="1"/>
      <c r="F22" s="1" t="s">
        <v>1504</v>
      </c>
      <c r="G22" s="1"/>
      <c r="H22" s="1"/>
      <c r="I22" s="1"/>
      <c r="J22" s="1"/>
      <c r="K22" s="1"/>
      <c r="L22" s="1"/>
      <c r="M22" s="1"/>
      <c r="N22" s="1"/>
      <c r="O22" s="1"/>
      <c r="P22" s="1"/>
      <c r="Q22" s="1"/>
      <c r="R22" s="5">
        <v>1</v>
      </c>
      <c r="S22" s="1"/>
      <c r="T22" s="1" t="s">
        <v>1509</v>
      </c>
      <c r="U22" s="1" t="s">
        <v>1506</v>
      </c>
      <c r="V22" s="49">
        <v>472</v>
      </c>
      <c r="W22" s="49">
        <v>1</v>
      </c>
      <c r="X22" s="2">
        <v>48</v>
      </c>
    </row>
    <row r="23" spans="1:24" ht="15" x14ac:dyDescent="0.2">
      <c r="A23" s="47" t="s">
        <v>75</v>
      </c>
      <c r="B23" s="1" t="s">
        <v>76</v>
      </c>
      <c r="C23" s="4" t="s">
        <v>77</v>
      </c>
      <c r="D23" s="1" t="s">
        <v>14</v>
      </c>
      <c r="E23" s="1"/>
      <c r="F23" s="1" t="s">
        <v>1504</v>
      </c>
      <c r="G23" s="1"/>
      <c r="H23" s="1"/>
      <c r="I23" s="1"/>
      <c r="J23" s="1"/>
      <c r="K23" s="1"/>
      <c r="L23" s="1"/>
      <c r="M23" s="1"/>
      <c r="N23" s="1"/>
      <c r="O23" s="1"/>
      <c r="P23" s="1"/>
      <c r="Q23" s="1"/>
      <c r="R23" s="5">
        <v>0</v>
      </c>
      <c r="S23" s="1"/>
      <c r="T23" s="1" t="s">
        <v>1505</v>
      </c>
      <c r="U23" s="1" t="s">
        <v>1506</v>
      </c>
      <c r="V23" s="49">
        <v>178</v>
      </c>
      <c r="W23" s="49">
        <v>1</v>
      </c>
      <c r="X23" s="2">
        <v>48</v>
      </c>
    </row>
    <row r="24" spans="1:24" ht="15" x14ac:dyDescent="0.2">
      <c r="A24" s="47" t="s">
        <v>78</v>
      </c>
      <c r="B24" s="1" t="s">
        <v>79</v>
      </c>
      <c r="C24" s="4" t="s">
        <v>80</v>
      </c>
      <c r="D24" s="1" t="s">
        <v>14</v>
      </c>
      <c r="E24" s="1"/>
      <c r="F24" s="1" t="s">
        <v>1504</v>
      </c>
      <c r="G24" s="1"/>
      <c r="H24" s="1"/>
      <c r="I24" s="1"/>
      <c r="J24" s="1"/>
      <c r="K24" s="1"/>
      <c r="L24" s="1"/>
      <c r="M24" s="1"/>
      <c r="N24" s="1"/>
      <c r="O24" s="1"/>
      <c r="P24" s="1"/>
      <c r="Q24" s="1"/>
      <c r="R24" s="5">
        <v>1</v>
      </c>
      <c r="S24" s="1"/>
      <c r="T24" s="1" t="s">
        <v>1505</v>
      </c>
      <c r="U24" s="1" t="s">
        <v>1506</v>
      </c>
      <c r="V24" s="49">
        <v>287</v>
      </c>
      <c r="W24" s="49">
        <v>1</v>
      </c>
      <c r="X24" s="2">
        <v>56</v>
      </c>
    </row>
    <row r="25" spans="1:24" ht="15" x14ac:dyDescent="0.2">
      <c r="A25" s="47" t="s">
        <v>81</v>
      </c>
      <c r="B25" s="1" t="s">
        <v>82</v>
      </c>
      <c r="C25" s="4" t="s">
        <v>83</v>
      </c>
      <c r="D25" s="1" t="s">
        <v>14</v>
      </c>
      <c r="E25" s="1"/>
      <c r="F25" s="1" t="s">
        <v>1504</v>
      </c>
      <c r="G25" s="1"/>
      <c r="H25" s="1"/>
      <c r="I25" s="1"/>
      <c r="J25" s="1"/>
      <c r="K25" s="1"/>
      <c r="L25" s="1"/>
      <c r="M25" s="1"/>
      <c r="N25" s="1"/>
      <c r="O25" s="1"/>
      <c r="P25" s="1"/>
      <c r="Q25" s="1"/>
      <c r="R25" s="5">
        <v>0</v>
      </c>
      <c r="S25" s="1"/>
      <c r="T25" s="1" t="s">
        <v>1509</v>
      </c>
      <c r="U25" s="1" t="s">
        <v>1506</v>
      </c>
      <c r="V25" s="49">
        <v>551</v>
      </c>
      <c r="W25" s="49">
        <v>0</v>
      </c>
      <c r="X25" s="2">
        <v>49</v>
      </c>
    </row>
    <row r="26" spans="1:24" ht="15" x14ac:dyDescent="0.2">
      <c r="A26" s="47" t="s">
        <v>84</v>
      </c>
      <c r="B26" s="1" t="s">
        <v>85</v>
      </c>
      <c r="C26" s="4" t="s">
        <v>86</v>
      </c>
      <c r="D26" s="1" t="s">
        <v>14</v>
      </c>
      <c r="E26" s="1"/>
      <c r="F26" s="1" t="s">
        <v>1504</v>
      </c>
      <c r="G26" s="1"/>
      <c r="H26" s="1"/>
      <c r="I26" s="1"/>
      <c r="J26" s="1"/>
      <c r="K26" s="1"/>
      <c r="L26" s="1"/>
      <c r="M26" s="1"/>
      <c r="N26" s="1"/>
      <c r="O26" s="1"/>
      <c r="P26" s="1"/>
      <c r="Q26" s="1"/>
      <c r="R26" s="5">
        <v>1</v>
      </c>
      <c r="S26" s="1"/>
      <c r="T26" s="1" t="s">
        <v>1509</v>
      </c>
      <c r="U26" s="1" t="s">
        <v>1508</v>
      </c>
      <c r="V26" s="49">
        <v>1715</v>
      </c>
      <c r="W26" s="49">
        <v>0</v>
      </c>
      <c r="X26" s="2">
        <v>29</v>
      </c>
    </row>
    <row r="27" spans="1:24" ht="15" x14ac:dyDescent="0.2">
      <c r="A27" s="47" t="s">
        <v>87</v>
      </c>
      <c r="B27" s="1" t="s">
        <v>88</v>
      </c>
      <c r="C27" s="4" t="s">
        <v>89</v>
      </c>
      <c r="D27" s="1" t="s">
        <v>14</v>
      </c>
      <c r="E27" s="1"/>
      <c r="F27" s="1" t="s">
        <v>1507</v>
      </c>
      <c r="G27" s="1"/>
      <c r="H27" s="1"/>
      <c r="I27" s="1"/>
      <c r="J27" s="1"/>
      <c r="K27" s="1"/>
      <c r="L27" s="1"/>
      <c r="M27" s="1"/>
      <c r="N27" s="1"/>
      <c r="O27" s="1"/>
      <c r="P27" s="1"/>
      <c r="Q27" s="1"/>
      <c r="R27" s="5">
        <v>1</v>
      </c>
      <c r="S27" s="1"/>
      <c r="T27" s="1" t="s">
        <v>1509</v>
      </c>
      <c r="U27" s="1" t="s">
        <v>1506</v>
      </c>
      <c r="V27" s="49">
        <v>1161</v>
      </c>
      <c r="W27" s="49">
        <v>1</v>
      </c>
      <c r="X27" s="2">
        <v>67</v>
      </c>
    </row>
    <row r="28" spans="1:24" ht="15" x14ac:dyDescent="0.2">
      <c r="A28" s="47" t="s">
        <v>90</v>
      </c>
      <c r="B28" s="1" t="s">
        <v>91</v>
      </c>
      <c r="C28" s="4" t="s">
        <v>92</v>
      </c>
      <c r="D28" s="1" t="s">
        <v>14</v>
      </c>
      <c r="E28" s="1"/>
      <c r="F28" s="1" t="s">
        <v>1504</v>
      </c>
      <c r="G28" s="1"/>
      <c r="H28" s="1"/>
      <c r="I28" s="1"/>
      <c r="J28" s="1"/>
      <c r="K28" s="1"/>
      <c r="L28" s="1"/>
      <c r="M28" s="1"/>
      <c r="N28" s="1"/>
      <c r="O28" s="1"/>
      <c r="P28" s="1"/>
      <c r="Q28" s="1"/>
      <c r="R28" s="5">
        <v>0</v>
      </c>
      <c r="S28" s="1"/>
      <c r="T28" s="1" t="s">
        <v>1505</v>
      </c>
      <c r="U28" s="1" t="s">
        <v>1506</v>
      </c>
      <c r="V28" s="49">
        <v>223</v>
      </c>
      <c r="W28" s="49">
        <v>0</v>
      </c>
      <c r="X28" s="2">
        <v>71</v>
      </c>
    </row>
    <row r="29" spans="1:24" ht="15" x14ac:dyDescent="0.2">
      <c r="A29" s="47" t="s">
        <v>93</v>
      </c>
      <c r="B29" s="1" t="s">
        <v>94</v>
      </c>
      <c r="C29" s="4" t="s">
        <v>95</v>
      </c>
      <c r="D29" s="1" t="s">
        <v>14</v>
      </c>
      <c r="E29" s="1"/>
      <c r="F29" s="1" t="s">
        <v>1504</v>
      </c>
      <c r="G29" s="1"/>
      <c r="H29" s="1"/>
      <c r="I29" s="1"/>
      <c r="J29" s="1"/>
      <c r="K29" s="1"/>
      <c r="L29" s="1"/>
      <c r="M29" s="1"/>
      <c r="N29" s="1"/>
      <c r="O29" s="1"/>
      <c r="P29" s="1"/>
      <c r="Q29" s="1"/>
      <c r="R29" s="5">
        <v>1</v>
      </c>
      <c r="S29" s="1"/>
      <c r="T29" s="1" t="s">
        <v>1509</v>
      </c>
      <c r="U29" s="1" t="s">
        <v>1508</v>
      </c>
      <c r="V29" s="49">
        <v>1718</v>
      </c>
      <c r="W29" s="49">
        <v>0</v>
      </c>
      <c r="X29" s="2">
        <v>32</v>
      </c>
    </row>
    <row r="30" spans="1:24" ht="15" x14ac:dyDescent="0.2">
      <c r="A30" s="47" t="s">
        <v>96</v>
      </c>
      <c r="B30" s="1" t="s">
        <v>97</v>
      </c>
      <c r="C30" s="4" t="s">
        <v>98</v>
      </c>
      <c r="D30" s="1" t="s">
        <v>14</v>
      </c>
      <c r="E30" s="1"/>
      <c r="F30" s="1" t="s">
        <v>1504</v>
      </c>
      <c r="G30" s="1"/>
      <c r="H30" s="1"/>
      <c r="I30" s="1"/>
      <c r="J30" s="1"/>
      <c r="K30" s="1"/>
      <c r="L30" s="1"/>
      <c r="M30" s="1"/>
      <c r="N30" s="1"/>
      <c r="O30" s="1"/>
      <c r="P30" s="1"/>
      <c r="Q30" s="1"/>
      <c r="R30" s="5">
        <v>0</v>
      </c>
      <c r="S30" s="1"/>
      <c r="T30" s="1" t="s">
        <v>1509</v>
      </c>
      <c r="U30" s="1" t="s">
        <v>1506</v>
      </c>
      <c r="V30" s="49">
        <v>635</v>
      </c>
      <c r="W30" s="49">
        <v>1</v>
      </c>
      <c r="X30" s="2">
        <v>58</v>
      </c>
    </row>
    <row r="31" spans="1:24" ht="15" x14ac:dyDescent="0.2">
      <c r="A31" s="47" t="s">
        <v>99</v>
      </c>
      <c r="B31" s="1" t="s">
        <v>100</v>
      </c>
      <c r="C31" s="4" t="s">
        <v>101</v>
      </c>
      <c r="D31" s="1" t="s">
        <v>14</v>
      </c>
      <c r="E31" s="1"/>
      <c r="F31" s="1" t="s">
        <v>1504</v>
      </c>
      <c r="G31" s="1"/>
      <c r="H31" s="1"/>
      <c r="I31" s="1"/>
      <c r="J31" s="1"/>
      <c r="K31" s="1"/>
      <c r="L31" s="1"/>
      <c r="M31" s="1"/>
      <c r="N31" s="1"/>
      <c r="O31" s="1"/>
      <c r="P31" s="1"/>
      <c r="Q31" s="1"/>
      <c r="R31" s="5">
        <v>0</v>
      </c>
      <c r="S31" s="1"/>
      <c r="T31" s="1" t="s">
        <v>1509</v>
      </c>
      <c r="U31" s="1" t="s">
        <v>1506</v>
      </c>
      <c r="V31" s="49">
        <v>902</v>
      </c>
      <c r="W31" s="49">
        <v>0</v>
      </c>
      <c r="X31" s="2">
        <v>60</v>
      </c>
    </row>
    <row r="32" spans="1:24" ht="15" x14ac:dyDescent="0.2">
      <c r="A32" s="47" t="s">
        <v>102</v>
      </c>
      <c r="B32" s="1" t="s">
        <v>103</v>
      </c>
      <c r="C32" s="4" t="s">
        <v>104</v>
      </c>
      <c r="D32" s="1" t="s">
        <v>14</v>
      </c>
      <c r="E32" s="1"/>
      <c r="F32" s="1" t="s">
        <v>1507</v>
      </c>
      <c r="G32" s="1"/>
      <c r="H32" s="1"/>
      <c r="I32" s="1"/>
      <c r="J32" s="1"/>
      <c r="K32" s="1"/>
      <c r="L32" s="1"/>
      <c r="M32" s="1"/>
      <c r="N32" s="1"/>
      <c r="O32" s="1"/>
      <c r="P32" s="1"/>
      <c r="Q32" s="1"/>
      <c r="R32" s="5">
        <v>1</v>
      </c>
      <c r="S32" s="1"/>
      <c r="T32" s="1" t="s">
        <v>1505</v>
      </c>
      <c r="U32" s="1" t="s">
        <v>1506</v>
      </c>
      <c r="V32" s="49">
        <v>777</v>
      </c>
      <c r="W32" s="49">
        <v>1</v>
      </c>
      <c r="X32" s="2">
        <v>62</v>
      </c>
    </row>
    <row r="33" spans="1:24" ht="15.75" customHeight="1" x14ac:dyDescent="0.15">
      <c r="A33" s="1" t="s">
        <v>105</v>
      </c>
      <c r="B33" s="1" t="s">
        <v>106</v>
      </c>
      <c r="C33" s="4" t="s">
        <v>107</v>
      </c>
      <c r="D33" s="1" t="s">
        <v>14</v>
      </c>
      <c r="E33" s="1"/>
      <c r="F33" s="1" t="s">
        <v>1504</v>
      </c>
      <c r="G33" s="1"/>
      <c r="H33" s="1"/>
      <c r="I33" s="1"/>
      <c r="J33" s="1"/>
      <c r="K33" s="1"/>
      <c r="L33" s="1"/>
      <c r="M33" s="1"/>
      <c r="N33" s="1"/>
      <c r="O33" s="1"/>
      <c r="P33" s="1"/>
      <c r="Q33" s="1"/>
      <c r="R33" s="5">
        <v>1</v>
      </c>
      <c r="S33" s="1"/>
      <c r="T33" s="1" t="s">
        <v>1509</v>
      </c>
      <c r="U33" s="1" t="s">
        <v>1506</v>
      </c>
      <c r="V33" s="49">
        <v>554</v>
      </c>
      <c r="W33" s="49">
        <v>1</v>
      </c>
      <c r="X33" s="2">
        <v>37</v>
      </c>
    </row>
    <row r="34" spans="1:24" ht="15.75" customHeight="1" x14ac:dyDescent="0.15">
      <c r="A34" s="1" t="s">
        <v>108</v>
      </c>
      <c r="B34" s="1" t="s">
        <v>109</v>
      </c>
      <c r="C34" s="4" t="s">
        <v>110</v>
      </c>
      <c r="D34" s="1" t="s">
        <v>14</v>
      </c>
      <c r="E34" s="1"/>
      <c r="F34" s="1" t="s">
        <v>1507</v>
      </c>
      <c r="G34" s="1"/>
      <c r="H34" s="1"/>
      <c r="I34" s="1"/>
      <c r="J34" s="1"/>
      <c r="K34" s="1"/>
      <c r="L34" s="1"/>
      <c r="M34" s="1"/>
      <c r="N34" s="1"/>
      <c r="O34" s="1"/>
      <c r="P34" s="1"/>
      <c r="Q34" s="1"/>
      <c r="R34" s="5">
        <v>0</v>
      </c>
      <c r="S34" s="1"/>
      <c r="T34" s="1" t="s">
        <v>1505</v>
      </c>
      <c r="U34" s="1" t="s">
        <v>1506</v>
      </c>
      <c r="V34" s="49">
        <v>389</v>
      </c>
      <c r="W34" s="49">
        <v>1</v>
      </c>
      <c r="X34" s="2">
        <v>68</v>
      </c>
    </row>
    <row r="35" spans="1:24" ht="15.75" customHeight="1" x14ac:dyDescent="0.15">
      <c r="A35" s="1" t="s">
        <v>111</v>
      </c>
      <c r="B35" s="1" t="s">
        <v>112</v>
      </c>
      <c r="C35" s="4" t="s">
        <v>113</v>
      </c>
      <c r="D35" s="1" t="s">
        <v>14</v>
      </c>
      <c r="E35" s="1"/>
      <c r="F35" s="1" t="s">
        <v>1504</v>
      </c>
      <c r="G35" s="1"/>
      <c r="H35" s="1"/>
      <c r="I35" s="1"/>
      <c r="J35" s="1"/>
      <c r="K35" s="1"/>
      <c r="L35" s="1"/>
      <c r="M35" s="1"/>
      <c r="N35" s="1"/>
      <c r="O35" s="1"/>
      <c r="P35" s="1"/>
      <c r="Q35" s="1"/>
      <c r="R35" s="5">
        <v>1</v>
      </c>
      <c r="S35" s="1"/>
      <c r="T35" s="1" t="s">
        <v>1505</v>
      </c>
      <c r="U35" s="1" t="s">
        <v>1506</v>
      </c>
      <c r="V35" s="49">
        <v>678</v>
      </c>
      <c r="W35" s="49">
        <v>1</v>
      </c>
      <c r="X35" s="2">
        <v>66</v>
      </c>
    </row>
    <row r="36" spans="1:24" ht="15.75" customHeight="1" x14ac:dyDescent="0.15">
      <c r="A36" s="1" t="s">
        <v>114</v>
      </c>
      <c r="B36" s="1" t="s">
        <v>115</v>
      </c>
      <c r="C36" s="4" t="s">
        <v>116</v>
      </c>
      <c r="D36" s="1" t="s">
        <v>14</v>
      </c>
      <c r="E36" s="1"/>
      <c r="F36" s="1" t="s">
        <v>1504</v>
      </c>
      <c r="G36" s="1"/>
      <c r="H36" s="1"/>
      <c r="I36" s="1"/>
      <c r="J36" s="1"/>
      <c r="K36" s="1"/>
      <c r="L36" s="1"/>
      <c r="M36" s="1"/>
      <c r="N36" s="1"/>
      <c r="O36" s="1"/>
      <c r="P36" s="1"/>
      <c r="Q36" s="1"/>
      <c r="R36" s="5">
        <v>0</v>
      </c>
      <c r="S36" s="1"/>
      <c r="T36" s="1" t="s">
        <v>1510</v>
      </c>
      <c r="U36" s="1" t="s">
        <v>1506</v>
      </c>
      <c r="V36" s="49">
        <v>70</v>
      </c>
      <c r="W36" s="49">
        <v>1</v>
      </c>
      <c r="X36" s="2">
        <v>52</v>
      </c>
    </row>
    <row r="37" spans="1:24" ht="15.75" customHeight="1" x14ac:dyDescent="0.15">
      <c r="A37" s="1" t="s">
        <v>117</v>
      </c>
      <c r="B37" s="1" t="s">
        <v>118</v>
      </c>
      <c r="C37" s="4" t="s">
        <v>119</v>
      </c>
      <c r="D37" s="1" t="s">
        <v>14</v>
      </c>
      <c r="E37" s="1"/>
      <c r="F37" s="1" t="s">
        <v>1507</v>
      </c>
      <c r="G37" s="1"/>
      <c r="H37" s="1"/>
      <c r="I37" s="1"/>
      <c r="J37" s="1"/>
      <c r="K37" s="1"/>
      <c r="L37" s="1"/>
      <c r="M37" s="1"/>
      <c r="N37" s="1"/>
      <c r="O37" s="1"/>
      <c r="P37" s="1"/>
      <c r="Q37" s="1"/>
      <c r="R37" s="5">
        <v>1</v>
      </c>
      <c r="S37" s="1"/>
      <c r="T37" s="1" t="s">
        <v>1505</v>
      </c>
      <c r="U37" s="1" t="s">
        <v>1506</v>
      </c>
      <c r="V37" s="49">
        <v>14</v>
      </c>
      <c r="W37" s="49">
        <v>0</v>
      </c>
      <c r="X37" s="2">
        <v>57</v>
      </c>
    </row>
    <row r="38" spans="1:24" ht="15.75" customHeight="1" x14ac:dyDescent="0.15">
      <c r="A38" s="1" t="s">
        <v>120</v>
      </c>
      <c r="B38" s="1" t="s">
        <v>121</v>
      </c>
      <c r="C38" s="4" t="s">
        <v>122</v>
      </c>
      <c r="D38" s="1" t="s">
        <v>14</v>
      </c>
      <c r="E38" s="1"/>
      <c r="F38" s="1" t="s">
        <v>1507</v>
      </c>
      <c r="G38" s="1"/>
      <c r="H38" s="1"/>
      <c r="I38" s="1"/>
      <c r="J38" s="1"/>
      <c r="K38" s="1"/>
      <c r="L38" s="1"/>
      <c r="M38" s="1"/>
      <c r="N38" s="1"/>
      <c r="O38" s="1"/>
      <c r="P38" s="1"/>
      <c r="Q38" s="1"/>
      <c r="R38" s="5">
        <v>1</v>
      </c>
      <c r="S38" s="1"/>
      <c r="T38" s="1" t="s">
        <v>1505</v>
      </c>
      <c r="U38" s="1" t="s">
        <v>1506</v>
      </c>
      <c r="V38" s="49">
        <v>322</v>
      </c>
      <c r="W38" s="49">
        <v>1</v>
      </c>
      <c r="X38" s="2">
        <v>65</v>
      </c>
    </row>
    <row r="39" spans="1:24" ht="15.75" customHeight="1" x14ac:dyDescent="0.15">
      <c r="A39" s="1" t="s">
        <v>123</v>
      </c>
      <c r="B39" s="1" t="s">
        <v>124</v>
      </c>
      <c r="C39" s="4" t="s">
        <v>125</v>
      </c>
      <c r="D39" s="1" t="s">
        <v>14</v>
      </c>
      <c r="E39" s="1"/>
      <c r="F39" s="1" t="s">
        <v>1507</v>
      </c>
      <c r="G39" s="1"/>
      <c r="H39" s="1"/>
      <c r="I39" s="1"/>
      <c r="J39" s="1"/>
      <c r="K39" s="1"/>
      <c r="L39" s="1"/>
      <c r="M39" s="1"/>
      <c r="N39" s="1"/>
      <c r="O39" s="1"/>
      <c r="P39" s="1"/>
      <c r="Q39" s="1"/>
      <c r="R39" s="5">
        <v>1</v>
      </c>
      <c r="S39" s="1"/>
      <c r="T39" s="1" t="s">
        <v>1509</v>
      </c>
      <c r="U39" s="1" t="s">
        <v>1506</v>
      </c>
      <c r="V39" s="49">
        <v>1116</v>
      </c>
      <c r="W39" s="49">
        <v>1</v>
      </c>
      <c r="X39" s="2">
        <v>58</v>
      </c>
    </row>
    <row r="40" spans="1:24" ht="15.75" customHeight="1" x14ac:dyDescent="0.15">
      <c r="A40" s="1" t="s">
        <v>126</v>
      </c>
      <c r="B40" s="1" t="s">
        <v>127</v>
      </c>
      <c r="C40" s="4" t="s">
        <v>128</v>
      </c>
      <c r="D40" s="1" t="s">
        <v>14</v>
      </c>
      <c r="E40" s="1"/>
      <c r="F40" s="1" t="s">
        <v>1504</v>
      </c>
      <c r="G40" s="1"/>
      <c r="H40" s="1"/>
      <c r="I40" s="1"/>
      <c r="J40" s="1"/>
      <c r="K40" s="1"/>
      <c r="L40" s="1"/>
      <c r="M40" s="1"/>
      <c r="N40" s="1"/>
      <c r="O40" s="1"/>
      <c r="P40" s="1"/>
      <c r="Q40" s="1"/>
      <c r="R40" s="5">
        <v>1</v>
      </c>
      <c r="S40" s="1"/>
      <c r="T40" s="1" t="s">
        <v>1505</v>
      </c>
      <c r="U40" s="1" t="s">
        <v>1508</v>
      </c>
      <c r="V40" s="49">
        <v>930</v>
      </c>
      <c r="W40" s="49">
        <v>0</v>
      </c>
      <c r="X40" s="2">
        <v>38</v>
      </c>
    </row>
    <row r="41" spans="1:24" ht="15.75" customHeight="1" x14ac:dyDescent="0.15">
      <c r="A41" s="1" t="s">
        <v>129</v>
      </c>
      <c r="B41" s="1" t="s">
        <v>130</v>
      </c>
      <c r="C41" s="4" t="s">
        <v>131</v>
      </c>
      <c r="D41" s="1" t="s">
        <v>14</v>
      </c>
      <c r="E41" s="1"/>
      <c r="F41" s="1" t="s">
        <v>1504</v>
      </c>
      <c r="G41" s="1"/>
      <c r="H41" s="1"/>
      <c r="I41" s="1"/>
      <c r="J41" s="1"/>
      <c r="K41" s="1"/>
      <c r="L41" s="1"/>
      <c r="M41" s="1"/>
      <c r="N41" s="1"/>
      <c r="O41" s="1"/>
      <c r="P41" s="1"/>
      <c r="Q41" s="1"/>
      <c r="R41" s="5">
        <v>1</v>
      </c>
      <c r="S41" s="1"/>
      <c r="T41" s="1" t="s">
        <v>1505</v>
      </c>
      <c r="U41" s="1" t="s">
        <v>1506</v>
      </c>
      <c r="V41" s="49">
        <v>749</v>
      </c>
      <c r="W41" s="49">
        <v>1</v>
      </c>
      <c r="X41" s="2">
        <v>65</v>
      </c>
    </row>
    <row r="42" spans="1:24" ht="15.75" customHeight="1" x14ac:dyDescent="0.15">
      <c r="A42" s="1" t="s">
        <v>132</v>
      </c>
      <c r="B42" s="1" t="s">
        <v>133</v>
      </c>
      <c r="C42" s="4" t="s">
        <v>134</v>
      </c>
      <c r="D42" s="1" t="s">
        <v>14</v>
      </c>
      <c r="E42" s="1"/>
      <c r="F42" s="1" t="s">
        <v>1504</v>
      </c>
      <c r="G42" s="1"/>
      <c r="H42" s="1"/>
      <c r="I42" s="1"/>
      <c r="J42" s="1"/>
      <c r="K42" s="1"/>
      <c r="L42" s="1"/>
      <c r="M42" s="1"/>
      <c r="N42" s="1"/>
      <c r="O42" s="1"/>
      <c r="P42" s="1"/>
      <c r="Q42" s="1"/>
      <c r="R42" s="5">
        <v>0</v>
      </c>
      <c r="S42" s="1"/>
      <c r="T42" s="1" t="s">
        <v>1509</v>
      </c>
      <c r="U42" s="1" t="s">
        <v>1506</v>
      </c>
      <c r="V42" s="49">
        <v>421</v>
      </c>
      <c r="W42" s="49">
        <v>1</v>
      </c>
      <c r="X42" s="2">
        <v>61</v>
      </c>
    </row>
    <row r="43" spans="1:24" ht="15.75" customHeight="1" x14ac:dyDescent="0.15">
      <c r="A43" s="1" t="s">
        <v>135</v>
      </c>
      <c r="B43" s="1" t="s">
        <v>136</v>
      </c>
      <c r="C43" s="4" t="s">
        <v>137</v>
      </c>
      <c r="D43" s="1" t="s">
        <v>14</v>
      </c>
      <c r="E43" s="1"/>
      <c r="F43" s="1" t="s">
        <v>1507</v>
      </c>
      <c r="G43" s="1"/>
      <c r="H43" s="1"/>
      <c r="I43" s="1"/>
      <c r="J43" s="1"/>
      <c r="K43" s="1"/>
      <c r="L43" s="1"/>
      <c r="M43" s="1"/>
      <c r="N43" s="1"/>
      <c r="O43" s="1"/>
      <c r="P43" s="1"/>
      <c r="Q43" s="1"/>
      <c r="R43" s="5">
        <v>1</v>
      </c>
      <c r="S43" s="1"/>
      <c r="T43" s="1" t="s">
        <v>1509</v>
      </c>
      <c r="U43" s="1" t="s">
        <v>1506</v>
      </c>
      <c r="V43" s="49">
        <v>92</v>
      </c>
      <c r="W43" s="49">
        <v>1</v>
      </c>
      <c r="X43" s="2">
        <v>63</v>
      </c>
    </row>
    <row r="44" spans="1:24" ht="15.75" customHeight="1" x14ac:dyDescent="0.15">
      <c r="A44" s="1" t="s">
        <v>138</v>
      </c>
      <c r="B44" s="1" t="s">
        <v>139</v>
      </c>
      <c r="C44" s="4" t="s">
        <v>140</v>
      </c>
      <c r="D44" s="1" t="s">
        <v>14</v>
      </c>
      <c r="E44" s="1"/>
      <c r="F44" s="1" t="s">
        <v>1504</v>
      </c>
      <c r="G44" s="1"/>
      <c r="H44" s="1"/>
      <c r="I44" s="1"/>
      <c r="J44" s="1"/>
      <c r="K44" s="1"/>
      <c r="L44" s="1"/>
      <c r="M44" s="1"/>
      <c r="N44" s="1"/>
      <c r="O44" s="1"/>
      <c r="P44" s="1"/>
      <c r="Q44" s="1"/>
      <c r="R44" s="5">
        <v>1</v>
      </c>
      <c r="S44" s="1"/>
      <c r="T44" s="1" t="s">
        <v>1505</v>
      </c>
      <c r="U44" s="1" t="s">
        <v>1506</v>
      </c>
      <c r="V44" s="49">
        <v>611</v>
      </c>
      <c r="W44" s="49">
        <v>1</v>
      </c>
      <c r="X44" s="2">
        <v>51</v>
      </c>
    </row>
    <row r="45" spans="1:24" ht="15.75" customHeight="1" x14ac:dyDescent="0.15">
      <c r="A45" s="1" t="s">
        <v>141</v>
      </c>
      <c r="B45" s="1" t="s">
        <v>142</v>
      </c>
      <c r="C45" s="4" t="s">
        <v>143</v>
      </c>
      <c r="D45" s="1" t="s">
        <v>14</v>
      </c>
      <c r="E45" s="1"/>
      <c r="F45" s="1" t="s">
        <v>1504</v>
      </c>
      <c r="G45" s="1"/>
      <c r="H45" s="1"/>
      <c r="I45" s="1"/>
      <c r="J45" s="1"/>
      <c r="K45" s="1"/>
      <c r="L45" s="1"/>
      <c r="M45" s="1"/>
      <c r="N45" s="1"/>
      <c r="O45" s="1"/>
      <c r="P45" s="1"/>
      <c r="Q45" s="1"/>
      <c r="R45" s="5">
        <v>0</v>
      </c>
      <c r="S45" s="1"/>
      <c r="T45" s="1" t="s">
        <v>1505</v>
      </c>
      <c r="U45" s="1" t="s">
        <v>1506</v>
      </c>
      <c r="V45" s="49">
        <v>301</v>
      </c>
      <c r="W45" s="49">
        <v>1</v>
      </c>
      <c r="X45" s="2">
        <v>55</v>
      </c>
    </row>
    <row r="46" spans="1:24" ht="15.75" customHeight="1" x14ac:dyDescent="0.15">
      <c r="A46" s="1" t="s">
        <v>144</v>
      </c>
      <c r="B46" s="1" t="s">
        <v>145</v>
      </c>
      <c r="C46" s="4" t="s">
        <v>146</v>
      </c>
      <c r="D46" s="1" t="s">
        <v>14</v>
      </c>
      <c r="E46" s="1"/>
      <c r="F46" s="1" t="s">
        <v>1507</v>
      </c>
      <c r="G46" s="1"/>
      <c r="H46" s="1"/>
      <c r="I46" s="1"/>
      <c r="J46" s="1"/>
      <c r="K46" s="1"/>
      <c r="L46" s="1"/>
      <c r="M46" s="1"/>
      <c r="N46" s="1"/>
      <c r="O46" s="1"/>
      <c r="P46" s="1"/>
      <c r="Q46" s="1"/>
      <c r="R46" s="5">
        <v>1</v>
      </c>
      <c r="S46" s="1"/>
      <c r="T46" s="1" t="s">
        <v>1509</v>
      </c>
      <c r="U46" s="1" t="s">
        <v>1506</v>
      </c>
      <c r="V46" s="49">
        <v>253</v>
      </c>
      <c r="W46" s="49">
        <v>1</v>
      </c>
      <c r="X46" s="2">
        <v>77</v>
      </c>
    </row>
    <row r="47" spans="1:24" ht="15.75" customHeight="1" x14ac:dyDescent="0.15">
      <c r="A47" s="1" t="s">
        <v>147</v>
      </c>
      <c r="B47" s="1" t="s">
        <v>148</v>
      </c>
      <c r="C47" s="4" t="s">
        <v>149</v>
      </c>
      <c r="D47" s="1" t="s">
        <v>14</v>
      </c>
      <c r="E47" s="1"/>
      <c r="F47" s="1" t="s">
        <v>1507</v>
      </c>
      <c r="G47" s="1"/>
      <c r="H47" s="1"/>
      <c r="I47" s="1"/>
      <c r="J47" s="1"/>
      <c r="K47" s="1"/>
      <c r="L47" s="1"/>
      <c r="M47" s="1"/>
      <c r="N47" s="1"/>
      <c r="O47" s="1"/>
      <c r="P47" s="1"/>
      <c r="Q47" s="1"/>
      <c r="R47" s="5">
        <v>1</v>
      </c>
      <c r="S47" s="1"/>
      <c r="T47" s="1" t="s">
        <v>1505</v>
      </c>
      <c r="U47" s="1" t="s">
        <v>1506</v>
      </c>
      <c r="V47" s="49">
        <v>133</v>
      </c>
      <c r="W47" s="49">
        <v>0</v>
      </c>
      <c r="X47" s="2">
        <v>68</v>
      </c>
    </row>
    <row r="48" spans="1:24" ht="15.75" customHeight="1" x14ac:dyDescent="0.15">
      <c r="A48" s="1" t="s">
        <v>150</v>
      </c>
      <c r="B48" s="1" t="s">
        <v>151</v>
      </c>
      <c r="C48" s="4" t="s">
        <v>152</v>
      </c>
      <c r="D48" s="1" t="s">
        <v>14</v>
      </c>
      <c r="E48" s="1"/>
      <c r="F48" s="1" t="s">
        <v>1504</v>
      </c>
      <c r="G48" s="1"/>
      <c r="H48" s="1"/>
      <c r="I48" s="1"/>
      <c r="J48" s="1"/>
      <c r="K48" s="1"/>
      <c r="L48" s="1"/>
      <c r="M48" s="1"/>
      <c r="N48" s="1"/>
      <c r="O48" s="1"/>
      <c r="P48" s="1"/>
      <c r="Q48" s="1"/>
      <c r="R48" s="5">
        <v>1</v>
      </c>
      <c r="S48" s="1"/>
      <c r="T48" s="1" t="s">
        <v>1505</v>
      </c>
      <c r="U48" s="1" t="s">
        <v>1506</v>
      </c>
      <c r="V48" s="49">
        <v>1489</v>
      </c>
      <c r="W48" s="49">
        <v>1</v>
      </c>
      <c r="X48" s="2">
        <v>37</v>
      </c>
    </row>
    <row r="49" spans="1:24" ht="15.75" customHeight="1" x14ac:dyDescent="0.15">
      <c r="A49" s="1" t="s">
        <v>153</v>
      </c>
      <c r="B49" s="1" t="s">
        <v>154</v>
      </c>
      <c r="C49" s="4" t="s">
        <v>155</v>
      </c>
      <c r="D49" s="1" t="s">
        <v>14</v>
      </c>
      <c r="E49" s="1"/>
      <c r="F49" s="1" t="s">
        <v>1504</v>
      </c>
      <c r="G49" s="1"/>
      <c r="H49" s="1"/>
      <c r="I49" s="1"/>
      <c r="J49" s="1"/>
      <c r="K49" s="1"/>
      <c r="L49" s="1"/>
      <c r="M49" s="1"/>
      <c r="N49" s="1"/>
      <c r="O49" s="1"/>
      <c r="P49" s="1"/>
      <c r="Q49" s="1"/>
      <c r="R49" s="5">
        <v>1</v>
      </c>
      <c r="S49" s="1"/>
      <c r="T49" s="1" t="s">
        <v>1509</v>
      </c>
      <c r="U49" s="1" t="s">
        <v>1506</v>
      </c>
      <c r="V49" s="49">
        <v>406</v>
      </c>
      <c r="W49" s="49">
        <v>1</v>
      </c>
      <c r="X49" s="2">
        <v>63</v>
      </c>
    </row>
    <row r="50" spans="1:24" ht="15.75" customHeight="1" x14ac:dyDescent="0.15">
      <c r="A50" s="1" t="s">
        <v>156</v>
      </c>
      <c r="B50" s="1" t="s">
        <v>157</v>
      </c>
      <c r="C50" s="4" t="s">
        <v>158</v>
      </c>
      <c r="D50" s="1" t="s">
        <v>14</v>
      </c>
      <c r="E50" s="1"/>
      <c r="F50" s="1" t="s">
        <v>1504</v>
      </c>
      <c r="G50" s="1"/>
      <c r="H50" s="1"/>
      <c r="I50" s="1"/>
      <c r="J50" s="1"/>
      <c r="K50" s="1"/>
      <c r="L50" s="1"/>
      <c r="M50" s="1"/>
      <c r="N50" s="1"/>
      <c r="O50" s="1"/>
      <c r="P50" s="1"/>
      <c r="Q50" s="1"/>
      <c r="R50" s="5">
        <v>0</v>
      </c>
      <c r="S50" s="1"/>
      <c r="T50" s="1" t="s">
        <v>1505</v>
      </c>
      <c r="U50" s="1" t="s">
        <v>1506</v>
      </c>
      <c r="V50" s="49">
        <v>653</v>
      </c>
      <c r="W50" s="49">
        <v>1</v>
      </c>
      <c r="X50" s="2">
        <v>51</v>
      </c>
    </row>
    <row r="51" spans="1:24" ht="15.75" customHeight="1" x14ac:dyDescent="0.15">
      <c r="A51" s="1" t="s">
        <v>159</v>
      </c>
      <c r="B51" s="1" t="s">
        <v>160</v>
      </c>
      <c r="C51" s="4" t="s">
        <v>161</v>
      </c>
      <c r="D51" s="1" t="s">
        <v>14</v>
      </c>
      <c r="E51" s="1"/>
      <c r="F51" s="1" t="s">
        <v>1504</v>
      </c>
      <c r="G51" s="1"/>
      <c r="H51" s="1"/>
      <c r="I51" s="1"/>
      <c r="J51" s="1"/>
      <c r="K51" s="1"/>
      <c r="L51" s="1"/>
      <c r="M51" s="1"/>
      <c r="N51" s="1"/>
      <c r="O51" s="1"/>
      <c r="P51" s="1"/>
      <c r="Q51" s="1"/>
      <c r="R51" s="5">
        <v>1</v>
      </c>
      <c r="S51" s="1"/>
      <c r="T51" s="1" t="s">
        <v>1505</v>
      </c>
      <c r="U51" s="1" t="s">
        <v>1506</v>
      </c>
      <c r="V51" s="49">
        <v>299</v>
      </c>
      <c r="W51" s="49">
        <v>1</v>
      </c>
      <c r="X51" s="2">
        <v>71</v>
      </c>
    </row>
    <row r="52" spans="1:24" ht="15.75" customHeight="1" x14ac:dyDescent="0.15">
      <c r="A52" s="1" t="s">
        <v>162</v>
      </c>
      <c r="B52" s="1" t="s">
        <v>163</v>
      </c>
      <c r="C52" s="4" t="s">
        <v>164</v>
      </c>
      <c r="D52" s="1" t="s">
        <v>14</v>
      </c>
      <c r="E52" s="1"/>
      <c r="F52" s="1" t="s">
        <v>1504</v>
      </c>
      <c r="G52" s="1"/>
      <c r="H52" s="1"/>
      <c r="I52" s="1"/>
      <c r="J52" s="1"/>
      <c r="K52" s="1"/>
      <c r="L52" s="1"/>
      <c r="M52" s="1"/>
      <c r="N52" s="1"/>
      <c r="O52" s="1"/>
      <c r="P52" s="1"/>
      <c r="Q52" s="1"/>
      <c r="R52" s="5">
        <v>1</v>
      </c>
      <c r="S52" s="1"/>
      <c r="T52" s="1" t="s">
        <v>1505</v>
      </c>
      <c r="U52" s="1" t="s">
        <v>1506</v>
      </c>
      <c r="V52" s="49">
        <v>142</v>
      </c>
      <c r="W52" s="49">
        <v>1</v>
      </c>
      <c r="X52" s="2">
        <v>84</v>
      </c>
    </row>
    <row r="53" spans="1:24" ht="15.75" customHeight="1" x14ac:dyDescent="0.15">
      <c r="A53" s="1" t="s">
        <v>165</v>
      </c>
      <c r="B53" s="1" t="s">
        <v>166</v>
      </c>
      <c r="C53" s="4" t="s">
        <v>167</v>
      </c>
      <c r="D53" s="1" t="s">
        <v>14</v>
      </c>
      <c r="E53" s="1"/>
      <c r="F53" s="1" t="s">
        <v>1504</v>
      </c>
      <c r="G53" s="1"/>
      <c r="H53" s="1"/>
      <c r="I53" s="1"/>
      <c r="J53" s="1"/>
      <c r="K53" s="1"/>
      <c r="L53" s="1"/>
      <c r="M53" s="1"/>
      <c r="N53" s="1"/>
      <c r="O53" s="1"/>
      <c r="P53" s="1"/>
      <c r="Q53" s="1"/>
      <c r="R53" s="5">
        <v>1</v>
      </c>
      <c r="S53" s="1"/>
      <c r="T53" s="1" t="s">
        <v>1509</v>
      </c>
      <c r="U53" s="1" t="s">
        <v>1506</v>
      </c>
      <c r="V53" s="49">
        <v>460</v>
      </c>
      <c r="W53" s="49">
        <v>0</v>
      </c>
      <c r="X53" s="2">
        <v>74</v>
      </c>
    </row>
    <row r="54" spans="1:24" ht="15.75" customHeight="1" x14ac:dyDescent="0.15">
      <c r="A54" s="1" t="s">
        <v>168</v>
      </c>
      <c r="B54" s="1" t="s">
        <v>169</v>
      </c>
      <c r="C54" s="4" t="s">
        <v>170</v>
      </c>
      <c r="D54" s="1" t="s">
        <v>14</v>
      </c>
      <c r="E54" s="1"/>
      <c r="F54" s="1" t="s">
        <v>1507</v>
      </c>
      <c r="G54" s="1"/>
      <c r="H54" s="1"/>
      <c r="I54" s="1"/>
      <c r="J54" s="1"/>
      <c r="K54" s="1"/>
      <c r="L54" s="1"/>
      <c r="M54" s="1"/>
      <c r="N54" s="1"/>
      <c r="O54" s="1"/>
      <c r="P54" s="1"/>
      <c r="Q54" s="1"/>
      <c r="R54" s="5">
        <v>0</v>
      </c>
      <c r="S54" s="1"/>
      <c r="T54" s="1" t="s">
        <v>1505</v>
      </c>
      <c r="U54" s="1" t="s">
        <v>1506</v>
      </c>
      <c r="V54" s="49">
        <v>560</v>
      </c>
      <c r="W54" s="49">
        <v>1</v>
      </c>
      <c r="X54" s="2">
        <v>79</v>
      </c>
    </row>
    <row r="55" spans="1:24" ht="15.75" customHeight="1" x14ac:dyDescent="0.15">
      <c r="A55" s="1" t="s">
        <v>171</v>
      </c>
      <c r="B55" s="1" t="s">
        <v>172</v>
      </c>
      <c r="C55" s="4" t="s">
        <v>173</v>
      </c>
      <c r="D55" s="1" t="s">
        <v>14</v>
      </c>
      <c r="E55" s="1"/>
      <c r="F55" s="1" t="s">
        <v>1504</v>
      </c>
      <c r="G55" s="1"/>
      <c r="H55" s="1"/>
      <c r="I55" s="1"/>
      <c r="J55" s="1"/>
      <c r="K55" s="1"/>
      <c r="L55" s="1"/>
      <c r="M55" s="1"/>
      <c r="N55" s="1"/>
      <c r="O55" s="1"/>
      <c r="P55" s="1"/>
      <c r="Q55" s="1"/>
      <c r="R55" s="5">
        <v>0</v>
      </c>
      <c r="S55" s="1"/>
      <c r="T55" s="1" t="s">
        <v>1509</v>
      </c>
      <c r="U55" s="1" t="s">
        <v>1506</v>
      </c>
      <c r="V55" s="49">
        <v>583</v>
      </c>
      <c r="W55" s="49">
        <v>0</v>
      </c>
      <c r="X55" s="2">
        <v>61</v>
      </c>
    </row>
    <row r="56" spans="1:24" ht="15.75" customHeight="1" x14ac:dyDescent="0.15">
      <c r="A56" s="1" t="s">
        <v>174</v>
      </c>
      <c r="B56" s="1" t="s">
        <v>175</v>
      </c>
      <c r="C56" s="4" t="s">
        <v>176</v>
      </c>
      <c r="D56" s="1" t="s">
        <v>14</v>
      </c>
      <c r="E56" s="1"/>
      <c r="F56" s="1" t="s">
        <v>1504</v>
      </c>
      <c r="G56" s="1"/>
      <c r="H56" s="1"/>
      <c r="I56" s="1"/>
      <c r="J56" s="1"/>
      <c r="K56" s="1"/>
      <c r="L56" s="1"/>
      <c r="M56" s="1"/>
      <c r="N56" s="1"/>
      <c r="O56" s="1"/>
      <c r="P56" s="1"/>
      <c r="Q56" s="1"/>
      <c r="R56" s="5">
        <v>1</v>
      </c>
      <c r="S56" s="1"/>
      <c r="T56" s="1" t="s">
        <v>1509</v>
      </c>
      <c r="U56" s="1" t="s">
        <v>1508</v>
      </c>
      <c r="V56" s="49">
        <v>1759</v>
      </c>
      <c r="W56" s="49">
        <v>0</v>
      </c>
      <c r="X56" s="2">
        <v>41</v>
      </c>
    </row>
    <row r="57" spans="1:24" ht="15.75" customHeight="1" x14ac:dyDescent="0.15">
      <c r="A57" s="1" t="s">
        <v>177</v>
      </c>
      <c r="B57" s="1" t="s">
        <v>178</v>
      </c>
      <c r="C57" s="4" t="s">
        <v>179</v>
      </c>
      <c r="D57" s="1" t="s">
        <v>14</v>
      </c>
      <c r="E57" s="1"/>
      <c r="F57" s="1" t="s">
        <v>1504</v>
      </c>
      <c r="G57" s="1"/>
      <c r="H57" s="1"/>
      <c r="I57" s="1"/>
      <c r="J57" s="1"/>
      <c r="K57" s="1"/>
      <c r="L57" s="1"/>
      <c r="M57" s="1"/>
      <c r="N57" s="1"/>
      <c r="O57" s="1"/>
      <c r="P57" s="1"/>
      <c r="Q57" s="1"/>
      <c r="R57" s="5">
        <v>1</v>
      </c>
      <c r="S57" s="1"/>
      <c r="T57" s="1" t="s">
        <v>1509</v>
      </c>
      <c r="U57" s="1" t="s">
        <v>1506</v>
      </c>
      <c r="V57" s="49">
        <v>17</v>
      </c>
      <c r="W57" s="49">
        <v>0</v>
      </c>
      <c r="X57" s="2">
        <v>39</v>
      </c>
    </row>
    <row r="58" spans="1:24" ht="15.75" customHeight="1" x14ac:dyDescent="0.15">
      <c r="A58" s="1" t="s">
        <v>180</v>
      </c>
      <c r="B58" s="1" t="s">
        <v>181</v>
      </c>
      <c r="C58" s="4" t="s">
        <v>182</v>
      </c>
      <c r="D58" s="1" t="s">
        <v>14</v>
      </c>
      <c r="E58" s="1"/>
      <c r="F58" s="1" t="s">
        <v>1504</v>
      </c>
      <c r="G58" s="1"/>
      <c r="H58" s="1"/>
      <c r="I58" s="1"/>
      <c r="J58" s="1"/>
      <c r="K58" s="1"/>
      <c r="L58" s="1"/>
      <c r="M58" s="1"/>
      <c r="N58" s="1"/>
      <c r="O58" s="1"/>
      <c r="P58" s="1"/>
      <c r="Q58" s="1"/>
      <c r="R58" s="5">
        <v>0</v>
      </c>
      <c r="S58" s="1"/>
      <c r="T58" s="1" t="s">
        <v>1505</v>
      </c>
      <c r="U58" s="1" t="s">
        <v>1506</v>
      </c>
      <c r="V58" s="49">
        <v>52</v>
      </c>
      <c r="W58" s="49">
        <v>0</v>
      </c>
      <c r="X58" s="2">
        <v>63</v>
      </c>
    </row>
    <row r="59" spans="1:24" ht="15.75" customHeight="1" x14ac:dyDescent="0.15">
      <c r="A59" s="1" t="s">
        <v>183</v>
      </c>
      <c r="B59" s="1" t="s">
        <v>184</v>
      </c>
      <c r="C59" s="4" t="s">
        <v>185</v>
      </c>
      <c r="D59" s="1" t="s">
        <v>14</v>
      </c>
      <c r="E59" s="1"/>
      <c r="F59" s="1" t="s">
        <v>1507</v>
      </c>
      <c r="G59" s="1"/>
      <c r="H59" s="1"/>
      <c r="I59" s="1"/>
      <c r="J59" s="1"/>
      <c r="K59" s="1"/>
      <c r="L59" s="1"/>
      <c r="M59" s="1"/>
      <c r="N59" s="1"/>
      <c r="O59" s="1"/>
      <c r="P59" s="1"/>
      <c r="Q59" s="1"/>
      <c r="R59" s="5">
        <v>1</v>
      </c>
      <c r="S59" s="1"/>
      <c r="T59" s="1" t="s">
        <v>1505</v>
      </c>
      <c r="U59" s="1" t="s">
        <v>1506</v>
      </c>
      <c r="V59" s="49">
        <v>266</v>
      </c>
      <c r="W59" s="49">
        <v>0</v>
      </c>
      <c r="X59" s="2">
        <v>72</v>
      </c>
    </row>
    <row r="60" spans="1:24" ht="15.75" customHeight="1" x14ac:dyDescent="0.15">
      <c r="A60" s="1" t="s">
        <v>186</v>
      </c>
      <c r="B60" s="1" t="s">
        <v>187</v>
      </c>
      <c r="C60" s="4" t="s">
        <v>188</v>
      </c>
      <c r="D60" s="1" t="s">
        <v>14</v>
      </c>
      <c r="E60" s="1"/>
      <c r="F60" s="1" t="s">
        <v>1504</v>
      </c>
      <c r="G60" s="1"/>
      <c r="H60" s="1"/>
      <c r="I60" s="1"/>
      <c r="J60" s="1"/>
      <c r="K60" s="1"/>
      <c r="L60" s="1"/>
      <c r="M60" s="1"/>
      <c r="N60" s="1"/>
      <c r="O60" s="1"/>
      <c r="P60" s="1"/>
      <c r="Q60" s="1"/>
      <c r="R60" s="5">
        <v>0</v>
      </c>
      <c r="S60" s="1"/>
      <c r="T60" s="1" t="s">
        <v>1505</v>
      </c>
      <c r="U60" s="1" t="s">
        <v>1506</v>
      </c>
      <c r="V60" s="49">
        <v>705</v>
      </c>
      <c r="W60" s="49">
        <v>1</v>
      </c>
      <c r="X60" s="2">
        <v>50</v>
      </c>
    </row>
    <row r="61" spans="1:24" ht="15.75" customHeight="1" x14ac:dyDescent="0.15">
      <c r="A61" s="1" t="s">
        <v>189</v>
      </c>
      <c r="B61" s="1" t="s">
        <v>190</v>
      </c>
      <c r="C61" s="4" t="s">
        <v>191</v>
      </c>
      <c r="D61" s="1" t="s">
        <v>14</v>
      </c>
      <c r="E61" s="1"/>
      <c r="F61" s="1" t="s">
        <v>1504</v>
      </c>
      <c r="G61" s="1"/>
      <c r="H61" s="1"/>
      <c r="I61" s="1"/>
      <c r="J61" s="1"/>
      <c r="K61" s="1"/>
      <c r="L61" s="1"/>
      <c r="M61" s="1"/>
      <c r="N61" s="1"/>
      <c r="O61" s="1"/>
      <c r="P61" s="1"/>
      <c r="Q61" s="1"/>
      <c r="R61" s="5">
        <v>1</v>
      </c>
      <c r="S61" s="1"/>
      <c r="T61" s="1" t="s">
        <v>1505</v>
      </c>
      <c r="U61" s="1" t="s">
        <v>1506</v>
      </c>
      <c r="V61" s="49">
        <v>465</v>
      </c>
      <c r="W61" s="49">
        <v>1</v>
      </c>
      <c r="X61" s="2">
        <v>34</v>
      </c>
    </row>
    <row r="62" spans="1:24" ht="15.75" customHeight="1" x14ac:dyDescent="0.15">
      <c r="A62" s="1" t="s">
        <v>192</v>
      </c>
      <c r="B62" s="1" t="s">
        <v>193</v>
      </c>
      <c r="C62" s="4" t="s">
        <v>194</v>
      </c>
      <c r="D62" s="1" t="s">
        <v>14</v>
      </c>
      <c r="E62" s="1"/>
      <c r="F62" s="1" t="s">
        <v>1504</v>
      </c>
      <c r="G62" s="1"/>
      <c r="H62" s="1"/>
      <c r="I62" s="1"/>
      <c r="J62" s="1"/>
      <c r="K62" s="1"/>
      <c r="L62" s="1"/>
      <c r="M62" s="1"/>
      <c r="N62" s="1"/>
      <c r="O62" s="1"/>
      <c r="P62" s="1"/>
      <c r="Q62" s="1"/>
      <c r="R62" s="5">
        <v>0</v>
      </c>
      <c r="S62" s="1"/>
      <c r="T62" s="1" t="s">
        <v>1505</v>
      </c>
      <c r="U62" s="1" t="s">
        <v>1506</v>
      </c>
      <c r="V62" s="49">
        <v>167</v>
      </c>
      <c r="W62" s="49">
        <v>1</v>
      </c>
      <c r="X62" s="2">
        <v>64</v>
      </c>
    </row>
    <row r="63" spans="1:24" ht="15.75" customHeight="1" x14ac:dyDescent="0.15">
      <c r="A63" s="1" t="s">
        <v>195</v>
      </c>
      <c r="B63" s="1" t="s">
        <v>196</v>
      </c>
      <c r="C63" s="4" t="s">
        <v>197</v>
      </c>
      <c r="D63" s="1" t="s">
        <v>14</v>
      </c>
      <c r="E63" s="1"/>
      <c r="F63" s="1" t="s">
        <v>1504</v>
      </c>
      <c r="G63" s="1"/>
      <c r="H63" s="1"/>
      <c r="I63" s="1"/>
      <c r="J63" s="1"/>
      <c r="K63" s="1"/>
      <c r="L63" s="1"/>
      <c r="M63" s="1"/>
      <c r="N63" s="1"/>
      <c r="O63" s="1"/>
      <c r="P63" s="1"/>
      <c r="Q63" s="1"/>
      <c r="R63" s="5">
        <v>1</v>
      </c>
      <c r="S63" s="1"/>
      <c r="T63" s="1" t="s">
        <v>1509</v>
      </c>
      <c r="U63" s="1" t="s">
        <v>1506</v>
      </c>
      <c r="V63" s="49">
        <v>1694</v>
      </c>
      <c r="W63" s="49">
        <v>0</v>
      </c>
      <c r="X63" s="2">
        <v>55</v>
      </c>
    </row>
    <row r="64" spans="1:24" ht="15.75" customHeight="1" x14ac:dyDescent="0.15">
      <c r="A64" s="1" t="s">
        <v>198</v>
      </c>
      <c r="B64" s="1" t="s">
        <v>199</v>
      </c>
      <c r="C64" s="4" t="s">
        <v>200</v>
      </c>
      <c r="D64" s="1" t="s">
        <v>14</v>
      </c>
      <c r="E64" s="1"/>
      <c r="F64" s="1" t="s">
        <v>1504</v>
      </c>
      <c r="G64" s="1"/>
      <c r="H64" s="1"/>
      <c r="I64" s="1"/>
      <c r="J64" s="1"/>
      <c r="K64" s="1"/>
      <c r="L64" s="1"/>
      <c r="M64" s="1"/>
      <c r="N64" s="1"/>
      <c r="O64" s="1"/>
      <c r="P64" s="1"/>
      <c r="Q64" s="1"/>
      <c r="R64" s="5">
        <v>0</v>
      </c>
      <c r="S64" s="1"/>
      <c r="T64" s="1" t="s">
        <v>1505</v>
      </c>
      <c r="U64" s="1" t="s">
        <v>1506</v>
      </c>
      <c r="V64" s="49">
        <v>1303</v>
      </c>
      <c r="W64" s="49">
        <v>1</v>
      </c>
      <c r="X64" s="2">
        <v>66</v>
      </c>
    </row>
    <row r="65" spans="1:39" ht="15.75" customHeight="1" x14ac:dyDescent="0.15">
      <c r="A65" s="1" t="s">
        <v>201</v>
      </c>
      <c r="B65" s="1" t="s">
        <v>202</v>
      </c>
      <c r="C65" s="4" t="s">
        <v>203</v>
      </c>
      <c r="D65" s="1" t="s">
        <v>14</v>
      </c>
      <c r="E65" s="1"/>
      <c r="F65" s="1" t="s">
        <v>1504</v>
      </c>
      <c r="G65" s="1"/>
      <c r="H65" s="1"/>
      <c r="I65" s="1"/>
      <c r="J65" s="1"/>
      <c r="K65" s="1"/>
      <c r="L65" s="1"/>
      <c r="M65" s="1"/>
      <c r="N65" s="1"/>
      <c r="O65" s="1"/>
      <c r="P65" s="1"/>
      <c r="Q65" s="1"/>
      <c r="R65" s="5">
        <v>1</v>
      </c>
      <c r="S65" s="1"/>
      <c r="T65" s="1" t="s">
        <v>1505</v>
      </c>
      <c r="U65" s="1" t="s">
        <v>1506</v>
      </c>
      <c r="V65" s="49">
        <v>17</v>
      </c>
      <c r="W65" s="49">
        <v>0</v>
      </c>
      <c r="X65" s="2">
        <v>78</v>
      </c>
    </row>
    <row r="66" spans="1:39" ht="15.75" customHeight="1" x14ac:dyDescent="0.15">
      <c r="A66" s="1" t="s">
        <v>204</v>
      </c>
      <c r="B66" s="1" t="s">
        <v>205</v>
      </c>
      <c r="C66" s="4" t="s">
        <v>206</v>
      </c>
      <c r="D66" s="1" t="s">
        <v>14</v>
      </c>
      <c r="E66" s="1"/>
      <c r="F66" s="1" t="s">
        <v>1507</v>
      </c>
      <c r="G66" s="1"/>
      <c r="H66" s="1"/>
      <c r="I66" s="1"/>
      <c r="J66" s="1"/>
      <c r="K66" s="1"/>
      <c r="L66" s="1"/>
      <c r="M66" s="1"/>
      <c r="N66" s="1"/>
      <c r="O66" s="1"/>
      <c r="P66" s="1"/>
      <c r="Q66" s="1"/>
      <c r="R66" s="5">
        <v>0</v>
      </c>
      <c r="S66" s="1"/>
      <c r="T66" s="1" t="s">
        <v>1509</v>
      </c>
      <c r="U66" s="1" t="s">
        <v>1506</v>
      </c>
      <c r="V66" s="49">
        <v>162</v>
      </c>
      <c r="W66" s="49">
        <v>1</v>
      </c>
      <c r="X66" s="2">
        <v>65</v>
      </c>
    </row>
    <row r="67" spans="1:39" ht="15.75" customHeight="1" x14ac:dyDescent="0.15">
      <c r="A67" s="1" t="s">
        <v>207</v>
      </c>
      <c r="B67" s="1" t="s">
        <v>208</v>
      </c>
      <c r="C67" s="1" t="s">
        <v>209</v>
      </c>
      <c r="D67" s="1" t="s">
        <v>210</v>
      </c>
      <c r="E67" s="1">
        <v>63</v>
      </c>
      <c r="F67" s="5" t="s">
        <v>1507</v>
      </c>
      <c r="G67" s="1"/>
      <c r="H67" s="1"/>
      <c r="I67" s="1">
        <v>23289</v>
      </c>
      <c r="J67" s="1">
        <v>-23289</v>
      </c>
      <c r="K67" s="1">
        <v>1561</v>
      </c>
      <c r="L67" s="1">
        <v>1940</v>
      </c>
      <c r="M67" s="1">
        <v>2007</v>
      </c>
      <c r="N67" s="1">
        <v>1561</v>
      </c>
      <c r="O67" s="1"/>
      <c r="P67" s="1"/>
      <c r="Q67" s="1"/>
      <c r="R67" s="1">
        <v>1</v>
      </c>
      <c r="S67" s="1"/>
      <c r="T67" s="1"/>
      <c r="U67" s="50"/>
      <c r="V67" s="49"/>
      <c r="W67" s="51" t="s">
        <v>1511</v>
      </c>
    </row>
    <row r="68" spans="1:39" ht="15" x14ac:dyDescent="0.2">
      <c r="A68" s="47" t="s">
        <v>211</v>
      </c>
      <c r="B68" s="1" t="s">
        <v>212</v>
      </c>
      <c r="C68" s="1" t="s">
        <v>213</v>
      </c>
      <c r="D68" s="1" t="s">
        <v>210</v>
      </c>
      <c r="E68" s="1">
        <v>42</v>
      </c>
      <c r="F68" s="1" t="s">
        <v>1504</v>
      </c>
      <c r="G68" s="1"/>
      <c r="H68" s="1"/>
      <c r="I68" s="1">
        <v>15660</v>
      </c>
      <c r="J68" s="1">
        <v>-15660</v>
      </c>
      <c r="K68" s="1">
        <v>822</v>
      </c>
      <c r="L68" s="1">
        <v>1962</v>
      </c>
      <c r="M68" s="1">
        <v>2006</v>
      </c>
      <c r="N68" s="1">
        <v>822</v>
      </c>
      <c r="O68" s="1"/>
      <c r="P68" s="1"/>
      <c r="Q68" s="1"/>
      <c r="R68" s="1">
        <v>0</v>
      </c>
      <c r="S68" s="1"/>
      <c r="T68" s="1"/>
      <c r="U68" s="50"/>
      <c r="V68" s="49"/>
      <c r="W68" s="51" t="s">
        <v>1511</v>
      </c>
    </row>
    <row r="69" spans="1:39" ht="15.75" customHeight="1" x14ac:dyDescent="0.15">
      <c r="A69" s="1" t="s">
        <v>214</v>
      </c>
      <c r="B69" s="1" t="s">
        <v>215</v>
      </c>
      <c r="C69" s="1" t="s">
        <v>216</v>
      </c>
      <c r="D69" s="1" t="s">
        <v>210</v>
      </c>
      <c r="E69" s="1">
        <v>56</v>
      </c>
      <c r="F69" s="1" t="s">
        <v>1504</v>
      </c>
      <c r="G69" s="1"/>
      <c r="H69" s="1"/>
      <c r="I69" s="1">
        <v>20586</v>
      </c>
      <c r="J69" s="1">
        <v>-20586</v>
      </c>
      <c r="K69" s="1">
        <v>372</v>
      </c>
      <c r="L69" s="1">
        <v>1950</v>
      </c>
      <c r="M69" s="1">
        <v>2007</v>
      </c>
      <c r="N69" s="1">
        <v>346</v>
      </c>
      <c r="O69" s="1"/>
      <c r="P69" s="1"/>
      <c r="Q69" s="1"/>
      <c r="R69" s="1">
        <v>0</v>
      </c>
      <c r="S69" s="1"/>
      <c r="T69" s="1"/>
      <c r="U69" s="50"/>
      <c r="V69" s="49"/>
      <c r="W69" s="51" t="s">
        <v>1511</v>
      </c>
    </row>
    <row r="70" spans="1:39" ht="15.75" customHeight="1" x14ac:dyDescent="0.15">
      <c r="A70" s="1" t="s">
        <v>217</v>
      </c>
      <c r="B70" s="1" t="s">
        <v>218</v>
      </c>
      <c r="C70" s="1" t="s">
        <v>219</v>
      </c>
      <c r="D70" s="1" t="s">
        <v>210</v>
      </c>
      <c r="E70" s="1">
        <v>61</v>
      </c>
      <c r="F70" s="1" t="s">
        <v>1504</v>
      </c>
      <c r="G70" s="1"/>
      <c r="H70" s="1"/>
      <c r="I70" s="1">
        <v>22537</v>
      </c>
      <c r="J70" s="1">
        <v>-22537</v>
      </c>
      <c r="K70" s="1">
        <v>466</v>
      </c>
      <c r="L70" s="1">
        <v>1947</v>
      </c>
      <c r="M70" s="1" t="s">
        <v>1512</v>
      </c>
      <c r="N70" s="1">
        <v>240</v>
      </c>
      <c r="O70" s="1"/>
      <c r="P70" s="1"/>
      <c r="Q70" s="1"/>
      <c r="R70" s="1">
        <v>1</v>
      </c>
      <c r="S70" s="1"/>
      <c r="T70" s="1"/>
      <c r="U70" s="50"/>
      <c r="V70" s="49"/>
      <c r="W70" s="51" t="s">
        <v>1511</v>
      </c>
    </row>
    <row r="71" spans="1:39" ht="15.75" customHeight="1" x14ac:dyDescent="0.15">
      <c r="A71" s="1" t="s">
        <v>220</v>
      </c>
      <c r="B71" s="1" t="s">
        <v>221</v>
      </c>
      <c r="C71" s="1" t="s">
        <v>222</v>
      </c>
      <c r="D71" s="1" t="s">
        <v>210</v>
      </c>
      <c r="E71" s="1">
        <v>74</v>
      </c>
      <c r="F71" s="1" t="s">
        <v>1507</v>
      </c>
      <c r="G71" s="1"/>
      <c r="H71" s="1"/>
      <c r="I71" s="1">
        <v>27200</v>
      </c>
      <c r="J71" s="1">
        <v>-27200</v>
      </c>
      <c r="K71" s="1">
        <v>213</v>
      </c>
      <c r="L71" s="1">
        <v>1935</v>
      </c>
      <c r="M71" s="1">
        <v>2009</v>
      </c>
      <c r="N71" s="1">
        <v>213</v>
      </c>
      <c r="O71" s="1"/>
      <c r="P71" s="1"/>
      <c r="Q71" s="1"/>
      <c r="R71" s="1">
        <v>1</v>
      </c>
      <c r="S71" s="1"/>
      <c r="T71" s="1"/>
      <c r="U71" s="50"/>
      <c r="V71" s="49"/>
      <c r="W71" s="51" t="s">
        <v>1511</v>
      </c>
    </row>
    <row r="72" spans="1:39" ht="15.75" customHeight="1" x14ac:dyDescent="0.15">
      <c r="A72" s="1" t="s">
        <v>223</v>
      </c>
      <c r="B72" s="1" t="s">
        <v>224</v>
      </c>
      <c r="C72" s="1" t="s">
        <v>225</v>
      </c>
      <c r="D72" s="1" t="s">
        <v>210</v>
      </c>
      <c r="E72" s="1">
        <v>57</v>
      </c>
      <c r="F72" s="5" t="s">
        <v>1504</v>
      </c>
      <c r="G72" s="1"/>
      <c r="H72" s="1"/>
      <c r="I72" s="1">
        <v>20931</v>
      </c>
      <c r="J72" s="1">
        <v>-20931</v>
      </c>
      <c r="K72" s="1">
        <v>346</v>
      </c>
      <c r="L72" s="1">
        <v>1950</v>
      </c>
      <c r="M72" s="1">
        <v>2007</v>
      </c>
      <c r="N72" s="1">
        <v>346</v>
      </c>
      <c r="O72" s="1"/>
      <c r="P72" s="1"/>
      <c r="Q72" s="1"/>
      <c r="R72" s="1">
        <v>1</v>
      </c>
      <c r="S72" s="1"/>
      <c r="T72" s="1"/>
      <c r="U72" s="50"/>
      <c r="V72" s="49"/>
      <c r="W72" s="51" t="s">
        <v>1511</v>
      </c>
    </row>
    <row r="73" spans="1:39" ht="15.75" customHeight="1" x14ac:dyDescent="0.15">
      <c r="A73" s="1" t="s">
        <v>226</v>
      </c>
      <c r="B73" s="1" t="s">
        <v>227</v>
      </c>
      <c r="C73" s="1" t="s">
        <v>228</v>
      </c>
      <c r="D73" s="1" t="s">
        <v>210</v>
      </c>
      <c r="E73" s="1">
        <v>78</v>
      </c>
      <c r="F73" s="5" t="s">
        <v>1504</v>
      </c>
      <c r="G73" s="1"/>
      <c r="H73" s="1"/>
      <c r="I73" s="1">
        <v>28742</v>
      </c>
      <c r="J73" s="1">
        <v>-28742</v>
      </c>
      <c r="K73" s="1">
        <v>82</v>
      </c>
      <c r="L73" s="1">
        <v>1932</v>
      </c>
      <c r="M73" s="1">
        <v>2010</v>
      </c>
      <c r="N73" s="1">
        <v>82</v>
      </c>
      <c r="O73" s="1"/>
      <c r="P73" s="1"/>
      <c r="Q73" s="1"/>
      <c r="R73" s="1">
        <v>0</v>
      </c>
      <c r="S73" s="1"/>
      <c r="T73" s="1"/>
      <c r="U73" s="50"/>
      <c r="V73" s="49"/>
      <c r="W73" s="51" t="s">
        <v>1511</v>
      </c>
    </row>
    <row r="74" spans="1:39" ht="15.75" customHeight="1" x14ac:dyDescent="0.15">
      <c r="A74" s="1" t="s">
        <v>229</v>
      </c>
      <c r="B74" s="1" t="s">
        <v>230</v>
      </c>
      <c r="C74" s="1" t="s">
        <v>231</v>
      </c>
      <c r="D74" s="1" t="s">
        <v>210</v>
      </c>
      <c r="E74" s="1">
        <v>63</v>
      </c>
      <c r="F74" s="5" t="s">
        <v>1504</v>
      </c>
      <c r="G74" s="1"/>
      <c r="H74" s="1"/>
      <c r="I74" s="1">
        <v>23205</v>
      </c>
      <c r="J74" s="1">
        <v>-23205</v>
      </c>
      <c r="K74" s="1">
        <v>634</v>
      </c>
      <c r="L74" s="1">
        <v>1942</v>
      </c>
      <c r="M74" s="1">
        <v>2006</v>
      </c>
      <c r="N74" s="1">
        <v>634</v>
      </c>
      <c r="O74" s="1"/>
      <c r="P74" s="1"/>
      <c r="Q74" s="1"/>
      <c r="R74" s="1">
        <v>1</v>
      </c>
      <c r="S74" s="1"/>
      <c r="T74" s="1"/>
      <c r="U74" s="50"/>
      <c r="V74" s="49"/>
      <c r="W74" s="51" t="s">
        <v>1511</v>
      </c>
    </row>
    <row r="75" spans="1:39" ht="15.75" customHeight="1" x14ac:dyDescent="0.15">
      <c r="A75" s="1" t="s">
        <v>232</v>
      </c>
      <c r="B75" s="1" t="s">
        <v>233</v>
      </c>
      <c r="C75" s="1" t="s">
        <v>234</v>
      </c>
      <c r="D75" s="1" t="s">
        <v>210</v>
      </c>
      <c r="E75" s="1">
        <v>75</v>
      </c>
      <c r="F75" s="1" t="s">
        <v>1507</v>
      </c>
      <c r="G75" s="1"/>
      <c r="H75" s="1"/>
      <c r="I75" s="1">
        <v>27726</v>
      </c>
      <c r="J75" s="1">
        <v>-27726</v>
      </c>
      <c r="K75" s="1">
        <v>121</v>
      </c>
      <c r="L75" s="1">
        <v>1932</v>
      </c>
      <c r="M75" s="1">
        <v>2007</v>
      </c>
      <c r="N75" s="1">
        <v>121</v>
      </c>
      <c r="O75" s="1"/>
      <c r="P75" s="1"/>
      <c r="Q75" s="1"/>
      <c r="R75" s="1">
        <v>0</v>
      </c>
      <c r="S75" s="1"/>
      <c r="T75" s="1"/>
      <c r="U75" s="50"/>
      <c r="V75" s="49"/>
      <c r="W75" s="51" t="s">
        <v>1511</v>
      </c>
    </row>
    <row r="76" spans="1:39" ht="15.75" customHeight="1" x14ac:dyDescent="0.15">
      <c r="A76" s="1" t="s">
        <v>235</v>
      </c>
      <c r="B76" s="1" t="s">
        <v>236</v>
      </c>
      <c r="C76" s="1" t="s">
        <v>237</v>
      </c>
      <c r="D76" s="1" t="s">
        <v>210</v>
      </c>
      <c r="E76" s="1">
        <v>51</v>
      </c>
      <c r="F76" s="5" t="s">
        <v>1504</v>
      </c>
      <c r="G76" s="1"/>
      <c r="H76" s="1"/>
      <c r="I76" s="1">
        <v>18891</v>
      </c>
      <c r="J76" s="1">
        <v>-18891</v>
      </c>
      <c r="K76" s="1">
        <v>5</v>
      </c>
      <c r="L76" s="1">
        <v>1958</v>
      </c>
      <c r="M76" s="1">
        <v>2009</v>
      </c>
      <c r="N76" s="1">
        <v>5</v>
      </c>
      <c r="O76" s="1"/>
      <c r="P76" s="1"/>
      <c r="Q76" s="1"/>
      <c r="R76" s="1">
        <v>0</v>
      </c>
      <c r="S76" s="1"/>
      <c r="T76" s="1"/>
      <c r="U76" s="50"/>
      <c r="V76" s="49"/>
      <c r="W76" s="51" t="s">
        <v>1511</v>
      </c>
    </row>
    <row r="77" spans="1:39" ht="15" x14ac:dyDescent="0.2">
      <c r="A77" s="47" t="s">
        <v>238</v>
      </c>
      <c r="B77" s="1" t="s">
        <v>239</v>
      </c>
      <c r="C77" s="1" t="s">
        <v>240</v>
      </c>
      <c r="D77" s="1" t="s">
        <v>210</v>
      </c>
      <c r="E77" s="1">
        <v>56</v>
      </c>
      <c r="F77" s="1" t="s">
        <v>1507</v>
      </c>
      <c r="G77" s="1"/>
      <c r="H77" s="1"/>
      <c r="I77" s="1">
        <v>20516</v>
      </c>
      <c r="J77" s="1">
        <v>-20516</v>
      </c>
      <c r="K77" s="1">
        <v>558</v>
      </c>
      <c r="L77" s="1">
        <v>1946</v>
      </c>
      <c r="M77" s="1">
        <v>2003</v>
      </c>
      <c r="N77" s="1">
        <v>558</v>
      </c>
      <c r="O77" s="1"/>
      <c r="P77" s="1"/>
      <c r="Q77" s="1"/>
      <c r="R77" s="1">
        <v>0</v>
      </c>
      <c r="S77" s="1"/>
      <c r="T77" s="1"/>
      <c r="U77" s="50"/>
      <c r="V77" s="49"/>
      <c r="W77" s="51" t="s">
        <v>1511</v>
      </c>
    </row>
    <row r="78" spans="1:39" ht="15.75" customHeight="1" x14ac:dyDescent="0.15">
      <c r="A78" s="52" t="s">
        <v>1513</v>
      </c>
      <c r="B78" s="43" t="s">
        <v>1514</v>
      </c>
      <c r="C78" s="43" t="s">
        <v>1515</v>
      </c>
      <c r="D78" s="43" t="s">
        <v>1516</v>
      </c>
      <c r="E78" s="43">
        <v>57</v>
      </c>
      <c r="F78" s="43"/>
      <c r="G78" s="43"/>
      <c r="H78" s="43"/>
      <c r="I78" s="43"/>
      <c r="J78" s="43"/>
      <c r="K78" s="43"/>
      <c r="L78" s="43"/>
      <c r="M78" s="43"/>
      <c r="N78" s="43"/>
      <c r="O78" s="43"/>
      <c r="P78" s="43"/>
      <c r="Q78" s="43"/>
      <c r="R78" s="43">
        <v>1</v>
      </c>
      <c r="S78" s="43">
        <v>1293</v>
      </c>
      <c r="T78" s="43" t="s">
        <v>1509</v>
      </c>
      <c r="U78" s="43"/>
      <c r="V78" s="49"/>
      <c r="W78" s="49"/>
      <c r="X78" s="53"/>
      <c r="Y78" s="53"/>
      <c r="Z78" s="53"/>
      <c r="AA78" s="53"/>
      <c r="AB78" s="53"/>
      <c r="AC78" s="53"/>
      <c r="AD78" s="53"/>
      <c r="AE78" s="53"/>
      <c r="AF78" s="53"/>
      <c r="AG78" s="53"/>
      <c r="AH78" s="53"/>
      <c r="AI78" s="53"/>
      <c r="AJ78" s="53"/>
      <c r="AK78" s="53"/>
      <c r="AL78" s="53"/>
      <c r="AM78" s="53"/>
    </row>
    <row r="79" spans="1:39" ht="15.75" customHeight="1" x14ac:dyDescent="0.15">
      <c r="A79" s="1" t="s">
        <v>241</v>
      </c>
      <c r="B79" s="1" t="s">
        <v>242</v>
      </c>
      <c r="C79" s="1" t="s">
        <v>243</v>
      </c>
      <c r="D79" s="1" t="s">
        <v>210</v>
      </c>
      <c r="E79" s="1">
        <v>70</v>
      </c>
      <c r="F79" s="5" t="s">
        <v>1504</v>
      </c>
      <c r="G79" s="1"/>
      <c r="H79" s="1"/>
      <c r="I79" s="1">
        <v>25684</v>
      </c>
      <c r="J79" s="1">
        <v>-25684</v>
      </c>
      <c r="K79" s="1">
        <v>232</v>
      </c>
      <c r="L79" s="1">
        <v>1937</v>
      </c>
      <c r="M79" s="1">
        <v>2007</v>
      </c>
      <c r="N79" s="1" t="s">
        <v>1512</v>
      </c>
      <c r="O79" s="1"/>
      <c r="P79" s="1"/>
      <c r="Q79" s="1"/>
      <c r="R79" s="1">
        <v>0</v>
      </c>
      <c r="S79" s="1"/>
      <c r="T79" s="1"/>
      <c r="U79" s="50"/>
      <c r="V79" s="49"/>
      <c r="W79" s="51" t="s">
        <v>1511</v>
      </c>
    </row>
    <row r="80" spans="1:39" ht="15.75" customHeight="1" x14ac:dyDescent="0.15">
      <c r="A80" s="1" t="s">
        <v>244</v>
      </c>
      <c r="B80" s="1" t="s">
        <v>245</v>
      </c>
      <c r="C80" s="1" t="s">
        <v>246</v>
      </c>
      <c r="D80" s="1" t="s">
        <v>210</v>
      </c>
      <c r="E80" s="1">
        <v>69</v>
      </c>
      <c r="F80" s="1" t="s">
        <v>1507</v>
      </c>
      <c r="G80" s="1"/>
      <c r="H80" s="1"/>
      <c r="I80" s="1">
        <v>25282</v>
      </c>
      <c r="J80" s="1">
        <v>-25282</v>
      </c>
      <c r="K80" s="1">
        <v>99</v>
      </c>
      <c r="L80" s="1">
        <v>1940</v>
      </c>
      <c r="M80" s="1">
        <v>2009</v>
      </c>
      <c r="N80" s="1">
        <v>99</v>
      </c>
      <c r="O80" s="1"/>
      <c r="P80" s="1"/>
      <c r="Q80" s="1"/>
      <c r="R80" s="1">
        <v>1</v>
      </c>
      <c r="S80" s="1"/>
      <c r="T80" s="1"/>
      <c r="U80" s="50"/>
      <c r="V80" s="49"/>
      <c r="W80" s="51" t="s">
        <v>1511</v>
      </c>
    </row>
    <row r="81" spans="1:39" ht="15.75" customHeight="1" x14ac:dyDescent="0.15">
      <c r="A81" s="1" t="s">
        <v>247</v>
      </c>
      <c r="B81" s="1" t="s">
        <v>248</v>
      </c>
      <c r="C81" s="1" t="s">
        <v>249</v>
      </c>
      <c r="D81" s="1" t="s">
        <v>210</v>
      </c>
      <c r="E81" s="1">
        <v>53</v>
      </c>
      <c r="F81" s="1" t="s">
        <v>1507</v>
      </c>
      <c r="G81" s="1"/>
      <c r="H81" s="1"/>
      <c r="I81" s="1">
        <v>19661</v>
      </c>
      <c r="J81" s="1">
        <v>-19661</v>
      </c>
      <c r="K81" s="1">
        <v>71</v>
      </c>
      <c r="L81" s="1">
        <v>1949</v>
      </c>
      <c r="M81" s="1">
        <v>2002</v>
      </c>
      <c r="N81" s="1">
        <v>71</v>
      </c>
      <c r="O81" s="1"/>
      <c r="P81" s="1"/>
      <c r="Q81" s="1"/>
      <c r="R81" s="1">
        <v>1</v>
      </c>
      <c r="S81" s="1"/>
      <c r="T81" s="1"/>
      <c r="U81" s="50"/>
      <c r="V81" s="49"/>
      <c r="W81" s="51" t="s">
        <v>1511</v>
      </c>
    </row>
    <row r="82" spans="1:39" ht="15.75" customHeight="1" x14ac:dyDescent="0.15">
      <c r="A82" s="1" t="s">
        <v>250</v>
      </c>
      <c r="B82" s="1" t="s">
        <v>251</v>
      </c>
      <c r="C82" s="1" t="s">
        <v>252</v>
      </c>
      <c r="D82" s="1" t="s">
        <v>210</v>
      </c>
      <c r="E82" s="1">
        <v>84</v>
      </c>
      <c r="F82" s="1" t="s">
        <v>1507</v>
      </c>
      <c r="G82" s="1"/>
      <c r="H82" s="1"/>
      <c r="I82" s="1">
        <v>30968</v>
      </c>
      <c r="J82" s="1">
        <v>-30968</v>
      </c>
      <c r="K82" s="1">
        <v>187</v>
      </c>
      <c r="L82" s="1">
        <v>1922</v>
      </c>
      <c r="M82" s="1">
        <v>2006</v>
      </c>
      <c r="N82" s="1">
        <v>8</v>
      </c>
      <c r="O82" s="1"/>
      <c r="P82" s="1"/>
      <c r="Q82" s="1"/>
      <c r="R82" s="1">
        <v>0</v>
      </c>
      <c r="S82" s="1"/>
      <c r="T82" s="1"/>
      <c r="U82" s="50"/>
      <c r="V82" s="49"/>
      <c r="W82" s="51" t="s">
        <v>1511</v>
      </c>
    </row>
    <row r="83" spans="1:39" ht="15.75" customHeight="1" x14ac:dyDescent="0.15">
      <c r="A83" s="1" t="s">
        <v>253</v>
      </c>
      <c r="B83" s="1" t="s">
        <v>254</v>
      </c>
      <c r="C83" s="1" t="s">
        <v>255</v>
      </c>
      <c r="D83" s="1" t="s">
        <v>210</v>
      </c>
      <c r="E83" s="1">
        <v>64</v>
      </c>
      <c r="F83" s="5" t="s">
        <v>1507</v>
      </c>
      <c r="G83" s="1"/>
      <c r="H83" s="1"/>
      <c r="I83" s="1">
        <v>23674</v>
      </c>
      <c r="J83" s="1">
        <v>-23674</v>
      </c>
      <c r="K83" s="1">
        <v>254</v>
      </c>
      <c r="L83" s="1">
        <v>1944</v>
      </c>
      <c r="M83" s="1">
        <v>2008</v>
      </c>
      <c r="N83" s="1">
        <v>254</v>
      </c>
      <c r="O83" s="1"/>
      <c r="P83" s="1"/>
      <c r="Q83" s="1"/>
      <c r="R83" s="1">
        <v>0</v>
      </c>
      <c r="S83" s="1"/>
      <c r="T83" s="1"/>
      <c r="U83" s="50"/>
      <c r="V83" s="49"/>
      <c r="W83" s="51" t="s">
        <v>1511</v>
      </c>
    </row>
    <row r="84" spans="1:39" ht="15.75" customHeight="1" x14ac:dyDescent="0.15">
      <c r="A84" s="1" t="s">
        <v>256</v>
      </c>
      <c r="B84" s="1" t="s">
        <v>257</v>
      </c>
      <c r="C84" s="1" t="s">
        <v>258</v>
      </c>
      <c r="D84" s="1" t="s">
        <v>210</v>
      </c>
      <c r="E84" s="1">
        <v>78</v>
      </c>
      <c r="F84" s="1" t="s">
        <v>1504</v>
      </c>
      <c r="G84" s="1"/>
      <c r="H84" s="1"/>
      <c r="I84" s="1">
        <v>28759</v>
      </c>
      <c r="J84" s="1">
        <v>-28759</v>
      </c>
      <c r="K84" s="1">
        <v>448</v>
      </c>
      <c r="L84" s="1">
        <v>1927</v>
      </c>
      <c r="M84" s="1">
        <v>2006</v>
      </c>
      <c r="N84" s="1">
        <v>448</v>
      </c>
      <c r="O84" s="1"/>
      <c r="P84" s="1"/>
      <c r="Q84" s="1"/>
      <c r="R84" s="1">
        <v>0</v>
      </c>
      <c r="S84" s="1"/>
      <c r="T84" s="1"/>
      <c r="U84" s="50"/>
      <c r="V84" s="49"/>
      <c r="W84" s="51" t="s">
        <v>1511</v>
      </c>
    </row>
    <row r="85" spans="1:39" ht="15.75" customHeight="1" x14ac:dyDescent="0.15">
      <c r="A85" s="1" t="s">
        <v>259</v>
      </c>
      <c r="B85" s="1" t="s">
        <v>260</v>
      </c>
      <c r="C85" s="1" t="s">
        <v>261</v>
      </c>
      <c r="D85" s="1" t="s">
        <v>210</v>
      </c>
      <c r="E85" s="1">
        <v>61</v>
      </c>
      <c r="F85" s="1" t="s">
        <v>1504</v>
      </c>
      <c r="G85" s="1"/>
      <c r="H85" s="1"/>
      <c r="I85" s="1">
        <v>22326</v>
      </c>
      <c r="J85" s="1">
        <v>-22326</v>
      </c>
      <c r="K85" s="1">
        <v>434</v>
      </c>
      <c r="L85" s="1">
        <v>1947</v>
      </c>
      <c r="M85" s="1">
        <v>2009</v>
      </c>
      <c r="N85" s="1">
        <v>434</v>
      </c>
      <c r="O85" s="1"/>
      <c r="P85" s="1"/>
      <c r="Q85" s="1"/>
      <c r="R85" s="1">
        <v>0</v>
      </c>
      <c r="S85" s="1"/>
      <c r="T85" s="1"/>
      <c r="U85" s="50"/>
      <c r="V85" s="49"/>
      <c r="W85" s="51" t="s">
        <v>1511</v>
      </c>
    </row>
    <row r="86" spans="1:39" ht="15.75" customHeight="1" x14ac:dyDescent="0.15">
      <c r="A86" s="1" t="s">
        <v>262</v>
      </c>
      <c r="B86" s="1" t="s">
        <v>263</v>
      </c>
      <c r="C86" s="1" t="s">
        <v>264</v>
      </c>
      <c r="D86" s="1" t="s">
        <v>210</v>
      </c>
      <c r="E86" s="1">
        <v>75</v>
      </c>
      <c r="F86" s="1" t="s">
        <v>1507</v>
      </c>
      <c r="G86" s="1"/>
      <c r="H86" s="1"/>
      <c r="I86" s="1">
        <v>27730</v>
      </c>
      <c r="J86" s="1">
        <v>-27730</v>
      </c>
      <c r="K86" s="1">
        <v>476</v>
      </c>
      <c r="L86" s="1">
        <v>1931</v>
      </c>
      <c r="M86" s="1">
        <v>2007</v>
      </c>
      <c r="N86" s="1">
        <v>287</v>
      </c>
      <c r="O86" s="1"/>
      <c r="P86" s="1"/>
      <c r="Q86" s="1"/>
      <c r="R86" s="1">
        <v>1</v>
      </c>
      <c r="S86" s="1"/>
      <c r="T86" s="1"/>
      <c r="U86" s="50"/>
      <c r="V86" s="49"/>
      <c r="W86" s="51" t="s">
        <v>1511</v>
      </c>
    </row>
    <row r="87" spans="1:39" ht="15.75" customHeight="1" x14ac:dyDescent="0.15">
      <c r="A87" s="1" t="s">
        <v>265</v>
      </c>
      <c r="B87" s="1" t="s">
        <v>266</v>
      </c>
      <c r="C87" s="1" t="s">
        <v>267</v>
      </c>
      <c r="D87" s="1" t="s">
        <v>210</v>
      </c>
      <c r="E87" s="1">
        <v>56</v>
      </c>
      <c r="F87" s="5" t="s">
        <v>1504</v>
      </c>
      <c r="G87" s="1"/>
      <c r="H87" s="1"/>
      <c r="I87" s="1">
        <v>20466</v>
      </c>
      <c r="J87" s="1">
        <v>-20466</v>
      </c>
      <c r="K87" s="1">
        <v>428</v>
      </c>
      <c r="L87" s="1">
        <v>1954</v>
      </c>
      <c r="M87" s="1" t="s">
        <v>1512</v>
      </c>
      <c r="N87" s="1">
        <v>164</v>
      </c>
      <c r="O87" s="1"/>
      <c r="P87" s="1"/>
      <c r="Q87" s="1"/>
      <c r="R87" s="1">
        <v>0</v>
      </c>
      <c r="S87" s="1"/>
      <c r="T87" s="1"/>
      <c r="U87" s="50"/>
      <c r="V87" s="49"/>
      <c r="W87" s="51" t="s">
        <v>1511</v>
      </c>
    </row>
    <row r="88" spans="1:39" ht="15.75" customHeight="1" x14ac:dyDescent="0.15">
      <c r="A88" s="1" t="s">
        <v>268</v>
      </c>
      <c r="B88" s="1" t="s">
        <v>269</v>
      </c>
      <c r="C88" s="1" t="s">
        <v>270</v>
      </c>
      <c r="D88" s="1" t="s">
        <v>210</v>
      </c>
      <c r="E88" s="1">
        <v>81</v>
      </c>
      <c r="F88" s="1" t="s">
        <v>1504</v>
      </c>
      <c r="G88" s="1"/>
      <c r="H88" s="1"/>
      <c r="I88" s="1">
        <v>29642</v>
      </c>
      <c r="J88" s="1">
        <v>-29642</v>
      </c>
      <c r="K88" s="1">
        <v>67</v>
      </c>
      <c r="L88" s="1">
        <v>1921</v>
      </c>
      <c r="M88" s="1">
        <v>2002</v>
      </c>
      <c r="N88" s="1" t="s">
        <v>1512</v>
      </c>
      <c r="O88" s="1"/>
      <c r="P88" s="1"/>
      <c r="Q88" s="1"/>
      <c r="R88" s="1">
        <v>0</v>
      </c>
      <c r="S88" s="1"/>
      <c r="T88" s="1"/>
      <c r="U88" s="50"/>
      <c r="V88" s="49"/>
      <c r="W88" s="51" t="s">
        <v>1511</v>
      </c>
    </row>
    <row r="89" spans="1:39" ht="15.75" customHeight="1" x14ac:dyDescent="0.15">
      <c r="A89" s="43" t="s">
        <v>1487</v>
      </c>
      <c r="B89" s="43" t="s">
        <v>1517</v>
      </c>
      <c r="C89" s="43" t="s">
        <v>1518</v>
      </c>
      <c r="D89" s="43" t="s">
        <v>210</v>
      </c>
      <c r="E89" s="43">
        <v>67</v>
      </c>
      <c r="F89" s="43" t="s">
        <v>1504</v>
      </c>
      <c r="G89" s="43"/>
      <c r="H89" s="43"/>
      <c r="I89" s="43">
        <v>24477</v>
      </c>
      <c r="J89" s="43">
        <v>-24477</v>
      </c>
      <c r="K89" s="43" t="s">
        <v>1512</v>
      </c>
      <c r="L89" s="43">
        <v>1943</v>
      </c>
      <c r="M89" s="43" t="s">
        <v>1512</v>
      </c>
      <c r="N89" s="43">
        <v>268</v>
      </c>
      <c r="O89" s="43"/>
      <c r="P89" s="43"/>
      <c r="Q89" s="43"/>
      <c r="R89" s="43">
        <v>0</v>
      </c>
      <c r="S89" s="43"/>
      <c r="T89" s="43"/>
      <c r="U89" s="43"/>
      <c r="V89" s="49"/>
      <c r="W89" s="51" t="s">
        <v>1519</v>
      </c>
      <c r="X89" s="53"/>
      <c r="Y89" s="53"/>
      <c r="Z89" s="53"/>
      <c r="AA89" s="53"/>
      <c r="AB89" s="53"/>
      <c r="AC89" s="53"/>
      <c r="AD89" s="53"/>
      <c r="AE89" s="53"/>
      <c r="AF89" s="53"/>
      <c r="AG89" s="53"/>
      <c r="AH89" s="53"/>
      <c r="AI89" s="53"/>
      <c r="AJ89" s="53"/>
      <c r="AK89" s="53"/>
      <c r="AL89" s="53"/>
      <c r="AM89" s="53"/>
    </row>
    <row r="90" spans="1:39" ht="15.75" customHeight="1" x14ac:dyDescent="0.15">
      <c r="A90" s="43" t="s">
        <v>1488</v>
      </c>
      <c r="B90" s="43" t="s">
        <v>1520</v>
      </c>
      <c r="C90" s="43" t="s">
        <v>1521</v>
      </c>
      <c r="D90" s="43" t="s">
        <v>210</v>
      </c>
      <c r="E90" s="43">
        <v>23</v>
      </c>
      <c r="F90" s="43" t="s">
        <v>1504</v>
      </c>
      <c r="G90" s="43"/>
      <c r="H90" s="43"/>
      <c r="I90" s="43">
        <v>8710</v>
      </c>
      <c r="J90" s="43">
        <v>-8710</v>
      </c>
      <c r="K90" s="43" t="s">
        <v>1512</v>
      </c>
      <c r="L90" s="43">
        <v>1983</v>
      </c>
      <c r="M90" s="43" t="s">
        <v>1512</v>
      </c>
      <c r="N90" s="43">
        <v>1246</v>
      </c>
      <c r="O90" s="43"/>
      <c r="P90" s="43"/>
      <c r="Q90" s="43"/>
      <c r="R90" s="43">
        <v>1</v>
      </c>
      <c r="S90" s="43"/>
      <c r="T90" s="43"/>
      <c r="U90" s="43">
        <v>1</v>
      </c>
      <c r="V90" s="49"/>
      <c r="W90" s="51" t="s">
        <v>1519</v>
      </c>
      <c r="X90" s="53"/>
      <c r="Y90" s="53"/>
      <c r="Z90" s="53"/>
      <c r="AA90" s="53"/>
      <c r="AB90" s="53"/>
      <c r="AC90" s="53"/>
      <c r="AD90" s="53"/>
      <c r="AE90" s="53"/>
      <c r="AF90" s="53"/>
      <c r="AG90" s="53"/>
      <c r="AH90" s="53"/>
      <c r="AI90" s="53"/>
      <c r="AJ90" s="53"/>
      <c r="AK90" s="53"/>
      <c r="AL90" s="53"/>
      <c r="AM90" s="53"/>
    </row>
    <row r="91" spans="1:39" ht="15.75" customHeight="1" x14ac:dyDescent="0.15">
      <c r="A91" s="43" t="s">
        <v>1489</v>
      </c>
      <c r="B91" s="43" t="s">
        <v>1522</v>
      </c>
      <c r="C91" s="43" t="s">
        <v>1523</v>
      </c>
      <c r="D91" s="43" t="s">
        <v>210</v>
      </c>
      <c r="E91" s="43">
        <v>49</v>
      </c>
      <c r="F91" s="43" t="s">
        <v>1507</v>
      </c>
      <c r="G91" s="43"/>
      <c r="H91" s="43"/>
      <c r="I91" s="43">
        <v>18248</v>
      </c>
      <c r="J91" s="43">
        <v>-18248</v>
      </c>
      <c r="K91" s="43" t="s">
        <v>1512</v>
      </c>
      <c r="L91" s="43">
        <v>1962</v>
      </c>
      <c r="M91" s="43" t="s">
        <v>1512</v>
      </c>
      <c r="N91" s="43">
        <v>237</v>
      </c>
      <c r="O91" s="43"/>
      <c r="P91" s="43"/>
      <c r="Q91" s="43"/>
      <c r="R91" s="43">
        <v>1</v>
      </c>
      <c r="S91" s="43"/>
      <c r="T91" s="43"/>
      <c r="U91" s="43">
        <v>1</v>
      </c>
      <c r="V91" s="49"/>
      <c r="W91" s="51" t="s">
        <v>1519</v>
      </c>
      <c r="X91" s="53"/>
      <c r="Y91" s="53"/>
      <c r="Z91" s="53"/>
      <c r="AA91" s="53"/>
      <c r="AB91" s="53"/>
      <c r="AC91" s="53"/>
      <c r="AD91" s="53"/>
      <c r="AE91" s="53"/>
      <c r="AF91" s="53"/>
      <c r="AG91" s="53"/>
      <c r="AH91" s="53"/>
      <c r="AI91" s="53"/>
      <c r="AJ91" s="53"/>
      <c r="AK91" s="53"/>
      <c r="AL91" s="53"/>
      <c r="AM91" s="53"/>
    </row>
    <row r="92" spans="1:39" ht="15.75" customHeight="1" x14ac:dyDescent="0.15">
      <c r="A92" s="1" t="s">
        <v>271</v>
      </c>
      <c r="B92" s="1" t="s">
        <v>272</v>
      </c>
      <c r="C92" s="1" t="s">
        <v>273</v>
      </c>
      <c r="D92" s="1" t="s">
        <v>210</v>
      </c>
      <c r="E92" s="1">
        <v>63</v>
      </c>
      <c r="F92" s="1" t="s">
        <v>1507</v>
      </c>
      <c r="G92" s="1"/>
      <c r="H92" s="1"/>
      <c r="I92" s="1">
        <v>23273</v>
      </c>
      <c r="J92" s="1">
        <v>-23273</v>
      </c>
      <c r="K92" s="1">
        <v>812</v>
      </c>
      <c r="L92" s="1">
        <v>1940</v>
      </c>
      <c r="M92" s="1">
        <v>2005</v>
      </c>
      <c r="N92" s="1">
        <v>702</v>
      </c>
      <c r="O92" s="1"/>
      <c r="P92" s="1"/>
      <c r="Q92" s="1"/>
      <c r="R92" s="1">
        <v>0</v>
      </c>
      <c r="S92" s="1"/>
      <c r="T92" s="1"/>
      <c r="U92" s="50"/>
      <c r="V92" s="49"/>
      <c r="W92" s="51" t="s">
        <v>1511</v>
      </c>
    </row>
    <row r="93" spans="1:39" ht="15.75" customHeight="1" x14ac:dyDescent="0.15">
      <c r="A93" s="1" t="s">
        <v>274</v>
      </c>
      <c r="B93" s="1" t="s">
        <v>275</v>
      </c>
      <c r="C93" s="1" t="s">
        <v>276</v>
      </c>
      <c r="D93" s="1" t="s">
        <v>210</v>
      </c>
      <c r="E93" s="1">
        <v>72</v>
      </c>
      <c r="F93" s="5" t="s">
        <v>1507</v>
      </c>
      <c r="G93" s="1"/>
      <c r="H93" s="1"/>
      <c r="I93" s="1">
        <v>26355</v>
      </c>
      <c r="J93" s="1">
        <v>-26355</v>
      </c>
      <c r="K93" s="1">
        <v>368</v>
      </c>
      <c r="L93" s="1">
        <v>1938</v>
      </c>
      <c r="M93" s="1" t="s">
        <v>1512</v>
      </c>
      <c r="N93" s="1">
        <v>242</v>
      </c>
      <c r="O93" s="1"/>
      <c r="P93" s="1"/>
      <c r="Q93" s="1"/>
      <c r="R93" s="1">
        <v>1</v>
      </c>
      <c r="S93" s="1"/>
      <c r="T93" s="1"/>
      <c r="U93" s="50"/>
      <c r="V93" s="49"/>
      <c r="W93" s="51" t="s">
        <v>1511</v>
      </c>
    </row>
    <row r="94" spans="1:39" ht="15.75" customHeight="1" x14ac:dyDescent="0.15">
      <c r="A94" s="1" t="s">
        <v>277</v>
      </c>
      <c r="B94" s="1" t="s">
        <v>278</v>
      </c>
      <c r="C94" s="1" t="s">
        <v>279</v>
      </c>
      <c r="D94" s="1" t="s">
        <v>210</v>
      </c>
      <c r="E94" s="1">
        <v>44</v>
      </c>
      <c r="F94" s="1" t="s">
        <v>1507</v>
      </c>
      <c r="G94" s="1"/>
      <c r="H94" s="1"/>
      <c r="I94" s="1">
        <v>16224</v>
      </c>
      <c r="J94" s="1">
        <v>-16224</v>
      </c>
      <c r="K94" s="1">
        <v>199</v>
      </c>
      <c r="L94" s="1">
        <v>1961</v>
      </c>
      <c r="M94" s="1">
        <v>2005</v>
      </c>
      <c r="N94" s="1">
        <v>199</v>
      </c>
      <c r="O94" s="1"/>
      <c r="P94" s="1"/>
      <c r="Q94" s="1"/>
      <c r="R94" s="1">
        <v>1</v>
      </c>
      <c r="S94" s="1"/>
      <c r="T94" s="1"/>
      <c r="U94" s="50"/>
      <c r="V94" s="49"/>
      <c r="W94" s="51" t="s">
        <v>1511</v>
      </c>
    </row>
    <row r="95" spans="1:39" ht="15.75" customHeight="1" x14ac:dyDescent="0.15">
      <c r="A95" s="1" t="s">
        <v>280</v>
      </c>
      <c r="B95" s="1" t="s">
        <v>281</v>
      </c>
      <c r="C95" s="1" t="s">
        <v>282</v>
      </c>
      <c r="D95" s="1" t="s">
        <v>210</v>
      </c>
      <c r="E95" s="1">
        <v>46</v>
      </c>
      <c r="F95" s="1" t="s">
        <v>1504</v>
      </c>
      <c r="G95" s="1"/>
      <c r="H95" s="1"/>
      <c r="I95" s="1">
        <v>17138</v>
      </c>
      <c r="J95" s="1">
        <v>-17138</v>
      </c>
      <c r="K95" s="1">
        <v>333</v>
      </c>
      <c r="L95" s="1">
        <v>1962</v>
      </c>
      <c r="M95" s="1">
        <v>2008</v>
      </c>
      <c r="N95" s="1">
        <v>333</v>
      </c>
      <c r="O95" s="1"/>
      <c r="P95" s="1"/>
      <c r="Q95" s="1"/>
      <c r="R95" s="1">
        <v>1</v>
      </c>
      <c r="S95" s="1"/>
      <c r="T95" s="1"/>
      <c r="U95" s="50"/>
      <c r="V95" s="49"/>
      <c r="W95" s="51" t="s">
        <v>1511</v>
      </c>
    </row>
    <row r="96" spans="1:39" ht="15.75" customHeight="1" x14ac:dyDescent="0.15">
      <c r="A96" s="1" t="s">
        <v>283</v>
      </c>
      <c r="B96" s="1" t="s">
        <v>284</v>
      </c>
      <c r="C96" s="1" t="s">
        <v>285</v>
      </c>
      <c r="D96" s="1" t="s">
        <v>210</v>
      </c>
      <c r="E96" s="1">
        <v>40</v>
      </c>
      <c r="F96" s="1" t="s">
        <v>1504</v>
      </c>
      <c r="G96" s="1"/>
      <c r="H96" s="1"/>
      <c r="I96" s="1">
        <v>14729</v>
      </c>
      <c r="J96" s="1">
        <v>-14729</v>
      </c>
      <c r="K96" s="1">
        <v>362</v>
      </c>
      <c r="L96" s="1">
        <v>1966</v>
      </c>
      <c r="M96" s="1">
        <v>2006</v>
      </c>
      <c r="N96" s="1">
        <v>327</v>
      </c>
      <c r="O96" s="1"/>
      <c r="P96" s="1"/>
      <c r="Q96" s="1"/>
      <c r="R96" s="1">
        <v>0</v>
      </c>
      <c r="S96" s="1"/>
      <c r="T96" s="1"/>
      <c r="U96" s="50"/>
      <c r="V96" s="49"/>
      <c r="W96" s="51" t="s">
        <v>1511</v>
      </c>
    </row>
    <row r="97" spans="1:39" ht="15.75" customHeight="1" x14ac:dyDescent="0.15">
      <c r="A97" s="1" t="s">
        <v>286</v>
      </c>
      <c r="B97" s="1" t="s">
        <v>287</v>
      </c>
      <c r="C97" s="1" t="s">
        <v>288</v>
      </c>
      <c r="D97" s="1" t="s">
        <v>210</v>
      </c>
      <c r="E97" s="1">
        <v>81</v>
      </c>
      <c r="F97" s="1" t="s">
        <v>1507</v>
      </c>
      <c r="G97" s="1"/>
      <c r="H97" s="1"/>
      <c r="I97" s="1">
        <v>29606</v>
      </c>
      <c r="J97" s="1">
        <v>-29606</v>
      </c>
      <c r="K97" s="1">
        <v>82</v>
      </c>
      <c r="L97" s="1">
        <v>1924</v>
      </c>
      <c r="M97" s="1">
        <v>2005</v>
      </c>
      <c r="N97" s="1" t="s">
        <v>1512</v>
      </c>
      <c r="O97" s="1"/>
      <c r="P97" s="1"/>
      <c r="Q97" s="1"/>
      <c r="R97" s="1">
        <v>1</v>
      </c>
      <c r="S97" s="1"/>
      <c r="T97" s="1"/>
      <c r="U97" s="50"/>
      <c r="V97" s="49"/>
      <c r="W97" s="51" t="s">
        <v>1511</v>
      </c>
    </row>
    <row r="98" spans="1:39" ht="15.75" customHeight="1" x14ac:dyDescent="0.15">
      <c r="A98" s="43" t="s">
        <v>1490</v>
      </c>
      <c r="B98" s="43" t="s">
        <v>1524</v>
      </c>
      <c r="C98" s="43" t="s">
        <v>1525</v>
      </c>
      <c r="D98" s="43" t="s">
        <v>210</v>
      </c>
      <c r="E98" s="43">
        <v>21</v>
      </c>
      <c r="F98" s="43" t="s">
        <v>1507</v>
      </c>
      <c r="G98" s="43"/>
      <c r="H98" s="43"/>
      <c r="I98" s="43">
        <v>7936</v>
      </c>
      <c r="J98" s="43">
        <v>-7936</v>
      </c>
      <c r="K98" s="43" t="s">
        <v>1512</v>
      </c>
      <c r="L98" s="43">
        <v>1988</v>
      </c>
      <c r="M98" s="43" t="s">
        <v>1512</v>
      </c>
      <c r="N98" s="43">
        <v>958</v>
      </c>
      <c r="O98" s="43"/>
      <c r="P98" s="43"/>
      <c r="Q98" s="43"/>
      <c r="R98" s="43">
        <v>1</v>
      </c>
      <c r="S98" s="43"/>
      <c r="T98" s="43"/>
      <c r="U98" s="43">
        <v>1</v>
      </c>
      <c r="V98" s="49"/>
      <c r="W98" s="51" t="s">
        <v>1519</v>
      </c>
      <c r="X98" s="53"/>
      <c r="Y98" s="53"/>
      <c r="Z98" s="53"/>
      <c r="AA98" s="53"/>
      <c r="AB98" s="53"/>
      <c r="AC98" s="53"/>
      <c r="AD98" s="53"/>
      <c r="AE98" s="53"/>
      <c r="AF98" s="53"/>
      <c r="AG98" s="53"/>
      <c r="AH98" s="53"/>
      <c r="AI98" s="53"/>
      <c r="AJ98" s="53"/>
      <c r="AK98" s="53"/>
      <c r="AL98" s="53"/>
      <c r="AM98" s="53"/>
    </row>
    <row r="99" spans="1:39" ht="15.75" customHeight="1" x14ac:dyDescent="0.15">
      <c r="A99" s="43" t="s">
        <v>1491</v>
      </c>
      <c r="B99" s="43" t="s">
        <v>1526</v>
      </c>
      <c r="C99" s="43" t="s">
        <v>1527</v>
      </c>
      <c r="D99" s="43" t="s">
        <v>210</v>
      </c>
      <c r="E99" s="43">
        <v>45</v>
      </c>
      <c r="F99" s="43" t="s">
        <v>1507</v>
      </c>
      <c r="G99" s="43"/>
      <c r="H99" s="43"/>
      <c r="I99" s="43">
        <v>16572</v>
      </c>
      <c r="J99" s="43">
        <v>-16572</v>
      </c>
      <c r="K99" s="43" t="s">
        <v>1512</v>
      </c>
      <c r="L99" s="43">
        <v>1965</v>
      </c>
      <c r="M99" s="43" t="s">
        <v>1512</v>
      </c>
      <c r="N99" s="43">
        <v>155</v>
      </c>
      <c r="O99" s="43"/>
      <c r="P99" s="43"/>
      <c r="Q99" s="43"/>
      <c r="R99" s="43">
        <v>1</v>
      </c>
      <c r="S99" s="43"/>
      <c r="T99" s="43"/>
      <c r="U99" s="43">
        <v>1</v>
      </c>
      <c r="V99" s="49"/>
      <c r="W99" s="51" t="s">
        <v>1519</v>
      </c>
      <c r="X99" s="53"/>
      <c r="Y99" s="53"/>
      <c r="Z99" s="53"/>
      <c r="AA99" s="53"/>
      <c r="AB99" s="53"/>
      <c r="AC99" s="53"/>
      <c r="AD99" s="53"/>
      <c r="AE99" s="53"/>
      <c r="AF99" s="53"/>
      <c r="AG99" s="53"/>
      <c r="AH99" s="53"/>
      <c r="AI99" s="53"/>
      <c r="AJ99" s="53"/>
      <c r="AK99" s="53"/>
      <c r="AL99" s="53"/>
      <c r="AM99" s="53"/>
    </row>
    <row r="100" spans="1:39" ht="15.75" customHeight="1" x14ac:dyDescent="0.15">
      <c r="A100" s="1" t="s">
        <v>289</v>
      </c>
      <c r="B100" s="1" t="s">
        <v>290</v>
      </c>
      <c r="C100" s="1" t="s">
        <v>291</v>
      </c>
      <c r="D100" s="1" t="s">
        <v>210</v>
      </c>
      <c r="E100" s="1">
        <v>62</v>
      </c>
      <c r="F100" s="5" t="s">
        <v>1504</v>
      </c>
      <c r="G100" s="1"/>
      <c r="H100" s="1"/>
      <c r="I100" s="1">
        <v>22835</v>
      </c>
      <c r="J100" s="1">
        <v>-22835</v>
      </c>
      <c r="K100" s="1">
        <v>317</v>
      </c>
      <c r="L100" s="1">
        <v>1944</v>
      </c>
      <c r="M100" s="1">
        <v>2006</v>
      </c>
      <c r="N100" s="1">
        <v>313</v>
      </c>
      <c r="O100" s="1"/>
      <c r="P100" s="1"/>
      <c r="Q100" s="1"/>
      <c r="R100" s="1">
        <v>0</v>
      </c>
      <c r="S100" s="1"/>
      <c r="T100" s="1"/>
      <c r="U100" s="50"/>
      <c r="V100" s="49"/>
      <c r="W100" s="51" t="s">
        <v>1511</v>
      </c>
    </row>
    <row r="101" spans="1:39" ht="15.75" customHeight="1" x14ac:dyDescent="0.15">
      <c r="A101" s="1" t="s">
        <v>292</v>
      </c>
      <c r="B101" s="1" t="s">
        <v>293</v>
      </c>
      <c r="C101" s="1" t="s">
        <v>294</v>
      </c>
      <c r="D101" s="1" t="s">
        <v>210</v>
      </c>
      <c r="E101" s="1">
        <v>57</v>
      </c>
      <c r="F101" s="5" t="s">
        <v>1504</v>
      </c>
      <c r="G101" s="1"/>
      <c r="H101" s="1"/>
      <c r="I101" s="1">
        <v>20937</v>
      </c>
      <c r="J101" s="1">
        <v>-20937</v>
      </c>
      <c r="K101" s="1">
        <v>508</v>
      </c>
      <c r="L101" s="1">
        <v>1952</v>
      </c>
      <c r="M101" s="1">
        <v>2010</v>
      </c>
      <c r="N101" s="1">
        <v>508</v>
      </c>
      <c r="O101" s="1"/>
      <c r="P101" s="1"/>
      <c r="Q101" s="1"/>
      <c r="R101" s="1">
        <v>0</v>
      </c>
      <c r="S101" s="1"/>
      <c r="T101" s="1"/>
      <c r="U101" s="50"/>
      <c r="V101" s="49"/>
      <c r="W101" s="51" t="s">
        <v>1511</v>
      </c>
    </row>
    <row r="102" spans="1:39" ht="15.75" customHeight="1" x14ac:dyDescent="0.15">
      <c r="A102" s="1" t="s">
        <v>295</v>
      </c>
      <c r="B102" s="1" t="s">
        <v>296</v>
      </c>
      <c r="C102" s="1" t="s">
        <v>297</v>
      </c>
      <c r="D102" s="1" t="s">
        <v>210</v>
      </c>
      <c r="E102" s="1">
        <v>61</v>
      </c>
      <c r="F102" s="1" t="s">
        <v>1507</v>
      </c>
      <c r="G102" s="1"/>
      <c r="H102" s="1"/>
      <c r="I102" s="1">
        <v>22457</v>
      </c>
      <c r="J102" s="1">
        <v>-22457</v>
      </c>
      <c r="K102" s="1">
        <v>322</v>
      </c>
      <c r="L102" s="1">
        <v>1942</v>
      </c>
      <c r="M102" s="1">
        <v>2003</v>
      </c>
      <c r="N102" s="1">
        <v>322</v>
      </c>
      <c r="O102" s="1"/>
      <c r="P102" s="1"/>
      <c r="Q102" s="1"/>
      <c r="R102" s="1">
        <v>0</v>
      </c>
      <c r="S102" s="1"/>
      <c r="T102" s="1"/>
      <c r="U102" s="50"/>
      <c r="V102" s="49"/>
      <c r="W102" s="51" t="s">
        <v>1511</v>
      </c>
    </row>
    <row r="103" spans="1:39" ht="15.75" customHeight="1" x14ac:dyDescent="0.15">
      <c r="A103" s="43" t="s">
        <v>1492</v>
      </c>
      <c r="B103" s="43" t="s">
        <v>1528</v>
      </c>
      <c r="C103" s="43" t="s">
        <v>1529</v>
      </c>
      <c r="D103" s="43" t="s">
        <v>210</v>
      </c>
      <c r="E103" s="43">
        <v>38</v>
      </c>
      <c r="F103" s="52" t="s">
        <v>1507</v>
      </c>
      <c r="G103" s="43"/>
      <c r="H103" s="43"/>
      <c r="I103" s="43">
        <v>14082</v>
      </c>
      <c r="J103" s="43">
        <v>-14082</v>
      </c>
      <c r="K103" s="43" t="s">
        <v>1512</v>
      </c>
      <c r="L103" s="43">
        <v>1971</v>
      </c>
      <c r="M103" s="43" t="s">
        <v>1512</v>
      </c>
      <c r="N103" s="43">
        <v>115</v>
      </c>
      <c r="O103" s="43"/>
      <c r="P103" s="43"/>
      <c r="Q103" s="43"/>
      <c r="R103" s="43">
        <v>0</v>
      </c>
      <c r="S103" s="43"/>
      <c r="T103" s="43"/>
      <c r="U103" s="43"/>
      <c r="V103" s="49"/>
      <c r="W103" s="51" t="s">
        <v>1519</v>
      </c>
      <c r="X103" s="53"/>
      <c r="Y103" s="53"/>
      <c r="Z103" s="53"/>
      <c r="AA103" s="53"/>
      <c r="AB103" s="53"/>
      <c r="AC103" s="53"/>
      <c r="AD103" s="53"/>
      <c r="AE103" s="53"/>
      <c r="AF103" s="53"/>
      <c r="AG103" s="53"/>
      <c r="AH103" s="53"/>
      <c r="AI103" s="53"/>
      <c r="AJ103" s="53"/>
      <c r="AK103" s="53"/>
      <c r="AL103" s="53"/>
      <c r="AM103" s="53"/>
    </row>
    <row r="104" spans="1:39" ht="15.75" customHeight="1" x14ac:dyDescent="0.15">
      <c r="A104" s="1" t="s">
        <v>298</v>
      </c>
      <c r="B104" s="1" t="s">
        <v>299</v>
      </c>
      <c r="C104" s="1" t="s">
        <v>300</v>
      </c>
      <c r="D104" s="1" t="s">
        <v>210</v>
      </c>
      <c r="E104" s="1">
        <v>45</v>
      </c>
      <c r="F104" s="5" t="s">
        <v>1507</v>
      </c>
      <c r="G104" s="1"/>
      <c r="H104" s="1"/>
      <c r="I104" s="1">
        <v>16763</v>
      </c>
      <c r="J104" s="1">
        <v>-16763</v>
      </c>
      <c r="K104" s="1">
        <v>268</v>
      </c>
      <c r="L104" s="1">
        <v>1960</v>
      </c>
      <c r="M104" s="1">
        <v>2005</v>
      </c>
      <c r="N104" s="1">
        <v>268</v>
      </c>
      <c r="O104" s="1"/>
      <c r="P104" s="1"/>
      <c r="Q104" s="1"/>
      <c r="R104" s="1">
        <v>0</v>
      </c>
      <c r="S104" s="1"/>
      <c r="T104" s="1"/>
      <c r="U104" s="50"/>
      <c r="V104" s="49"/>
      <c r="W104" s="51" t="s">
        <v>1511</v>
      </c>
    </row>
    <row r="105" spans="1:39" ht="15.75" customHeight="1" x14ac:dyDescent="0.15">
      <c r="A105" s="1" t="s">
        <v>301</v>
      </c>
      <c r="B105" s="1" t="s">
        <v>302</v>
      </c>
      <c r="C105" s="5" t="s">
        <v>303</v>
      </c>
      <c r="D105" s="1" t="s">
        <v>304</v>
      </c>
      <c r="E105" s="1"/>
      <c r="F105" s="5" t="s">
        <v>1504</v>
      </c>
      <c r="G105" s="1"/>
      <c r="H105" s="1"/>
      <c r="I105" s="1"/>
      <c r="J105" s="1"/>
      <c r="K105" s="1"/>
      <c r="L105" s="1"/>
      <c r="M105" s="1"/>
      <c r="N105" s="1"/>
      <c r="O105" s="1"/>
      <c r="P105" s="1"/>
      <c r="Q105" s="1"/>
      <c r="R105" s="1">
        <v>0</v>
      </c>
      <c r="S105" s="1"/>
      <c r="T105" s="1"/>
      <c r="U105" s="1" t="s">
        <v>1530</v>
      </c>
      <c r="V105" s="49"/>
      <c r="W105" s="49"/>
      <c r="X105" s="2">
        <v>64.22</v>
      </c>
      <c r="Y105" s="2">
        <v>284</v>
      </c>
      <c r="Z105" s="2" t="s">
        <v>1531</v>
      </c>
    </row>
    <row r="106" spans="1:39" ht="15.75" customHeight="1" x14ac:dyDescent="0.15">
      <c r="A106" s="43" t="s">
        <v>1532</v>
      </c>
      <c r="B106" s="43" t="s">
        <v>1533</v>
      </c>
      <c r="C106" s="52" t="s">
        <v>1534</v>
      </c>
      <c r="D106" s="43" t="s">
        <v>304</v>
      </c>
      <c r="E106" s="43"/>
      <c r="F106" s="52" t="s">
        <v>1504</v>
      </c>
      <c r="G106" s="43"/>
      <c r="H106" s="43"/>
      <c r="I106" s="43"/>
      <c r="J106" s="43"/>
      <c r="K106" s="43"/>
      <c r="L106" s="43"/>
      <c r="M106" s="43"/>
      <c r="N106" s="43"/>
      <c r="O106" s="43"/>
      <c r="P106" s="43"/>
      <c r="Q106" s="43"/>
      <c r="R106" s="43">
        <v>1</v>
      </c>
      <c r="S106" s="43"/>
      <c r="T106" s="43"/>
      <c r="U106" s="43" t="s">
        <v>1530</v>
      </c>
      <c r="V106" s="49"/>
      <c r="W106" s="49"/>
      <c r="X106" s="53">
        <v>65.52</v>
      </c>
      <c r="Y106" s="53" t="s">
        <v>1535</v>
      </c>
      <c r="Z106" s="53" t="s">
        <v>1536</v>
      </c>
      <c r="AA106" s="53"/>
      <c r="AB106" s="53"/>
      <c r="AC106" s="53"/>
      <c r="AD106" s="53"/>
      <c r="AE106" s="53"/>
      <c r="AF106" s="53"/>
      <c r="AG106" s="53"/>
      <c r="AH106" s="53"/>
      <c r="AI106" s="53"/>
      <c r="AJ106" s="53"/>
      <c r="AK106" s="53"/>
      <c r="AL106" s="53"/>
      <c r="AM106" s="53"/>
    </row>
    <row r="107" spans="1:39" ht="15.75" customHeight="1" x14ac:dyDescent="0.15">
      <c r="A107" s="1" t="s">
        <v>305</v>
      </c>
      <c r="B107" s="1" t="s">
        <v>306</v>
      </c>
      <c r="C107" s="5" t="s">
        <v>307</v>
      </c>
      <c r="D107" s="1" t="s">
        <v>304</v>
      </c>
      <c r="E107" s="1"/>
      <c r="F107" s="5" t="s">
        <v>1504</v>
      </c>
      <c r="G107" s="1"/>
      <c r="H107" s="1"/>
      <c r="I107" s="1"/>
      <c r="J107" s="1"/>
      <c r="K107" s="1"/>
      <c r="L107" s="1"/>
      <c r="M107" s="1"/>
      <c r="N107" s="1"/>
      <c r="O107" s="1"/>
      <c r="P107" s="1"/>
      <c r="Q107" s="1"/>
      <c r="R107" s="1">
        <v>1</v>
      </c>
      <c r="S107" s="1"/>
      <c r="T107" s="1"/>
      <c r="U107" s="1" t="s">
        <v>1530</v>
      </c>
      <c r="V107" s="49"/>
      <c r="W107" s="49"/>
      <c r="X107" s="2">
        <v>60.66</v>
      </c>
      <c r="Y107" s="2">
        <v>521</v>
      </c>
      <c r="Z107" s="2" t="s">
        <v>1531</v>
      </c>
    </row>
    <row r="108" spans="1:39" ht="15.75" customHeight="1" x14ac:dyDescent="0.15">
      <c r="A108" s="43" t="s">
        <v>1537</v>
      </c>
      <c r="B108" s="43" t="s">
        <v>1538</v>
      </c>
      <c r="C108" s="52" t="s">
        <v>1539</v>
      </c>
      <c r="D108" s="43" t="s">
        <v>304</v>
      </c>
      <c r="E108" s="43"/>
      <c r="F108" s="52" t="s">
        <v>1504</v>
      </c>
      <c r="G108" s="43"/>
      <c r="H108" s="43"/>
      <c r="I108" s="43"/>
      <c r="J108" s="43"/>
      <c r="K108" s="43"/>
      <c r="L108" s="43"/>
      <c r="M108" s="43"/>
      <c r="N108" s="43"/>
      <c r="O108" s="43"/>
      <c r="P108" s="43"/>
      <c r="Q108" s="43"/>
      <c r="R108" s="43">
        <v>0</v>
      </c>
      <c r="S108" s="43"/>
      <c r="T108" s="43"/>
      <c r="U108" s="43" t="s">
        <v>1530</v>
      </c>
      <c r="V108" s="49"/>
      <c r="W108" s="49"/>
      <c r="X108" s="53">
        <v>60.01</v>
      </c>
      <c r="Y108" s="53" t="s">
        <v>1535</v>
      </c>
      <c r="Z108" s="53" t="s">
        <v>1531</v>
      </c>
      <c r="AA108" s="53"/>
      <c r="AB108" s="53"/>
      <c r="AC108" s="53"/>
      <c r="AD108" s="53"/>
      <c r="AE108" s="53"/>
      <c r="AF108" s="53"/>
      <c r="AG108" s="53"/>
      <c r="AH108" s="53"/>
      <c r="AI108" s="53"/>
      <c r="AJ108" s="53"/>
      <c r="AK108" s="53"/>
      <c r="AL108" s="53"/>
      <c r="AM108" s="53"/>
    </row>
    <row r="109" spans="1:39" ht="15.75" customHeight="1" x14ac:dyDescent="0.15">
      <c r="A109" s="1" t="s">
        <v>308</v>
      </c>
      <c r="B109" s="1" t="s">
        <v>309</v>
      </c>
      <c r="C109" s="5" t="s">
        <v>310</v>
      </c>
      <c r="D109" s="1" t="s">
        <v>304</v>
      </c>
      <c r="E109" s="1"/>
      <c r="F109" s="5" t="s">
        <v>1507</v>
      </c>
      <c r="G109" s="1"/>
      <c r="H109" s="1"/>
      <c r="I109" s="1"/>
      <c r="J109" s="1"/>
      <c r="K109" s="1"/>
      <c r="L109" s="1"/>
      <c r="M109" s="1"/>
      <c r="N109" s="1"/>
      <c r="O109" s="1"/>
      <c r="P109" s="1"/>
      <c r="Q109" s="1"/>
      <c r="R109" s="1">
        <v>0</v>
      </c>
      <c r="S109" s="1"/>
      <c r="T109" s="1"/>
      <c r="U109" s="1" t="s">
        <v>1530</v>
      </c>
      <c r="V109" s="49"/>
      <c r="W109" s="49"/>
      <c r="X109" s="2">
        <v>55.13</v>
      </c>
      <c r="Y109" s="2">
        <v>537</v>
      </c>
      <c r="Z109" s="2" t="s">
        <v>1531</v>
      </c>
    </row>
    <row r="110" spans="1:39" ht="15.75" customHeight="1" x14ac:dyDescent="0.15">
      <c r="A110" s="1" t="s">
        <v>311</v>
      </c>
      <c r="B110" s="1" t="s">
        <v>312</v>
      </c>
      <c r="C110" s="1" t="s">
        <v>313</v>
      </c>
      <c r="D110" s="1" t="s">
        <v>304</v>
      </c>
      <c r="E110" s="1"/>
      <c r="F110" s="5" t="s">
        <v>1504</v>
      </c>
      <c r="G110" s="1"/>
      <c r="H110" s="1"/>
      <c r="I110" s="1"/>
      <c r="J110" s="1"/>
      <c r="K110" s="1"/>
      <c r="L110" s="1"/>
      <c r="M110" s="1"/>
      <c r="N110" s="1"/>
      <c r="O110" s="1"/>
      <c r="P110" s="1"/>
      <c r="Q110" s="1"/>
      <c r="R110" s="1">
        <v>1</v>
      </c>
      <c r="S110" s="1"/>
      <c r="T110" s="1"/>
      <c r="U110" s="1" t="s">
        <v>1530</v>
      </c>
      <c r="V110" s="49"/>
      <c r="W110" s="49"/>
      <c r="X110" s="2">
        <v>57.19</v>
      </c>
      <c r="Y110" s="2">
        <v>613</v>
      </c>
      <c r="Z110" s="2" t="s">
        <v>1531</v>
      </c>
    </row>
    <row r="111" spans="1:39" ht="15.75" customHeight="1" x14ac:dyDescent="0.15">
      <c r="A111" s="1" t="s">
        <v>314</v>
      </c>
      <c r="B111" s="1" t="s">
        <v>315</v>
      </c>
      <c r="C111" s="1" t="s">
        <v>316</v>
      </c>
      <c r="D111" s="1" t="s">
        <v>304</v>
      </c>
      <c r="E111" s="1"/>
      <c r="F111" s="5" t="s">
        <v>1504</v>
      </c>
      <c r="G111" s="1"/>
      <c r="H111" s="1"/>
      <c r="I111" s="1"/>
      <c r="J111" s="1"/>
      <c r="K111" s="1"/>
      <c r="L111" s="1"/>
      <c r="M111" s="1"/>
      <c r="N111" s="1"/>
      <c r="O111" s="1"/>
      <c r="P111" s="1"/>
      <c r="Q111" s="1"/>
      <c r="R111" s="1">
        <v>1</v>
      </c>
      <c r="S111" s="1"/>
      <c r="T111" s="1"/>
      <c r="U111" s="1" t="s">
        <v>1530</v>
      </c>
      <c r="V111" s="49"/>
      <c r="W111" s="49"/>
      <c r="X111" s="2">
        <v>70.569999999999993</v>
      </c>
      <c r="Y111" s="2">
        <v>684</v>
      </c>
      <c r="Z111" s="2" t="s">
        <v>1531</v>
      </c>
    </row>
    <row r="112" spans="1:39" ht="15" x14ac:dyDescent="0.2">
      <c r="A112" s="54" t="s">
        <v>1540</v>
      </c>
      <c r="B112" s="43" t="s">
        <v>1541</v>
      </c>
      <c r="C112" s="52" t="s">
        <v>1542</v>
      </c>
      <c r="D112" s="43" t="s">
        <v>304</v>
      </c>
      <c r="E112" s="43"/>
      <c r="F112" s="52" t="s">
        <v>1504</v>
      </c>
      <c r="G112" s="43"/>
      <c r="H112" s="43"/>
      <c r="I112" s="43"/>
      <c r="J112" s="43"/>
      <c r="K112" s="43"/>
      <c r="L112" s="43"/>
      <c r="M112" s="43"/>
      <c r="N112" s="43"/>
      <c r="O112" s="43"/>
      <c r="P112" s="43"/>
      <c r="Q112" s="43"/>
      <c r="R112" s="43">
        <v>0</v>
      </c>
      <c r="S112" s="43"/>
      <c r="T112" s="43"/>
      <c r="U112" s="43" t="s">
        <v>1530</v>
      </c>
      <c r="V112" s="49"/>
      <c r="W112" s="49"/>
      <c r="X112" s="53">
        <v>57.8</v>
      </c>
      <c r="Y112" s="53" t="s">
        <v>1535</v>
      </c>
      <c r="Z112" s="53" t="s">
        <v>1531</v>
      </c>
      <c r="AA112" s="53"/>
      <c r="AB112" s="53"/>
      <c r="AC112" s="53"/>
      <c r="AD112" s="53"/>
      <c r="AE112" s="53"/>
      <c r="AF112" s="53"/>
      <c r="AG112" s="53"/>
      <c r="AH112" s="53"/>
      <c r="AI112" s="53"/>
      <c r="AJ112" s="53"/>
      <c r="AK112" s="53"/>
      <c r="AL112" s="53"/>
      <c r="AM112" s="53"/>
    </row>
    <row r="113" spans="1:39" ht="15.75" customHeight="1" x14ac:dyDescent="0.15">
      <c r="A113" s="1" t="s">
        <v>317</v>
      </c>
      <c r="B113" s="1" t="s">
        <v>318</v>
      </c>
      <c r="C113" s="5" t="s">
        <v>319</v>
      </c>
      <c r="D113" s="1" t="s">
        <v>304</v>
      </c>
      <c r="E113" s="1"/>
      <c r="F113" s="5" t="s">
        <v>1507</v>
      </c>
      <c r="G113" s="1"/>
      <c r="H113" s="1"/>
      <c r="I113" s="1"/>
      <c r="J113" s="1"/>
      <c r="K113" s="1"/>
      <c r="L113" s="1"/>
      <c r="M113" s="1"/>
      <c r="N113" s="1"/>
      <c r="O113" s="1"/>
      <c r="P113" s="1"/>
      <c r="Q113" s="1"/>
      <c r="R113" s="1">
        <v>0</v>
      </c>
      <c r="S113" s="1"/>
      <c r="T113" s="1"/>
      <c r="U113" s="1" t="s">
        <v>1530</v>
      </c>
      <c r="V113" s="49"/>
      <c r="W113" s="49"/>
      <c r="X113" s="2">
        <v>72.25</v>
      </c>
      <c r="Y113" s="2">
        <v>215</v>
      </c>
      <c r="Z113" s="2" t="s">
        <v>1536</v>
      </c>
    </row>
    <row r="114" spans="1:39" ht="15.75" customHeight="1" x14ac:dyDescent="0.15">
      <c r="A114" s="43" t="s">
        <v>1543</v>
      </c>
      <c r="B114" s="43" t="s">
        <v>1544</v>
      </c>
      <c r="C114" s="52" t="s">
        <v>1545</v>
      </c>
      <c r="D114" s="43" t="s">
        <v>304</v>
      </c>
      <c r="E114" s="43"/>
      <c r="F114" s="52" t="s">
        <v>1507</v>
      </c>
      <c r="G114" s="43"/>
      <c r="H114" s="43"/>
      <c r="I114" s="43"/>
      <c r="J114" s="43"/>
      <c r="K114" s="43"/>
      <c r="L114" s="43"/>
      <c r="M114" s="43"/>
      <c r="N114" s="43"/>
      <c r="O114" s="43"/>
      <c r="P114" s="43"/>
      <c r="Q114" s="43"/>
      <c r="R114" s="43">
        <v>1</v>
      </c>
      <c r="S114" s="43"/>
      <c r="T114" s="43"/>
      <c r="U114" s="43" t="s">
        <v>1530</v>
      </c>
      <c r="V114" s="49"/>
      <c r="W114" s="49"/>
      <c r="X114" s="53">
        <v>58.51</v>
      </c>
      <c r="Y114" s="53" t="s">
        <v>1535</v>
      </c>
      <c r="Z114" s="53" t="s">
        <v>1535</v>
      </c>
      <c r="AA114" s="53"/>
      <c r="AB114" s="53"/>
      <c r="AC114" s="53"/>
      <c r="AD114" s="53"/>
      <c r="AE114" s="53"/>
      <c r="AF114" s="53"/>
      <c r="AG114" s="53"/>
      <c r="AH114" s="53"/>
      <c r="AI114" s="53"/>
      <c r="AJ114" s="53"/>
      <c r="AK114" s="53"/>
      <c r="AL114" s="53"/>
      <c r="AM114" s="53"/>
    </row>
    <row r="115" spans="1:39" ht="15.75" customHeight="1" x14ac:dyDescent="0.15">
      <c r="A115" s="1" t="s">
        <v>320</v>
      </c>
      <c r="B115" s="1" t="s">
        <v>321</v>
      </c>
      <c r="C115" s="5" t="s">
        <v>322</v>
      </c>
      <c r="D115" s="1" t="s">
        <v>304</v>
      </c>
      <c r="E115" s="1"/>
      <c r="F115" s="5" t="s">
        <v>1504</v>
      </c>
      <c r="G115" s="1"/>
      <c r="H115" s="1"/>
      <c r="I115" s="1"/>
      <c r="J115" s="1"/>
      <c r="K115" s="1"/>
      <c r="L115" s="1"/>
      <c r="M115" s="1"/>
      <c r="N115" s="1"/>
      <c r="O115" s="1"/>
      <c r="P115" s="1"/>
      <c r="Q115" s="1"/>
      <c r="R115" s="1">
        <v>0</v>
      </c>
      <c r="S115" s="1"/>
      <c r="T115" s="1"/>
      <c r="U115" s="1" t="s">
        <v>1530</v>
      </c>
      <c r="V115" s="49"/>
      <c r="W115" s="49"/>
      <c r="X115" s="2">
        <v>63.99</v>
      </c>
      <c r="Y115" s="2">
        <v>149</v>
      </c>
      <c r="Z115" s="2" t="s">
        <v>1536</v>
      </c>
    </row>
    <row r="116" spans="1:39" ht="15.75" customHeight="1" x14ac:dyDescent="0.15">
      <c r="A116" s="1" t="s">
        <v>323</v>
      </c>
      <c r="B116" s="1" t="s">
        <v>324</v>
      </c>
      <c r="C116" s="5" t="s">
        <v>325</v>
      </c>
      <c r="D116" s="1" t="s">
        <v>304</v>
      </c>
      <c r="E116" s="1"/>
      <c r="F116" s="5" t="s">
        <v>1507</v>
      </c>
      <c r="G116" s="1"/>
      <c r="H116" s="1"/>
      <c r="I116" s="1"/>
      <c r="J116" s="1"/>
      <c r="K116" s="1"/>
      <c r="L116" s="1"/>
      <c r="M116" s="1"/>
      <c r="N116" s="1"/>
      <c r="O116" s="1"/>
      <c r="P116" s="1"/>
      <c r="Q116" s="1"/>
      <c r="R116" s="1">
        <v>0</v>
      </c>
      <c r="S116" s="1"/>
      <c r="T116" s="1"/>
      <c r="U116" s="1" t="s">
        <v>1530</v>
      </c>
      <c r="V116" s="49"/>
      <c r="W116" s="49"/>
      <c r="X116" s="2">
        <v>61.33</v>
      </c>
      <c r="Y116" s="2">
        <v>490</v>
      </c>
      <c r="Z116" s="2" t="s">
        <v>1531</v>
      </c>
    </row>
    <row r="117" spans="1:39" ht="15.75" customHeight="1" x14ac:dyDescent="0.15">
      <c r="A117" s="1" t="s">
        <v>326</v>
      </c>
      <c r="B117" s="1" t="s">
        <v>327</v>
      </c>
      <c r="C117" s="5" t="s">
        <v>328</v>
      </c>
      <c r="D117" s="1" t="s">
        <v>304</v>
      </c>
      <c r="E117" s="1"/>
      <c r="F117" s="5" t="s">
        <v>1504</v>
      </c>
      <c r="G117" s="1"/>
      <c r="H117" s="1"/>
      <c r="I117" s="1"/>
      <c r="J117" s="1"/>
      <c r="K117" s="1"/>
      <c r="L117" s="1"/>
      <c r="M117" s="1"/>
      <c r="N117" s="1"/>
      <c r="O117" s="1"/>
      <c r="P117" s="1"/>
      <c r="Q117" s="1"/>
      <c r="R117" s="1">
        <v>1</v>
      </c>
      <c r="S117" s="1"/>
      <c r="T117" s="1"/>
      <c r="U117" s="1" t="s">
        <v>1530</v>
      </c>
      <c r="V117" s="49"/>
      <c r="W117" s="49"/>
      <c r="X117" s="2">
        <v>83.61</v>
      </c>
      <c r="Y117" s="2">
        <v>122</v>
      </c>
      <c r="Z117" s="2" t="s">
        <v>1536</v>
      </c>
    </row>
    <row r="118" spans="1:39" ht="15.75" customHeight="1" x14ac:dyDescent="0.15">
      <c r="A118" s="1" t="s">
        <v>329</v>
      </c>
      <c r="B118" s="1" t="s">
        <v>330</v>
      </c>
      <c r="C118" s="1" t="s">
        <v>331</v>
      </c>
      <c r="D118" s="1" t="s">
        <v>304</v>
      </c>
      <c r="E118" s="1"/>
      <c r="F118" s="5" t="s">
        <v>1504</v>
      </c>
      <c r="G118" s="1"/>
      <c r="H118" s="1"/>
      <c r="I118" s="1"/>
      <c r="J118" s="1"/>
      <c r="K118" s="1"/>
      <c r="L118" s="1"/>
      <c r="M118" s="1"/>
      <c r="N118" s="1"/>
      <c r="O118" s="1"/>
      <c r="P118" s="1"/>
      <c r="Q118" s="1"/>
      <c r="R118" s="1">
        <v>0</v>
      </c>
      <c r="S118" s="1"/>
      <c r="T118" s="1"/>
      <c r="U118" s="1" t="s">
        <v>1530</v>
      </c>
      <c r="V118" s="49"/>
      <c r="W118" s="49"/>
      <c r="X118" s="2">
        <v>69.36</v>
      </c>
      <c r="Y118" s="2">
        <v>342</v>
      </c>
      <c r="Z118" s="2" t="s">
        <v>1531</v>
      </c>
    </row>
    <row r="119" spans="1:39" ht="15.75" customHeight="1" x14ac:dyDescent="0.15">
      <c r="A119" s="1" t="s">
        <v>332</v>
      </c>
      <c r="B119" s="1" t="s">
        <v>333</v>
      </c>
      <c r="C119" s="5" t="s">
        <v>334</v>
      </c>
      <c r="D119" s="1" t="s">
        <v>304</v>
      </c>
      <c r="E119" s="1"/>
      <c r="F119" s="5" t="s">
        <v>1504</v>
      </c>
      <c r="G119" s="1"/>
      <c r="H119" s="1"/>
      <c r="I119" s="1"/>
      <c r="J119" s="1"/>
      <c r="K119" s="1"/>
      <c r="L119" s="1"/>
      <c r="M119" s="1"/>
      <c r="N119" s="1"/>
      <c r="O119" s="1"/>
      <c r="P119" s="1"/>
      <c r="Q119" s="1"/>
      <c r="R119" s="1">
        <v>0</v>
      </c>
      <c r="S119" s="1"/>
      <c r="T119" s="1"/>
      <c r="U119" s="1" t="s">
        <v>1530</v>
      </c>
      <c r="V119" s="49"/>
      <c r="W119" s="49"/>
      <c r="X119" s="2">
        <v>78.7</v>
      </c>
      <c r="Y119" s="2">
        <v>248</v>
      </c>
      <c r="Z119" s="2" t="s">
        <v>1531</v>
      </c>
    </row>
    <row r="120" spans="1:39" ht="15.75" customHeight="1" x14ac:dyDescent="0.15">
      <c r="A120" s="43" t="s">
        <v>1546</v>
      </c>
      <c r="B120" s="43" t="s">
        <v>1547</v>
      </c>
      <c r="C120" s="52" t="s">
        <v>1548</v>
      </c>
      <c r="D120" s="43" t="s">
        <v>304</v>
      </c>
      <c r="E120" s="43"/>
      <c r="F120" s="52" t="s">
        <v>1504</v>
      </c>
      <c r="G120" s="43"/>
      <c r="H120" s="43"/>
      <c r="I120" s="43"/>
      <c r="J120" s="43"/>
      <c r="K120" s="43"/>
      <c r="L120" s="43"/>
      <c r="M120" s="43"/>
      <c r="N120" s="43"/>
      <c r="O120" s="43"/>
      <c r="P120" s="43"/>
      <c r="Q120" s="43"/>
      <c r="R120" s="43">
        <v>1</v>
      </c>
      <c r="S120" s="43"/>
      <c r="T120" s="43"/>
      <c r="U120" s="43" t="s">
        <v>1530</v>
      </c>
      <c r="V120" s="49"/>
      <c r="W120" s="49"/>
      <c r="X120" s="53">
        <v>56.26</v>
      </c>
      <c r="Y120" s="53" t="s">
        <v>1535</v>
      </c>
      <c r="Z120" s="53" t="s">
        <v>1531</v>
      </c>
      <c r="AA120" s="53"/>
      <c r="AB120" s="53"/>
      <c r="AC120" s="53"/>
      <c r="AD120" s="53"/>
      <c r="AE120" s="53"/>
      <c r="AF120" s="53"/>
      <c r="AG120" s="53"/>
      <c r="AH120" s="53"/>
      <c r="AI120" s="53"/>
      <c r="AJ120" s="53"/>
      <c r="AK120" s="53"/>
      <c r="AL120" s="53"/>
      <c r="AM120" s="53"/>
    </row>
    <row r="121" spans="1:39" ht="15.75" customHeight="1" x14ac:dyDescent="0.15">
      <c r="A121" s="1" t="s">
        <v>335</v>
      </c>
      <c r="B121" s="1" t="s">
        <v>336</v>
      </c>
      <c r="C121" s="5" t="s">
        <v>337</v>
      </c>
      <c r="D121" s="1" t="s">
        <v>304</v>
      </c>
      <c r="E121" s="1"/>
      <c r="F121" s="5" t="s">
        <v>1504</v>
      </c>
      <c r="G121" s="1"/>
      <c r="H121" s="1"/>
      <c r="I121" s="1"/>
      <c r="J121" s="1"/>
      <c r="K121" s="1"/>
      <c r="L121" s="1"/>
      <c r="M121" s="1"/>
      <c r="N121" s="1"/>
      <c r="O121" s="1"/>
      <c r="P121" s="1"/>
      <c r="Q121" s="1"/>
      <c r="R121" s="1">
        <v>1</v>
      </c>
      <c r="S121" s="1"/>
      <c r="T121" s="1"/>
      <c r="U121" s="1" t="s">
        <v>1530</v>
      </c>
      <c r="V121" s="49"/>
      <c r="W121" s="49"/>
      <c r="X121" s="2">
        <v>60.82</v>
      </c>
      <c r="Y121" s="2">
        <v>516</v>
      </c>
      <c r="Z121" s="2" t="s">
        <v>1536</v>
      </c>
    </row>
    <row r="122" spans="1:39" ht="15.75" customHeight="1" x14ac:dyDescent="0.15">
      <c r="A122" s="1" t="s">
        <v>338</v>
      </c>
      <c r="B122" s="1" t="s">
        <v>339</v>
      </c>
      <c r="C122" s="5" t="s">
        <v>340</v>
      </c>
      <c r="D122" s="1" t="s">
        <v>304</v>
      </c>
      <c r="E122" s="1"/>
      <c r="F122" s="5" t="s">
        <v>1504</v>
      </c>
      <c r="G122" s="1"/>
      <c r="H122" s="1"/>
      <c r="I122" s="1"/>
      <c r="J122" s="1"/>
      <c r="K122" s="1"/>
      <c r="L122" s="1"/>
      <c r="M122" s="1"/>
      <c r="N122" s="1"/>
      <c r="O122" s="1"/>
      <c r="P122" s="1"/>
      <c r="Q122" s="1"/>
      <c r="R122" s="1">
        <v>0</v>
      </c>
      <c r="S122" s="1"/>
      <c r="T122" s="1"/>
      <c r="U122" s="1" t="s">
        <v>1530</v>
      </c>
      <c r="V122" s="49"/>
      <c r="W122" s="49"/>
      <c r="X122" s="2">
        <v>54.63</v>
      </c>
      <c r="Y122" s="2">
        <v>324</v>
      </c>
      <c r="Z122" s="2" t="s">
        <v>1531</v>
      </c>
    </row>
    <row r="123" spans="1:39" ht="15.75" customHeight="1" x14ac:dyDescent="0.15">
      <c r="A123" s="1" t="s">
        <v>341</v>
      </c>
      <c r="B123" s="1" t="s">
        <v>342</v>
      </c>
      <c r="C123" s="1" t="s">
        <v>343</v>
      </c>
      <c r="D123" s="1" t="s">
        <v>304</v>
      </c>
      <c r="E123" s="1"/>
      <c r="F123" s="5" t="s">
        <v>1504</v>
      </c>
      <c r="G123" s="1"/>
      <c r="H123" s="1"/>
      <c r="I123" s="1"/>
      <c r="J123" s="1"/>
      <c r="K123" s="1"/>
      <c r="L123" s="1"/>
      <c r="M123" s="1"/>
      <c r="N123" s="1"/>
      <c r="O123" s="1"/>
      <c r="P123" s="1"/>
      <c r="Q123" s="1"/>
      <c r="R123" s="1">
        <v>0</v>
      </c>
      <c r="S123" s="1"/>
      <c r="T123" s="1"/>
      <c r="U123" s="1" t="s">
        <v>1530</v>
      </c>
      <c r="V123" s="49"/>
      <c r="W123" s="49"/>
      <c r="X123" s="2">
        <v>65.34</v>
      </c>
      <c r="Y123" s="2">
        <v>416</v>
      </c>
      <c r="Z123" s="2" t="s">
        <v>1531</v>
      </c>
    </row>
    <row r="124" spans="1:39" ht="15.75" customHeight="1" x14ac:dyDescent="0.15">
      <c r="A124" s="1" t="s">
        <v>344</v>
      </c>
      <c r="B124" s="1" t="s">
        <v>345</v>
      </c>
      <c r="C124" s="5" t="s">
        <v>346</v>
      </c>
      <c r="D124" s="1" t="s">
        <v>304</v>
      </c>
      <c r="E124" s="1"/>
      <c r="F124" s="5" t="s">
        <v>1507</v>
      </c>
      <c r="G124" s="1"/>
      <c r="H124" s="1"/>
      <c r="I124" s="1"/>
      <c r="J124" s="1"/>
      <c r="K124" s="1"/>
      <c r="L124" s="1"/>
      <c r="M124" s="1"/>
      <c r="N124" s="1"/>
      <c r="O124" s="1"/>
      <c r="P124" s="1"/>
      <c r="Q124" s="1"/>
      <c r="R124" s="1">
        <v>1</v>
      </c>
      <c r="S124" s="1"/>
      <c r="T124" s="1"/>
      <c r="U124" s="1" t="s">
        <v>1530</v>
      </c>
      <c r="V124" s="49"/>
      <c r="W124" s="49"/>
      <c r="X124" s="2">
        <v>61.74</v>
      </c>
      <c r="Y124" s="2">
        <v>707</v>
      </c>
      <c r="Z124" s="2" t="s">
        <v>1536</v>
      </c>
    </row>
    <row r="125" spans="1:39" ht="15.75" customHeight="1" x14ac:dyDescent="0.15">
      <c r="A125" s="43" t="s">
        <v>1549</v>
      </c>
      <c r="B125" s="43" t="s">
        <v>1550</v>
      </c>
      <c r="C125" s="52" t="s">
        <v>1551</v>
      </c>
      <c r="D125" s="43" t="s">
        <v>304</v>
      </c>
      <c r="E125" s="43"/>
      <c r="F125" s="52" t="s">
        <v>1504</v>
      </c>
      <c r="G125" s="43"/>
      <c r="H125" s="43"/>
      <c r="I125" s="43"/>
      <c r="J125" s="43"/>
      <c r="K125" s="43"/>
      <c r="L125" s="43"/>
      <c r="M125" s="43"/>
      <c r="N125" s="43"/>
      <c r="O125" s="43"/>
      <c r="P125" s="43"/>
      <c r="Q125" s="43"/>
      <c r="R125" s="43">
        <v>1</v>
      </c>
      <c r="S125" s="43"/>
      <c r="T125" s="43"/>
      <c r="U125" s="43" t="s">
        <v>1552</v>
      </c>
      <c r="V125" s="49"/>
      <c r="W125" s="49"/>
      <c r="X125" s="53">
        <v>41.24</v>
      </c>
      <c r="Y125" s="53" t="s">
        <v>1535</v>
      </c>
      <c r="Z125" s="53" t="s">
        <v>1536</v>
      </c>
      <c r="AA125" s="53"/>
      <c r="AB125" s="53"/>
      <c r="AC125" s="53"/>
      <c r="AD125" s="53"/>
      <c r="AE125" s="53"/>
      <c r="AF125" s="53"/>
      <c r="AG125" s="53"/>
      <c r="AH125" s="53"/>
      <c r="AI125" s="53"/>
      <c r="AJ125" s="53"/>
      <c r="AK125" s="53"/>
      <c r="AL125" s="53"/>
      <c r="AM125" s="53"/>
    </row>
    <row r="126" spans="1:39" ht="15.75" customHeight="1" x14ac:dyDescent="0.15">
      <c r="A126" s="1" t="s">
        <v>347</v>
      </c>
      <c r="B126" s="1" t="s">
        <v>348</v>
      </c>
      <c r="C126" s="5" t="s">
        <v>349</v>
      </c>
      <c r="D126" s="1" t="s">
        <v>304</v>
      </c>
      <c r="E126" s="1"/>
      <c r="F126" s="5" t="s">
        <v>1504</v>
      </c>
      <c r="G126" s="1"/>
      <c r="H126" s="1"/>
      <c r="I126" s="1"/>
      <c r="J126" s="1"/>
      <c r="K126" s="1"/>
      <c r="L126" s="1"/>
      <c r="M126" s="1"/>
      <c r="N126" s="1"/>
      <c r="O126" s="1"/>
      <c r="P126" s="1"/>
      <c r="Q126" s="1"/>
      <c r="R126" s="1">
        <v>1</v>
      </c>
      <c r="S126" s="1"/>
      <c r="T126" s="1"/>
      <c r="U126" s="1" t="s">
        <v>1530</v>
      </c>
      <c r="V126" s="49"/>
      <c r="W126" s="49"/>
      <c r="X126" s="2">
        <v>82.67</v>
      </c>
      <c r="Y126" s="2">
        <v>249</v>
      </c>
      <c r="Z126" s="2" t="s">
        <v>1531</v>
      </c>
    </row>
    <row r="127" spans="1:39" ht="15.75" customHeight="1" x14ac:dyDescent="0.15">
      <c r="A127" s="1" t="s">
        <v>350</v>
      </c>
      <c r="B127" s="1" t="s">
        <v>351</v>
      </c>
      <c r="C127" s="5" t="s">
        <v>352</v>
      </c>
      <c r="D127" s="1" t="s">
        <v>304</v>
      </c>
      <c r="E127" s="1"/>
      <c r="F127" s="5" t="s">
        <v>1504</v>
      </c>
      <c r="G127" s="1"/>
      <c r="H127" s="1"/>
      <c r="I127" s="1"/>
      <c r="J127" s="1"/>
      <c r="K127" s="1"/>
      <c r="L127" s="1"/>
      <c r="M127" s="1"/>
      <c r="N127" s="1"/>
      <c r="O127" s="1"/>
      <c r="P127" s="1"/>
      <c r="Q127" s="1"/>
      <c r="R127" s="1">
        <v>1</v>
      </c>
      <c r="S127" s="1"/>
      <c r="T127" s="1"/>
      <c r="U127" s="1" t="s">
        <v>1530</v>
      </c>
      <c r="V127" s="49"/>
      <c r="W127" s="49"/>
      <c r="X127" s="2">
        <v>51.24</v>
      </c>
      <c r="Y127" s="2">
        <v>376</v>
      </c>
      <c r="Z127" s="2" t="s">
        <v>1536</v>
      </c>
    </row>
    <row r="128" spans="1:39" ht="15.75" customHeight="1" x14ac:dyDescent="0.15">
      <c r="A128" s="43" t="s">
        <v>1553</v>
      </c>
      <c r="B128" s="43" t="s">
        <v>1554</v>
      </c>
      <c r="C128" s="52" t="s">
        <v>1555</v>
      </c>
      <c r="D128" s="43" t="s">
        <v>304</v>
      </c>
      <c r="E128" s="43"/>
      <c r="F128" s="52" t="s">
        <v>1507</v>
      </c>
      <c r="G128" s="43"/>
      <c r="H128" s="43"/>
      <c r="I128" s="43"/>
      <c r="J128" s="43"/>
      <c r="K128" s="43"/>
      <c r="L128" s="43"/>
      <c r="M128" s="43"/>
      <c r="N128" s="43"/>
      <c r="O128" s="43"/>
      <c r="P128" s="43"/>
      <c r="Q128" s="43"/>
      <c r="R128" s="43">
        <v>0</v>
      </c>
      <c r="S128" s="43"/>
      <c r="T128" s="43"/>
      <c r="U128" s="43" t="s">
        <v>1530</v>
      </c>
      <c r="V128" s="49"/>
      <c r="W128" s="49"/>
      <c r="X128" s="53">
        <v>60.06</v>
      </c>
      <c r="Y128" s="53" t="s">
        <v>1535</v>
      </c>
      <c r="Z128" s="53" t="s">
        <v>1531</v>
      </c>
      <c r="AA128" s="53"/>
      <c r="AB128" s="53"/>
      <c r="AC128" s="53"/>
      <c r="AD128" s="53"/>
      <c r="AE128" s="53"/>
      <c r="AF128" s="53"/>
      <c r="AG128" s="53"/>
      <c r="AH128" s="53"/>
      <c r="AI128" s="53"/>
      <c r="AJ128" s="53"/>
      <c r="AK128" s="53"/>
      <c r="AL128" s="53"/>
      <c r="AM128" s="53"/>
    </row>
    <row r="129" spans="1:39" ht="13" x14ac:dyDescent="0.15">
      <c r="A129" s="1" t="s">
        <v>353</v>
      </c>
      <c r="B129" s="1" t="s">
        <v>354</v>
      </c>
      <c r="C129" s="5" t="s">
        <v>355</v>
      </c>
      <c r="D129" s="1" t="s">
        <v>304</v>
      </c>
      <c r="E129" s="1"/>
      <c r="F129" s="5" t="s">
        <v>1504</v>
      </c>
      <c r="G129" s="1"/>
      <c r="H129" s="1"/>
      <c r="I129" s="1"/>
      <c r="J129" s="1"/>
      <c r="K129" s="1"/>
      <c r="L129" s="1"/>
      <c r="M129" s="1"/>
      <c r="N129" s="1"/>
      <c r="O129" s="1"/>
      <c r="P129" s="1"/>
      <c r="Q129" s="1"/>
      <c r="R129" s="1">
        <v>0</v>
      </c>
      <c r="S129" s="1"/>
      <c r="T129" s="1"/>
      <c r="U129" s="1" t="s">
        <v>1530</v>
      </c>
      <c r="V129" s="49"/>
      <c r="W129" s="49"/>
      <c r="X129" s="2">
        <v>43.53</v>
      </c>
      <c r="Y129" s="2">
        <v>598</v>
      </c>
      <c r="Z129" s="2" t="s">
        <v>1531</v>
      </c>
    </row>
    <row r="130" spans="1:39" ht="13" x14ac:dyDescent="0.15">
      <c r="A130" s="1" t="s">
        <v>356</v>
      </c>
      <c r="B130" s="1" t="s">
        <v>357</v>
      </c>
      <c r="C130" s="5" t="s">
        <v>358</v>
      </c>
      <c r="D130" s="1" t="s">
        <v>304</v>
      </c>
      <c r="E130" s="1"/>
      <c r="F130" s="5" t="s">
        <v>1504</v>
      </c>
      <c r="G130" s="1"/>
      <c r="H130" s="1"/>
      <c r="I130" s="1"/>
      <c r="J130" s="1"/>
      <c r="K130" s="1"/>
      <c r="L130" s="1"/>
      <c r="M130" s="1"/>
      <c r="N130" s="1"/>
      <c r="O130" s="1"/>
      <c r="P130" s="1"/>
      <c r="Q130" s="1"/>
      <c r="R130" s="1">
        <v>0</v>
      </c>
      <c r="S130" s="1"/>
      <c r="T130" s="1"/>
      <c r="U130" s="1" t="s">
        <v>1530</v>
      </c>
      <c r="V130" s="49"/>
      <c r="W130" s="49"/>
      <c r="X130" s="2">
        <v>28.11</v>
      </c>
      <c r="Y130" s="2">
        <v>36</v>
      </c>
      <c r="Z130" s="2" t="s">
        <v>1536</v>
      </c>
    </row>
    <row r="131" spans="1:39" ht="13" x14ac:dyDescent="0.15">
      <c r="A131" s="1" t="s">
        <v>359</v>
      </c>
      <c r="B131" s="1" t="s">
        <v>360</v>
      </c>
      <c r="C131" s="5" t="s">
        <v>361</v>
      </c>
      <c r="D131" s="1" t="s">
        <v>304</v>
      </c>
      <c r="E131" s="1"/>
      <c r="F131" s="5" t="s">
        <v>1504</v>
      </c>
      <c r="G131" s="1"/>
      <c r="H131" s="1"/>
      <c r="I131" s="1"/>
      <c r="J131" s="1"/>
      <c r="K131" s="1"/>
      <c r="L131" s="1"/>
      <c r="M131" s="1"/>
      <c r="N131" s="1"/>
      <c r="O131" s="1"/>
      <c r="P131" s="1"/>
      <c r="Q131" s="1"/>
      <c r="R131" s="1">
        <v>0</v>
      </c>
      <c r="S131" s="1"/>
      <c r="T131" s="1"/>
      <c r="U131" s="1" t="s">
        <v>1530</v>
      </c>
      <c r="V131" s="49"/>
      <c r="W131" s="49"/>
      <c r="X131" s="2">
        <v>60.59</v>
      </c>
      <c r="Y131" s="2">
        <v>316</v>
      </c>
      <c r="Z131" s="2" t="s">
        <v>1531</v>
      </c>
    </row>
    <row r="132" spans="1:39" ht="13" x14ac:dyDescent="0.15">
      <c r="A132" s="43" t="s">
        <v>1556</v>
      </c>
      <c r="B132" s="43" t="s">
        <v>1557</v>
      </c>
      <c r="C132" s="52" t="s">
        <v>1558</v>
      </c>
      <c r="D132" s="43" t="s">
        <v>304</v>
      </c>
      <c r="E132" s="43"/>
      <c r="F132" s="52" t="s">
        <v>1507</v>
      </c>
      <c r="G132" s="43"/>
      <c r="H132" s="43"/>
      <c r="I132" s="43"/>
      <c r="J132" s="43"/>
      <c r="K132" s="43"/>
      <c r="L132" s="43"/>
      <c r="M132" s="43"/>
      <c r="N132" s="43"/>
      <c r="O132" s="43"/>
      <c r="P132" s="43"/>
      <c r="Q132" s="43"/>
      <c r="R132" s="43">
        <v>0</v>
      </c>
      <c r="S132" s="43"/>
      <c r="T132" s="43"/>
      <c r="U132" s="43" t="s">
        <v>1530</v>
      </c>
      <c r="V132" s="49"/>
      <c r="W132" s="49"/>
      <c r="X132" s="53">
        <v>56.94</v>
      </c>
      <c r="Y132" s="53">
        <v>205</v>
      </c>
      <c r="Z132" s="53" t="s">
        <v>1535</v>
      </c>
      <c r="AA132" s="53"/>
      <c r="AB132" s="53"/>
      <c r="AC132" s="53"/>
      <c r="AD132" s="53"/>
      <c r="AE132" s="53"/>
      <c r="AF132" s="53"/>
      <c r="AG132" s="53"/>
      <c r="AH132" s="53"/>
      <c r="AI132" s="53"/>
      <c r="AJ132" s="53"/>
      <c r="AK132" s="53"/>
      <c r="AL132" s="53"/>
      <c r="AM132" s="53"/>
    </row>
    <row r="133" spans="1:39" ht="13" x14ac:dyDescent="0.15">
      <c r="A133" s="1" t="s">
        <v>362</v>
      </c>
      <c r="B133" s="1" t="s">
        <v>363</v>
      </c>
      <c r="C133" s="5" t="s">
        <v>364</v>
      </c>
      <c r="D133" s="1" t="s">
        <v>304</v>
      </c>
      <c r="E133" s="1"/>
      <c r="F133" s="5" t="s">
        <v>1507</v>
      </c>
      <c r="G133" s="1"/>
      <c r="H133" s="1"/>
      <c r="I133" s="1"/>
      <c r="J133" s="1"/>
      <c r="K133" s="1"/>
      <c r="L133" s="1"/>
      <c r="M133" s="1"/>
      <c r="N133" s="1"/>
      <c r="O133" s="1"/>
      <c r="P133" s="1"/>
      <c r="Q133" s="1"/>
      <c r="R133" s="1">
        <v>1</v>
      </c>
      <c r="S133" s="1"/>
      <c r="T133" s="1"/>
      <c r="U133" s="1" t="s">
        <v>1530</v>
      </c>
      <c r="V133" s="49"/>
      <c r="W133" s="49"/>
      <c r="X133" s="2">
        <v>60.23</v>
      </c>
      <c r="Y133" s="2">
        <v>284</v>
      </c>
      <c r="Z133" s="2" t="s">
        <v>1531</v>
      </c>
    </row>
    <row r="134" spans="1:39" ht="13" x14ac:dyDescent="0.15">
      <c r="A134" s="1" t="s">
        <v>365</v>
      </c>
      <c r="B134" s="1" t="s">
        <v>366</v>
      </c>
      <c r="C134" s="5" t="s">
        <v>367</v>
      </c>
      <c r="D134" s="1" t="s">
        <v>304</v>
      </c>
      <c r="E134" s="1"/>
      <c r="F134" s="5" t="s">
        <v>1504</v>
      </c>
      <c r="G134" s="1"/>
      <c r="H134" s="1"/>
      <c r="I134" s="1"/>
      <c r="J134" s="1"/>
      <c r="K134" s="1"/>
      <c r="L134" s="1"/>
      <c r="M134" s="1"/>
      <c r="N134" s="1"/>
      <c r="O134" s="1"/>
      <c r="P134" s="1"/>
      <c r="Q134" s="1"/>
      <c r="R134" s="1">
        <v>1</v>
      </c>
      <c r="S134" s="1"/>
      <c r="T134" s="1"/>
      <c r="U134" s="1" t="s">
        <v>1530</v>
      </c>
      <c r="V134" s="49"/>
      <c r="W134" s="49"/>
      <c r="X134" s="2">
        <v>60.67</v>
      </c>
      <c r="Y134" s="2">
        <v>338</v>
      </c>
      <c r="Z134" s="2" t="s">
        <v>1531</v>
      </c>
    </row>
    <row r="135" spans="1:39" ht="13" x14ac:dyDescent="0.15">
      <c r="A135" s="43" t="s">
        <v>1559</v>
      </c>
      <c r="B135" s="43" t="s">
        <v>1560</v>
      </c>
      <c r="C135" s="52" t="s">
        <v>1561</v>
      </c>
      <c r="D135" s="43" t="s">
        <v>304</v>
      </c>
      <c r="E135" s="43"/>
      <c r="F135" s="52" t="s">
        <v>1504</v>
      </c>
      <c r="G135" s="43"/>
      <c r="H135" s="43"/>
      <c r="I135" s="43"/>
      <c r="J135" s="43"/>
      <c r="K135" s="43"/>
      <c r="L135" s="43"/>
      <c r="M135" s="43"/>
      <c r="N135" s="43"/>
      <c r="O135" s="43"/>
      <c r="P135" s="43"/>
      <c r="Q135" s="43"/>
      <c r="R135" s="43">
        <v>0</v>
      </c>
      <c r="S135" s="43"/>
      <c r="T135" s="43"/>
      <c r="U135" s="43" t="s">
        <v>1530</v>
      </c>
      <c r="V135" s="49"/>
      <c r="W135" s="49"/>
      <c r="X135" s="53">
        <v>61.94</v>
      </c>
      <c r="Y135" s="53" t="s">
        <v>1535</v>
      </c>
      <c r="Z135" s="53" t="s">
        <v>1536</v>
      </c>
      <c r="AA135" s="53"/>
      <c r="AB135" s="53"/>
      <c r="AC135" s="53"/>
      <c r="AD135" s="53"/>
      <c r="AE135" s="53"/>
      <c r="AF135" s="53"/>
      <c r="AG135" s="53"/>
      <c r="AH135" s="53"/>
      <c r="AI135" s="53"/>
      <c r="AJ135" s="53"/>
      <c r="AK135" s="53"/>
      <c r="AL135" s="53"/>
      <c r="AM135" s="53"/>
    </row>
    <row r="136" spans="1:39" ht="13" x14ac:dyDescent="0.15">
      <c r="A136" s="1" t="s">
        <v>368</v>
      </c>
      <c r="B136" s="1" t="s">
        <v>369</v>
      </c>
      <c r="C136" s="5" t="s">
        <v>370</v>
      </c>
      <c r="D136" s="1" t="s">
        <v>304</v>
      </c>
      <c r="E136" s="1"/>
      <c r="F136" s="5" t="s">
        <v>1504</v>
      </c>
      <c r="G136" s="1"/>
      <c r="H136" s="1"/>
      <c r="I136" s="1"/>
      <c r="J136" s="1"/>
      <c r="K136" s="1"/>
      <c r="L136" s="1"/>
      <c r="M136" s="1"/>
      <c r="N136" s="1"/>
      <c r="O136" s="1"/>
      <c r="P136" s="1"/>
      <c r="Q136" s="1"/>
      <c r="R136" s="1">
        <v>1</v>
      </c>
      <c r="S136" s="1"/>
      <c r="T136" s="1"/>
      <c r="U136" s="1" t="s">
        <v>1530</v>
      </c>
      <c r="V136" s="49"/>
      <c r="W136" s="49"/>
      <c r="X136" s="2">
        <v>67.11</v>
      </c>
      <c r="Y136" s="2">
        <v>127</v>
      </c>
      <c r="Z136" s="2" t="s">
        <v>1536</v>
      </c>
    </row>
    <row r="137" spans="1:39" ht="13" x14ac:dyDescent="0.15">
      <c r="A137" s="1" t="s">
        <v>371</v>
      </c>
      <c r="B137" s="1" t="s">
        <v>372</v>
      </c>
      <c r="C137" s="5" t="s">
        <v>373</v>
      </c>
      <c r="D137" s="1" t="s">
        <v>304</v>
      </c>
      <c r="E137" s="1"/>
      <c r="F137" s="5" t="s">
        <v>1507</v>
      </c>
      <c r="G137" s="1"/>
      <c r="H137" s="1"/>
      <c r="I137" s="1"/>
      <c r="J137" s="1"/>
      <c r="K137" s="1"/>
      <c r="L137" s="1"/>
      <c r="M137" s="1"/>
      <c r="N137" s="1"/>
      <c r="O137" s="1"/>
      <c r="P137" s="1"/>
      <c r="Q137" s="1"/>
      <c r="R137" s="1">
        <v>1</v>
      </c>
      <c r="S137" s="1"/>
      <c r="T137" s="1"/>
      <c r="U137" s="1" t="s">
        <v>1530</v>
      </c>
      <c r="V137" s="49"/>
      <c r="W137" s="49"/>
      <c r="X137" s="2">
        <v>57.61</v>
      </c>
      <c r="Y137" s="2">
        <v>493</v>
      </c>
      <c r="Z137" s="2" t="s">
        <v>1536</v>
      </c>
    </row>
    <row r="138" spans="1:39" ht="13" x14ac:dyDescent="0.15">
      <c r="A138" s="1" t="s">
        <v>374</v>
      </c>
      <c r="B138" s="1" t="s">
        <v>375</v>
      </c>
      <c r="C138" s="5" t="s">
        <v>376</v>
      </c>
      <c r="D138" s="1" t="s">
        <v>304</v>
      </c>
      <c r="E138" s="1"/>
      <c r="F138" s="5" t="s">
        <v>1504</v>
      </c>
      <c r="G138" s="1"/>
      <c r="H138" s="1"/>
      <c r="I138" s="1"/>
      <c r="J138" s="1"/>
      <c r="K138" s="1"/>
      <c r="L138" s="1"/>
      <c r="M138" s="1"/>
      <c r="N138" s="1"/>
      <c r="O138" s="1"/>
      <c r="P138" s="1"/>
      <c r="Q138" s="1"/>
      <c r="R138" s="1">
        <v>0</v>
      </c>
      <c r="S138" s="1"/>
      <c r="T138" s="1"/>
      <c r="U138" s="1" t="s">
        <v>1530</v>
      </c>
      <c r="V138" s="49"/>
      <c r="W138" s="49"/>
      <c r="X138" s="2">
        <v>53.19</v>
      </c>
      <c r="Y138" s="2">
        <v>680</v>
      </c>
      <c r="Z138" s="2" t="s">
        <v>1531</v>
      </c>
    </row>
    <row r="139" spans="1:39" ht="13" x14ac:dyDescent="0.15">
      <c r="A139" s="1" t="s">
        <v>377</v>
      </c>
      <c r="B139" s="1" t="s">
        <v>378</v>
      </c>
      <c r="C139" s="1" t="s">
        <v>379</v>
      </c>
      <c r="D139" s="1" t="s">
        <v>304</v>
      </c>
      <c r="E139" s="1"/>
      <c r="F139" s="5" t="s">
        <v>1504</v>
      </c>
      <c r="G139" s="1"/>
      <c r="H139" s="1"/>
      <c r="I139" s="1"/>
      <c r="J139" s="1"/>
      <c r="K139" s="1"/>
      <c r="L139" s="1"/>
      <c r="M139" s="1"/>
      <c r="N139" s="1"/>
      <c r="O139" s="1"/>
      <c r="P139" s="1"/>
      <c r="Q139" s="1"/>
      <c r="R139" s="1">
        <v>0</v>
      </c>
      <c r="S139" s="1"/>
      <c r="T139" s="1"/>
      <c r="U139" s="1" t="s">
        <v>1530</v>
      </c>
      <c r="V139" s="49"/>
      <c r="W139" s="49"/>
      <c r="X139" s="2">
        <v>57.99</v>
      </c>
      <c r="Y139" s="2">
        <v>334</v>
      </c>
      <c r="Z139" s="2" t="s">
        <v>1531</v>
      </c>
    </row>
    <row r="140" spans="1:39" ht="13" x14ac:dyDescent="0.15">
      <c r="A140" s="1" t="s">
        <v>380</v>
      </c>
      <c r="B140" s="1" t="s">
        <v>381</v>
      </c>
      <c r="C140" s="5" t="s">
        <v>382</v>
      </c>
      <c r="D140" s="1" t="s">
        <v>304</v>
      </c>
      <c r="E140" s="1"/>
      <c r="F140" s="5" t="s">
        <v>1504</v>
      </c>
      <c r="G140" s="1"/>
      <c r="H140" s="1"/>
      <c r="I140" s="1"/>
      <c r="J140" s="1"/>
      <c r="K140" s="1"/>
      <c r="L140" s="1"/>
      <c r="M140" s="1"/>
      <c r="N140" s="1"/>
      <c r="O140" s="1"/>
      <c r="P140" s="1"/>
      <c r="Q140" s="1"/>
      <c r="R140" s="1">
        <v>1</v>
      </c>
      <c r="S140" s="1"/>
      <c r="T140" s="1"/>
      <c r="U140" s="1" t="s">
        <v>1530</v>
      </c>
      <c r="V140" s="49"/>
      <c r="W140" s="49"/>
      <c r="X140" s="2">
        <v>71.33</v>
      </c>
      <c r="Y140" s="2">
        <v>355</v>
      </c>
      <c r="Z140" s="2" t="s">
        <v>1536</v>
      </c>
    </row>
    <row r="141" spans="1:39" ht="13" x14ac:dyDescent="0.15">
      <c r="A141" s="1" t="s">
        <v>383</v>
      </c>
      <c r="B141" s="1" t="s">
        <v>384</v>
      </c>
      <c r="C141" s="5" t="s">
        <v>385</v>
      </c>
      <c r="D141" s="1" t="s">
        <v>304</v>
      </c>
      <c r="E141" s="1"/>
      <c r="F141" s="5" t="s">
        <v>1504</v>
      </c>
      <c r="G141" s="1"/>
      <c r="H141" s="1"/>
      <c r="I141" s="1"/>
      <c r="J141" s="1"/>
      <c r="K141" s="1"/>
      <c r="L141" s="1"/>
      <c r="M141" s="1"/>
      <c r="N141" s="1"/>
      <c r="O141" s="1"/>
      <c r="P141" s="1"/>
      <c r="Q141" s="1"/>
      <c r="R141" s="1">
        <v>0</v>
      </c>
      <c r="S141" s="1"/>
      <c r="T141" s="1"/>
      <c r="U141" s="1" t="s">
        <v>1530</v>
      </c>
      <c r="V141" s="49"/>
      <c r="W141" s="49"/>
      <c r="X141" s="2">
        <v>60.7</v>
      </c>
      <c r="Y141" s="2">
        <v>765</v>
      </c>
      <c r="Z141" s="2" t="s">
        <v>1536</v>
      </c>
    </row>
    <row r="142" spans="1:39" ht="13" x14ac:dyDescent="0.15">
      <c r="A142" s="1" t="s">
        <v>386</v>
      </c>
      <c r="B142" s="1" t="s">
        <v>387</v>
      </c>
      <c r="C142" s="5" t="s">
        <v>388</v>
      </c>
      <c r="D142" s="1" t="s">
        <v>304</v>
      </c>
      <c r="E142" s="1"/>
      <c r="F142" s="5" t="s">
        <v>1507</v>
      </c>
      <c r="G142" s="1"/>
      <c r="H142" s="1"/>
      <c r="I142" s="1"/>
      <c r="J142" s="1"/>
      <c r="K142" s="1"/>
      <c r="L142" s="1"/>
      <c r="M142" s="1"/>
      <c r="N142" s="1"/>
      <c r="O142" s="1"/>
      <c r="P142" s="1"/>
      <c r="Q142" s="1"/>
      <c r="R142" s="1">
        <v>1</v>
      </c>
      <c r="S142" s="1"/>
      <c r="T142" s="1"/>
      <c r="U142" s="1" t="s">
        <v>1530</v>
      </c>
      <c r="V142" s="49"/>
      <c r="W142" s="49"/>
      <c r="X142" s="2">
        <v>58.98</v>
      </c>
      <c r="Y142" s="2">
        <v>188</v>
      </c>
      <c r="Z142" s="2" t="s">
        <v>1536</v>
      </c>
    </row>
    <row r="143" spans="1:39" ht="13" x14ac:dyDescent="0.15">
      <c r="A143" s="1" t="s">
        <v>389</v>
      </c>
      <c r="B143" s="1" t="s">
        <v>390</v>
      </c>
      <c r="C143" s="5" t="s">
        <v>391</v>
      </c>
      <c r="D143" s="1" t="s">
        <v>304</v>
      </c>
      <c r="E143" s="1"/>
      <c r="F143" s="5" t="s">
        <v>1504</v>
      </c>
      <c r="G143" s="1"/>
      <c r="H143" s="1"/>
      <c r="I143" s="1"/>
      <c r="J143" s="1"/>
      <c r="K143" s="1"/>
      <c r="L143" s="1"/>
      <c r="M143" s="1"/>
      <c r="N143" s="1"/>
      <c r="O143" s="1"/>
      <c r="P143" s="1"/>
      <c r="Q143" s="1"/>
      <c r="R143" s="1">
        <v>0</v>
      </c>
      <c r="S143" s="1"/>
      <c r="T143" s="1"/>
      <c r="U143" s="1" t="s">
        <v>1530</v>
      </c>
      <c r="V143" s="49"/>
      <c r="W143" s="49"/>
      <c r="X143" s="2">
        <v>64.790000000000006</v>
      </c>
      <c r="Y143" s="2">
        <v>259</v>
      </c>
      <c r="Z143" s="2" t="s">
        <v>1531</v>
      </c>
    </row>
    <row r="144" spans="1:39" ht="13" x14ac:dyDescent="0.15">
      <c r="A144" s="1" t="s">
        <v>392</v>
      </c>
      <c r="B144" s="1" t="s">
        <v>393</v>
      </c>
      <c r="C144" s="5" t="s">
        <v>394</v>
      </c>
      <c r="D144" s="1" t="s">
        <v>304</v>
      </c>
      <c r="E144" s="1"/>
      <c r="F144" s="5" t="s">
        <v>1507</v>
      </c>
      <c r="G144" s="1"/>
      <c r="H144" s="1"/>
      <c r="I144" s="1"/>
      <c r="J144" s="1"/>
      <c r="K144" s="1"/>
      <c r="L144" s="1"/>
      <c r="M144" s="1"/>
      <c r="N144" s="1"/>
      <c r="O144" s="1"/>
      <c r="P144" s="1"/>
      <c r="Q144" s="1"/>
      <c r="R144" s="1">
        <v>0</v>
      </c>
      <c r="S144" s="1"/>
      <c r="T144" s="1"/>
      <c r="U144" s="1" t="s">
        <v>1530</v>
      </c>
      <c r="V144" s="49"/>
      <c r="W144" s="49"/>
      <c r="X144" s="2">
        <v>62.97</v>
      </c>
      <c r="Y144" s="2">
        <v>596</v>
      </c>
      <c r="Z144" s="2" t="s">
        <v>1531</v>
      </c>
    </row>
    <row r="145" spans="1:39" ht="13" x14ac:dyDescent="0.15">
      <c r="A145" s="1" t="s">
        <v>395</v>
      </c>
      <c r="B145" s="1" t="s">
        <v>396</v>
      </c>
      <c r="C145" s="5" t="s">
        <v>397</v>
      </c>
      <c r="D145" s="1" t="s">
        <v>304</v>
      </c>
      <c r="E145" s="1"/>
      <c r="F145" s="5" t="s">
        <v>1504</v>
      </c>
      <c r="G145" s="1"/>
      <c r="H145" s="1"/>
      <c r="I145" s="1"/>
      <c r="J145" s="1"/>
      <c r="K145" s="1"/>
      <c r="L145" s="1"/>
      <c r="M145" s="1"/>
      <c r="N145" s="1"/>
      <c r="O145" s="1"/>
      <c r="P145" s="1"/>
      <c r="Q145" s="1"/>
      <c r="R145" s="1">
        <v>0</v>
      </c>
      <c r="S145" s="1"/>
      <c r="T145" s="1"/>
      <c r="U145" s="1" t="s">
        <v>1530</v>
      </c>
      <c r="V145" s="49"/>
      <c r="W145" s="49"/>
      <c r="X145" s="2">
        <v>45.97</v>
      </c>
      <c r="Y145" s="2">
        <v>256</v>
      </c>
      <c r="Z145" s="2" t="s">
        <v>1531</v>
      </c>
    </row>
    <row r="146" spans="1:39" ht="13" x14ac:dyDescent="0.15">
      <c r="A146" s="1" t="s">
        <v>398</v>
      </c>
      <c r="B146" s="1" t="s">
        <v>399</v>
      </c>
      <c r="C146" s="5" t="s">
        <v>400</v>
      </c>
      <c r="D146" s="1" t="s">
        <v>304</v>
      </c>
      <c r="E146" s="1"/>
      <c r="F146" s="5" t="s">
        <v>1504</v>
      </c>
      <c r="G146" s="1"/>
      <c r="H146" s="1"/>
      <c r="I146" s="1"/>
      <c r="J146" s="1"/>
      <c r="K146" s="1"/>
      <c r="L146" s="1"/>
      <c r="M146" s="1"/>
      <c r="N146" s="1"/>
      <c r="O146" s="1"/>
      <c r="P146" s="1"/>
      <c r="Q146" s="1"/>
      <c r="R146" s="1">
        <v>0</v>
      </c>
      <c r="S146" s="1"/>
      <c r="T146" s="1"/>
      <c r="U146" s="1" t="s">
        <v>1530</v>
      </c>
      <c r="V146" s="49"/>
      <c r="W146" s="49"/>
      <c r="X146" s="2">
        <v>51.81</v>
      </c>
      <c r="Y146" s="2">
        <v>455</v>
      </c>
      <c r="Z146" s="2" t="s">
        <v>1531</v>
      </c>
    </row>
    <row r="147" spans="1:39" ht="13" x14ac:dyDescent="0.15">
      <c r="A147" s="43" t="s">
        <v>1562</v>
      </c>
      <c r="B147" s="43" t="s">
        <v>1563</v>
      </c>
      <c r="C147" s="52" t="s">
        <v>1564</v>
      </c>
      <c r="D147" s="43" t="s">
        <v>304</v>
      </c>
      <c r="E147" s="43"/>
      <c r="F147" s="52" t="s">
        <v>1504</v>
      </c>
      <c r="G147" s="43"/>
      <c r="H147" s="43"/>
      <c r="I147" s="43"/>
      <c r="J147" s="43"/>
      <c r="K147" s="43"/>
      <c r="L147" s="43"/>
      <c r="M147" s="43"/>
      <c r="N147" s="43"/>
      <c r="O147" s="43"/>
      <c r="P147" s="43"/>
      <c r="Q147" s="43"/>
      <c r="R147" s="43">
        <v>0</v>
      </c>
      <c r="S147" s="43"/>
      <c r="T147" s="43"/>
      <c r="U147" s="43" t="s">
        <v>1530</v>
      </c>
      <c r="V147" s="49"/>
      <c r="W147" s="49"/>
      <c r="X147" s="53">
        <v>56.07</v>
      </c>
      <c r="Y147" s="53">
        <v>572</v>
      </c>
      <c r="Z147" s="53" t="s">
        <v>1535</v>
      </c>
      <c r="AA147" s="53"/>
      <c r="AB147" s="53"/>
      <c r="AC147" s="53"/>
      <c r="AD147" s="53"/>
      <c r="AE147" s="53"/>
      <c r="AF147" s="53"/>
      <c r="AG147" s="53"/>
      <c r="AH147" s="53"/>
      <c r="AI147" s="53"/>
      <c r="AJ147" s="53"/>
      <c r="AK147" s="53"/>
      <c r="AL147" s="53"/>
      <c r="AM147" s="53"/>
    </row>
    <row r="148" spans="1:39" ht="13" x14ac:dyDescent="0.15">
      <c r="A148" s="1" t="s">
        <v>401</v>
      </c>
      <c r="B148" s="1" t="s">
        <v>402</v>
      </c>
      <c r="C148" s="1" t="s">
        <v>403</v>
      </c>
      <c r="D148" s="1" t="s">
        <v>304</v>
      </c>
      <c r="E148" s="1"/>
      <c r="F148" s="5" t="s">
        <v>1507</v>
      </c>
      <c r="G148" s="1"/>
      <c r="H148" s="1"/>
      <c r="I148" s="1"/>
      <c r="J148" s="1"/>
      <c r="K148" s="1"/>
      <c r="L148" s="1"/>
      <c r="M148" s="1"/>
      <c r="N148" s="1"/>
      <c r="O148" s="1"/>
      <c r="P148" s="1"/>
      <c r="Q148" s="1"/>
      <c r="R148" s="1">
        <v>1</v>
      </c>
      <c r="S148" s="1"/>
      <c r="T148" s="1"/>
      <c r="U148" s="1" t="s">
        <v>1530</v>
      </c>
      <c r="V148" s="49"/>
      <c r="W148" s="49"/>
      <c r="X148" s="2">
        <v>49.61</v>
      </c>
      <c r="Y148" s="2">
        <v>1410</v>
      </c>
      <c r="Z148" s="2" t="s">
        <v>1531</v>
      </c>
    </row>
    <row r="149" spans="1:39" ht="13" x14ac:dyDescent="0.15">
      <c r="A149" s="1" t="s">
        <v>404</v>
      </c>
      <c r="B149" s="1" t="s">
        <v>405</v>
      </c>
      <c r="C149" s="5" t="s">
        <v>406</v>
      </c>
      <c r="D149" s="1" t="s">
        <v>304</v>
      </c>
      <c r="E149" s="1"/>
      <c r="F149" s="5" t="s">
        <v>1507</v>
      </c>
      <c r="G149" s="1"/>
      <c r="H149" s="1"/>
      <c r="I149" s="1"/>
      <c r="J149" s="1"/>
      <c r="K149" s="1"/>
      <c r="L149" s="1"/>
      <c r="M149" s="1"/>
      <c r="N149" s="1"/>
      <c r="O149" s="1"/>
      <c r="P149" s="1"/>
      <c r="Q149" s="1"/>
      <c r="R149" s="1">
        <v>0</v>
      </c>
      <c r="S149" s="1"/>
      <c r="T149" s="1"/>
      <c r="U149" s="1" t="s">
        <v>1530</v>
      </c>
      <c r="V149" s="49"/>
      <c r="W149" s="49"/>
      <c r="X149" s="2">
        <v>60.63</v>
      </c>
      <c r="Y149" s="2">
        <v>582</v>
      </c>
      <c r="Z149" s="2" t="s">
        <v>1531</v>
      </c>
    </row>
    <row r="150" spans="1:39" ht="13" x14ac:dyDescent="0.15">
      <c r="A150" s="43" t="s">
        <v>1565</v>
      </c>
      <c r="B150" s="43" t="s">
        <v>1566</v>
      </c>
      <c r="C150" s="52" t="s">
        <v>1567</v>
      </c>
      <c r="D150" s="43" t="s">
        <v>304</v>
      </c>
      <c r="E150" s="43"/>
      <c r="F150" s="52" t="s">
        <v>1504</v>
      </c>
      <c r="G150" s="43"/>
      <c r="H150" s="43"/>
      <c r="I150" s="43"/>
      <c r="J150" s="43"/>
      <c r="K150" s="43"/>
      <c r="L150" s="43"/>
      <c r="M150" s="43"/>
      <c r="N150" s="43"/>
      <c r="O150" s="43"/>
      <c r="P150" s="43"/>
      <c r="Q150" s="43"/>
      <c r="R150" s="43">
        <v>1</v>
      </c>
      <c r="S150" s="43"/>
      <c r="T150" s="43"/>
      <c r="U150" s="43" t="s">
        <v>1530</v>
      </c>
      <c r="V150" s="49"/>
      <c r="W150" s="49"/>
      <c r="X150" s="53">
        <v>74.89</v>
      </c>
      <c r="Y150" s="53" t="s">
        <v>1535</v>
      </c>
      <c r="Z150" s="53" t="s">
        <v>1536</v>
      </c>
      <c r="AA150" s="53"/>
      <c r="AB150" s="53"/>
      <c r="AC150" s="53"/>
      <c r="AD150" s="53"/>
      <c r="AE150" s="53"/>
      <c r="AF150" s="53"/>
      <c r="AG150" s="53"/>
      <c r="AH150" s="53"/>
      <c r="AI150" s="53"/>
      <c r="AJ150" s="53"/>
      <c r="AK150" s="53"/>
      <c r="AL150" s="53"/>
      <c r="AM150" s="53"/>
    </row>
    <row r="151" spans="1:39" ht="13" x14ac:dyDescent="0.15">
      <c r="A151" s="1" t="s">
        <v>407</v>
      </c>
      <c r="B151" s="1" t="s">
        <v>408</v>
      </c>
      <c r="C151" s="5" t="s">
        <v>409</v>
      </c>
      <c r="D151" s="1" t="s">
        <v>304</v>
      </c>
      <c r="E151" s="1"/>
      <c r="F151" s="5" t="s">
        <v>1504</v>
      </c>
      <c r="G151" s="1"/>
      <c r="H151" s="1"/>
      <c r="I151" s="1"/>
      <c r="J151" s="1"/>
      <c r="K151" s="1"/>
      <c r="L151" s="1"/>
      <c r="M151" s="1"/>
      <c r="N151" s="1"/>
      <c r="O151" s="1"/>
      <c r="P151" s="1"/>
      <c r="Q151" s="1"/>
      <c r="R151" s="1">
        <v>0</v>
      </c>
      <c r="S151" s="1"/>
      <c r="T151" s="1"/>
      <c r="U151" s="1" t="s">
        <v>1530</v>
      </c>
      <c r="V151" s="49"/>
      <c r="W151" s="49"/>
      <c r="X151" s="2">
        <v>47.22</v>
      </c>
      <c r="Y151" s="2">
        <v>664</v>
      </c>
      <c r="Z151" s="2" t="s">
        <v>1531</v>
      </c>
    </row>
    <row r="152" spans="1:39" ht="13" x14ac:dyDescent="0.15">
      <c r="A152" s="1" t="s">
        <v>410</v>
      </c>
      <c r="B152" s="1" t="s">
        <v>411</v>
      </c>
      <c r="C152" s="5" t="s">
        <v>412</v>
      </c>
      <c r="D152" s="1" t="s">
        <v>304</v>
      </c>
      <c r="E152" s="1"/>
      <c r="F152" s="5" t="s">
        <v>1504</v>
      </c>
      <c r="G152" s="1"/>
      <c r="H152" s="1"/>
      <c r="I152" s="1"/>
      <c r="J152" s="1"/>
      <c r="K152" s="1"/>
      <c r="L152" s="1"/>
      <c r="M152" s="1"/>
      <c r="N152" s="1"/>
      <c r="O152" s="1"/>
      <c r="P152" s="1"/>
      <c r="Q152" s="1"/>
      <c r="R152" s="1">
        <v>0</v>
      </c>
      <c r="S152" s="1"/>
      <c r="T152" s="1"/>
      <c r="U152" s="1" t="s">
        <v>1530</v>
      </c>
      <c r="V152" s="49"/>
      <c r="W152" s="49"/>
      <c r="X152" s="2">
        <v>81.42</v>
      </c>
      <c r="Y152" s="2">
        <v>33</v>
      </c>
      <c r="Z152" s="2" t="s">
        <v>1531</v>
      </c>
    </row>
    <row r="153" spans="1:39" ht="13" x14ac:dyDescent="0.15">
      <c r="A153" s="1" t="s">
        <v>413</v>
      </c>
      <c r="B153" s="1" t="s">
        <v>414</v>
      </c>
      <c r="C153" s="5" t="s">
        <v>415</v>
      </c>
      <c r="D153" s="1" t="s">
        <v>304</v>
      </c>
      <c r="E153" s="1"/>
      <c r="F153" s="5" t="s">
        <v>1507</v>
      </c>
      <c r="G153" s="1"/>
      <c r="H153" s="1"/>
      <c r="I153" s="1"/>
      <c r="J153" s="1"/>
      <c r="K153" s="1"/>
      <c r="L153" s="1"/>
      <c r="M153" s="1"/>
      <c r="N153" s="1"/>
      <c r="O153" s="1"/>
      <c r="P153" s="1"/>
      <c r="Q153" s="1"/>
      <c r="R153" s="1">
        <v>1</v>
      </c>
      <c r="S153" s="1"/>
      <c r="T153" s="1"/>
      <c r="U153" s="1" t="s">
        <v>1530</v>
      </c>
      <c r="V153" s="49"/>
      <c r="W153" s="49"/>
      <c r="X153" s="2">
        <v>76.36</v>
      </c>
      <c r="Y153" s="2">
        <v>735</v>
      </c>
      <c r="Z153" s="2" t="s">
        <v>1536</v>
      </c>
    </row>
    <row r="154" spans="1:39" ht="13" x14ac:dyDescent="0.15">
      <c r="A154" s="1" t="s">
        <v>416</v>
      </c>
      <c r="B154" s="1" t="s">
        <v>417</v>
      </c>
      <c r="C154" s="5" t="s">
        <v>418</v>
      </c>
      <c r="D154" s="1" t="s">
        <v>304</v>
      </c>
      <c r="E154" s="1"/>
      <c r="F154" s="5" t="s">
        <v>1504</v>
      </c>
      <c r="G154" s="1"/>
      <c r="H154" s="1"/>
      <c r="I154" s="1"/>
      <c r="J154" s="1"/>
      <c r="K154" s="1"/>
      <c r="L154" s="1"/>
      <c r="M154" s="1"/>
      <c r="N154" s="1"/>
      <c r="O154" s="1"/>
      <c r="P154" s="1"/>
      <c r="Q154" s="1"/>
      <c r="R154" s="1">
        <v>0</v>
      </c>
      <c r="S154" s="1"/>
      <c r="T154" s="1"/>
      <c r="U154" s="1" t="s">
        <v>1530</v>
      </c>
      <c r="V154" s="49"/>
      <c r="W154" s="49"/>
      <c r="X154" s="2">
        <v>75.06</v>
      </c>
      <c r="Y154" s="2">
        <v>51</v>
      </c>
      <c r="Z154" s="2" t="s">
        <v>1536</v>
      </c>
    </row>
    <row r="155" spans="1:39" ht="13" x14ac:dyDescent="0.15">
      <c r="A155" s="1" t="s">
        <v>419</v>
      </c>
      <c r="B155" s="1" t="s">
        <v>420</v>
      </c>
      <c r="C155" s="5" t="s">
        <v>421</v>
      </c>
      <c r="D155" s="1" t="s">
        <v>304</v>
      </c>
      <c r="E155" s="1"/>
      <c r="F155" s="5" t="s">
        <v>1507</v>
      </c>
      <c r="G155" s="1"/>
      <c r="H155" s="1"/>
      <c r="I155" s="1"/>
      <c r="J155" s="1"/>
      <c r="K155" s="1"/>
      <c r="L155" s="1"/>
      <c r="M155" s="1"/>
      <c r="N155" s="1"/>
      <c r="O155" s="1"/>
      <c r="P155" s="1"/>
      <c r="Q155" s="1"/>
      <c r="R155" s="1">
        <v>1</v>
      </c>
      <c r="S155" s="1"/>
      <c r="T155" s="1"/>
      <c r="U155" s="1" t="s">
        <v>1530</v>
      </c>
      <c r="V155" s="49"/>
      <c r="W155" s="49"/>
      <c r="X155" s="2">
        <v>72.709999999999994</v>
      </c>
      <c r="Y155" s="2">
        <v>510</v>
      </c>
      <c r="Z155" s="2" t="s">
        <v>1531</v>
      </c>
    </row>
    <row r="156" spans="1:39" ht="13" x14ac:dyDescent="0.15">
      <c r="A156" s="1" t="s">
        <v>422</v>
      </c>
      <c r="B156" s="1" t="s">
        <v>423</v>
      </c>
      <c r="C156" s="1" t="s">
        <v>424</v>
      </c>
      <c r="D156" s="1" t="s">
        <v>304</v>
      </c>
      <c r="E156" s="1"/>
      <c r="F156" s="5" t="s">
        <v>1504</v>
      </c>
      <c r="G156" s="1"/>
      <c r="H156" s="1"/>
      <c r="I156" s="1"/>
      <c r="J156" s="1"/>
      <c r="K156" s="1"/>
      <c r="L156" s="1"/>
      <c r="M156" s="1"/>
      <c r="N156" s="1"/>
      <c r="O156" s="1"/>
      <c r="P156" s="1"/>
      <c r="Q156" s="1"/>
      <c r="R156" s="1">
        <v>1</v>
      </c>
      <c r="S156" s="1"/>
      <c r="T156" s="1"/>
      <c r="U156" s="1" t="s">
        <v>1530</v>
      </c>
      <c r="V156" s="49"/>
      <c r="W156" s="49"/>
      <c r="X156" s="2">
        <v>68.19</v>
      </c>
      <c r="Y156" s="2">
        <v>191</v>
      </c>
      <c r="Z156" s="2" t="s">
        <v>1536</v>
      </c>
    </row>
    <row r="157" spans="1:39" ht="13" x14ac:dyDescent="0.15">
      <c r="A157" s="1" t="s">
        <v>425</v>
      </c>
      <c r="B157" s="1" t="s">
        <v>426</v>
      </c>
      <c r="C157" s="5" t="s">
        <v>427</v>
      </c>
      <c r="D157" s="1" t="s">
        <v>304</v>
      </c>
      <c r="E157" s="1"/>
      <c r="F157" s="5" t="s">
        <v>1507</v>
      </c>
      <c r="G157" s="1"/>
      <c r="H157" s="1"/>
      <c r="I157" s="1"/>
      <c r="J157" s="1"/>
      <c r="K157" s="1"/>
      <c r="L157" s="1"/>
      <c r="M157" s="1"/>
      <c r="N157" s="1"/>
      <c r="O157" s="1"/>
      <c r="P157" s="1"/>
      <c r="Q157" s="1"/>
      <c r="R157" s="1">
        <v>1</v>
      </c>
      <c r="S157" s="1"/>
      <c r="T157" s="1"/>
      <c r="U157" s="1" t="s">
        <v>1530</v>
      </c>
      <c r="V157" s="49"/>
      <c r="W157" s="49"/>
      <c r="X157" s="2">
        <v>51.54</v>
      </c>
      <c r="Y157" s="2">
        <v>578</v>
      </c>
      <c r="Z157" s="2" t="s">
        <v>1531</v>
      </c>
    </row>
    <row r="158" spans="1:39" ht="13" x14ac:dyDescent="0.15">
      <c r="A158" s="1" t="s">
        <v>428</v>
      </c>
      <c r="B158" s="1" t="s">
        <v>429</v>
      </c>
      <c r="C158" s="5" t="s">
        <v>430</v>
      </c>
      <c r="D158" s="1" t="s">
        <v>304</v>
      </c>
      <c r="E158" s="1"/>
      <c r="F158" s="5" t="s">
        <v>1504</v>
      </c>
      <c r="G158" s="1"/>
      <c r="H158" s="1"/>
      <c r="I158" s="1"/>
      <c r="J158" s="1"/>
      <c r="K158" s="1"/>
      <c r="L158" s="1"/>
      <c r="M158" s="1"/>
      <c r="N158" s="1"/>
      <c r="O158" s="1"/>
      <c r="P158" s="1"/>
      <c r="Q158" s="1"/>
      <c r="R158" s="1">
        <v>0</v>
      </c>
      <c r="S158" s="1"/>
      <c r="T158" s="1"/>
      <c r="U158" s="1" t="s">
        <v>1530</v>
      </c>
      <c r="V158" s="49"/>
      <c r="W158" s="49"/>
      <c r="X158" s="2">
        <v>69.2</v>
      </c>
      <c r="Y158" s="2">
        <v>114</v>
      </c>
      <c r="Z158" s="2" t="s">
        <v>1536</v>
      </c>
    </row>
    <row r="159" spans="1:39" ht="13" x14ac:dyDescent="0.15">
      <c r="A159" s="1" t="s">
        <v>431</v>
      </c>
      <c r="B159" s="1" t="s">
        <v>432</v>
      </c>
      <c r="C159" s="5" t="s">
        <v>433</v>
      </c>
      <c r="D159" s="1" t="s">
        <v>304</v>
      </c>
      <c r="E159" s="1"/>
      <c r="F159" s="5" t="s">
        <v>1504</v>
      </c>
      <c r="G159" s="1"/>
      <c r="H159" s="1"/>
      <c r="I159" s="1"/>
      <c r="J159" s="1"/>
      <c r="K159" s="1"/>
      <c r="L159" s="1"/>
      <c r="M159" s="1"/>
      <c r="N159" s="1"/>
      <c r="O159" s="1"/>
      <c r="P159" s="1"/>
      <c r="Q159" s="1"/>
      <c r="R159" s="1">
        <v>0</v>
      </c>
      <c r="S159" s="1"/>
      <c r="T159" s="1"/>
      <c r="U159" s="1" t="s">
        <v>1530</v>
      </c>
      <c r="V159" s="49"/>
      <c r="W159" s="49"/>
      <c r="X159" s="2">
        <v>55.17</v>
      </c>
      <c r="Y159" s="2">
        <v>820</v>
      </c>
      <c r="Z159" s="2" t="s">
        <v>1531</v>
      </c>
    </row>
    <row r="160" spans="1:39" ht="13" x14ac:dyDescent="0.15">
      <c r="A160" s="1" t="s">
        <v>434</v>
      </c>
      <c r="B160" s="1" t="s">
        <v>435</v>
      </c>
      <c r="C160" s="5" t="s">
        <v>436</v>
      </c>
      <c r="D160" s="1" t="s">
        <v>304</v>
      </c>
      <c r="E160" s="1"/>
      <c r="F160" s="5" t="s">
        <v>1507</v>
      </c>
      <c r="G160" s="1"/>
      <c r="H160" s="1"/>
      <c r="I160" s="1"/>
      <c r="J160" s="1"/>
      <c r="K160" s="1"/>
      <c r="L160" s="1"/>
      <c r="M160" s="1"/>
      <c r="N160" s="1"/>
      <c r="O160" s="1"/>
      <c r="P160" s="1"/>
      <c r="Q160" s="1"/>
      <c r="R160" s="1">
        <v>0</v>
      </c>
      <c r="S160" s="1"/>
      <c r="T160" s="1"/>
      <c r="U160" s="1" t="s">
        <v>1530</v>
      </c>
      <c r="V160" s="49"/>
      <c r="W160" s="49"/>
      <c r="X160" s="2">
        <v>22.79</v>
      </c>
      <c r="Y160" s="2">
        <v>99</v>
      </c>
      <c r="Z160" s="2" t="s">
        <v>1531</v>
      </c>
    </row>
    <row r="161" spans="1:39" ht="13" x14ac:dyDescent="0.15">
      <c r="A161" s="1" t="s">
        <v>437</v>
      </c>
      <c r="B161" s="1" t="s">
        <v>438</v>
      </c>
      <c r="C161" s="5" t="s">
        <v>439</v>
      </c>
      <c r="D161" s="1" t="s">
        <v>304</v>
      </c>
      <c r="E161" s="1"/>
      <c r="F161" s="5" t="s">
        <v>1504</v>
      </c>
      <c r="G161" s="1"/>
      <c r="H161" s="1"/>
      <c r="I161" s="1"/>
      <c r="J161" s="1"/>
      <c r="K161" s="1"/>
      <c r="L161" s="1"/>
      <c r="M161" s="1"/>
      <c r="N161" s="1"/>
      <c r="O161" s="1"/>
      <c r="P161" s="1"/>
      <c r="Q161" s="1"/>
      <c r="R161" s="1">
        <v>0</v>
      </c>
      <c r="S161" s="1"/>
      <c r="T161" s="1"/>
      <c r="U161" s="1" t="s">
        <v>1530</v>
      </c>
      <c r="V161" s="49"/>
      <c r="W161" s="49"/>
      <c r="X161" s="2">
        <v>78.13</v>
      </c>
      <c r="Y161" s="2">
        <v>384</v>
      </c>
      <c r="Z161" s="2" t="s">
        <v>1536</v>
      </c>
    </row>
    <row r="162" spans="1:39" ht="13" x14ac:dyDescent="0.15">
      <c r="A162" s="1" t="s">
        <v>440</v>
      </c>
      <c r="B162" s="1" t="s">
        <v>441</v>
      </c>
      <c r="C162" s="1" t="s">
        <v>442</v>
      </c>
      <c r="D162" s="1" t="s">
        <v>304</v>
      </c>
      <c r="E162" s="1"/>
      <c r="F162" s="5" t="s">
        <v>1504</v>
      </c>
      <c r="G162" s="1"/>
      <c r="H162" s="1"/>
      <c r="I162" s="1"/>
      <c r="J162" s="1"/>
      <c r="K162" s="1"/>
      <c r="L162" s="1"/>
      <c r="M162" s="1"/>
      <c r="N162" s="1"/>
      <c r="O162" s="1"/>
      <c r="P162" s="1"/>
      <c r="Q162" s="1"/>
      <c r="R162" s="1">
        <v>1</v>
      </c>
      <c r="S162" s="1"/>
      <c r="T162" s="1"/>
      <c r="U162" s="1" t="s">
        <v>1530</v>
      </c>
      <c r="V162" s="49"/>
      <c r="W162" s="49"/>
      <c r="X162" s="2">
        <v>50.03</v>
      </c>
      <c r="Y162" s="2">
        <v>1227</v>
      </c>
      <c r="Z162" s="2" t="s">
        <v>1531</v>
      </c>
    </row>
    <row r="163" spans="1:39" ht="13" x14ac:dyDescent="0.15">
      <c r="A163" s="1" t="s">
        <v>443</v>
      </c>
      <c r="B163" s="1" t="s">
        <v>444</v>
      </c>
      <c r="C163" s="1" t="s">
        <v>445</v>
      </c>
      <c r="D163" s="1" t="s">
        <v>304</v>
      </c>
      <c r="E163" s="1"/>
      <c r="F163" s="5" t="s">
        <v>1504</v>
      </c>
      <c r="G163" s="1"/>
      <c r="H163" s="1"/>
      <c r="I163" s="1"/>
      <c r="J163" s="1"/>
      <c r="K163" s="1"/>
      <c r="L163" s="1"/>
      <c r="M163" s="1"/>
      <c r="N163" s="1"/>
      <c r="O163" s="1"/>
      <c r="P163" s="1"/>
      <c r="Q163" s="1"/>
      <c r="R163" s="1">
        <v>0</v>
      </c>
      <c r="S163" s="1"/>
      <c r="T163" s="1"/>
      <c r="U163" s="1" t="s">
        <v>1530</v>
      </c>
      <c r="V163" s="49"/>
      <c r="W163" s="49"/>
      <c r="X163" s="2">
        <v>64.760000000000005</v>
      </c>
      <c r="Y163" s="2">
        <v>374</v>
      </c>
      <c r="Z163" s="2" t="s">
        <v>1536</v>
      </c>
    </row>
    <row r="164" spans="1:39" ht="13" x14ac:dyDescent="0.15">
      <c r="A164" s="1" t="s">
        <v>446</v>
      </c>
      <c r="B164" s="1" t="s">
        <v>447</v>
      </c>
      <c r="C164" s="5" t="s">
        <v>448</v>
      </c>
      <c r="D164" s="1" t="s">
        <v>304</v>
      </c>
      <c r="E164" s="1"/>
      <c r="F164" s="5" t="s">
        <v>1504</v>
      </c>
      <c r="G164" s="1"/>
      <c r="H164" s="1"/>
      <c r="I164" s="1"/>
      <c r="J164" s="1"/>
      <c r="K164" s="1"/>
      <c r="L164" s="1"/>
      <c r="M164" s="1"/>
      <c r="N164" s="1"/>
      <c r="O164" s="1"/>
      <c r="P164" s="1"/>
      <c r="Q164" s="1"/>
      <c r="R164" s="1">
        <v>0</v>
      </c>
      <c r="S164" s="1"/>
      <c r="T164" s="1"/>
      <c r="U164" s="1" t="s">
        <v>1530</v>
      </c>
      <c r="V164" s="49"/>
      <c r="W164" s="49"/>
      <c r="X164" s="2">
        <v>76.13</v>
      </c>
      <c r="Y164" s="2">
        <v>234</v>
      </c>
      <c r="Z164" s="2" t="s">
        <v>1531</v>
      </c>
    </row>
    <row r="165" spans="1:39" ht="13" x14ac:dyDescent="0.15">
      <c r="A165" s="1" t="s">
        <v>449</v>
      </c>
      <c r="B165" s="1" t="s">
        <v>450</v>
      </c>
      <c r="C165" s="5" t="s">
        <v>451</v>
      </c>
      <c r="D165" s="1" t="s">
        <v>304</v>
      </c>
      <c r="E165" s="1"/>
      <c r="F165" s="5" t="s">
        <v>1504</v>
      </c>
      <c r="G165" s="1"/>
      <c r="H165" s="1"/>
      <c r="I165" s="1"/>
      <c r="J165" s="1"/>
      <c r="K165" s="1"/>
      <c r="L165" s="1"/>
      <c r="M165" s="1"/>
      <c r="N165" s="1"/>
      <c r="O165" s="1"/>
      <c r="P165" s="1"/>
      <c r="Q165" s="1"/>
      <c r="R165" s="1">
        <v>0</v>
      </c>
      <c r="S165" s="1"/>
      <c r="T165" s="1"/>
      <c r="U165" s="1" t="s">
        <v>1530</v>
      </c>
      <c r="V165" s="49"/>
      <c r="W165" s="49"/>
      <c r="X165" s="2">
        <v>29.01</v>
      </c>
      <c r="Y165" s="2">
        <v>138</v>
      </c>
      <c r="Z165" s="2" t="s">
        <v>1536</v>
      </c>
    </row>
    <row r="166" spans="1:39" ht="13" x14ac:dyDescent="0.15">
      <c r="A166" s="1" t="s">
        <v>452</v>
      </c>
      <c r="B166" s="1" t="s">
        <v>453</v>
      </c>
      <c r="C166" s="5" t="s">
        <v>454</v>
      </c>
      <c r="D166" s="1" t="s">
        <v>304</v>
      </c>
      <c r="E166" s="1"/>
      <c r="F166" s="5" t="s">
        <v>1504</v>
      </c>
      <c r="G166" s="1"/>
      <c r="H166" s="1"/>
      <c r="I166" s="1"/>
      <c r="J166" s="1"/>
      <c r="K166" s="1"/>
      <c r="L166" s="1"/>
      <c r="M166" s="1"/>
      <c r="N166" s="1"/>
      <c r="O166" s="1"/>
      <c r="P166" s="1"/>
      <c r="Q166" s="1"/>
      <c r="R166" s="1">
        <v>1</v>
      </c>
      <c r="S166" s="1"/>
      <c r="T166" s="1"/>
      <c r="U166" s="1" t="s">
        <v>1530</v>
      </c>
      <c r="V166" s="49"/>
      <c r="W166" s="49"/>
      <c r="X166" s="2">
        <v>61.97</v>
      </c>
      <c r="Y166" s="2">
        <v>61</v>
      </c>
      <c r="Z166" s="2" t="s">
        <v>1536</v>
      </c>
    </row>
    <row r="167" spans="1:39" ht="13" x14ac:dyDescent="0.15">
      <c r="A167" s="1" t="s">
        <v>455</v>
      </c>
      <c r="B167" s="1" t="s">
        <v>456</v>
      </c>
      <c r="C167" s="5" t="s">
        <v>457</v>
      </c>
      <c r="D167" s="1" t="s">
        <v>304</v>
      </c>
      <c r="E167" s="1"/>
      <c r="F167" s="5" t="s">
        <v>1507</v>
      </c>
      <c r="G167" s="1"/>
      <c r="H167" s="1"/>
      <c r="I167" s="1"/>
      <c r="J167" s="1"/>
      <c r="K167" s="1"/>
      <c r="L167" s="1"/>
      <c r="M167" s="1"/>
      <c r="N167" s="1"/>
      <c r="O167" s="1"/>
      <c r="P167" s="1"/>
      <c r="Q167" s="1"/>
      <c r="R167" s="1">
        <v>0</v>
      </c>
      <c r="S167" s="1"/>
      <c r="T167" s="1"/>
      <c r="U167" s="1" t="s">
        <v>1530</v>
      </c>
      <c r="V167" s="49"/>
      <c r="W167" s="49"/>
      <c r="X167" s="2">
        <v>66.180000000000007</v>
      </c>
      <c r="Y167" s="2">
        <v>70</v>
      </c>
      <c r="Z167" s="2" t="s">
        <v>1536</v>
      </c>
    </row>
    <row r="168" spans="1:39" ht="13" x14ac:dyDescent="0.15">
      <c r="A168" s="1" t="s">
        <v>458</v>
      </c>
      <c r="B168" s="1" t="s">
        <v>459</v>
      </c>
      <c r="C168" s="5" t="s">
        <v>460</v>
      </c>
      <c r="D168" s="1" t="s">
        <v>304</v>
      </c>
      <c r="E168" s="1"/>
      <c r="F168" s="5" t="s">
        <v>1504</v>
      </c>
      <c r="G168" s="1"/>
      <c r="H168" s="1"/>
      <c r="I168" s="1"/>
      <c r="J168" s="1"/>
      <c r="K168" s="1"/>
      <c r="L168" s="1"/>
      <c r="M168" s="1"/>
      <c r="N168" s="1"/>
      <c r="O168" s="1"/>
      <c r="P168" s="1"/>
      <c r="Q168" s="1"/>
      <c r="R168" s="1">
        <v>0</v>
      </c>
      <c r="S168" s="1"/>
      <c r="T168" s="1"/>
      <c r="U168" s="1" t="s">
        <v>1530</v>
      </c>
      <c r="V168" s="49"/>
      <c r="W168" s="49"/>
      <c r="X168" s="2">
        <v>61.42</v>
      </c>
      <c r="Y168" s="2">
        <v>98</v>
      </c>
      <c r="Z168" s="2" t="s">
        <v>1536</v>
      </c>
    </row>
    <row r="169" spans="1:39" ht="13" x14ac:dyDescent="0.15">
      <c r="A169" s="1" t="s">
        <v>461</v>
      </c>
      <c r="B169" s="1" t="s">
        <v>462</v>
      </c>
      <c r="C169" s="5" t="s">
        <v>463</v>
      </c>
      <c r="D169" s="1" t="s">
        <v>304</v>
      </c>
      <c r="E169" s="1"/>
      <c r="F169" s="5" t="s">
        <v>1507</v>
      </c>
      <c r="G169" s="1"/>
      <c r="H169" s="1"/>
      <c r="I169" s="1"/>
      <c r="J169" s="1"/>
      <c r="K169" s="1"/>
      <c r="L169" s="1"/>
      <c r="M169" s="1"/>
      <c r="N169" s="1"/>
      <c r="O169" s="1"/>
      <c r="P169" s="1"/>
      <c r="Q169" s="1"/>
      <c r="R169" s="1">
        <v>1</v>
      </c>
      <c r="S169" s="1"/>
      <c r="T169" s="1"/>
      <c r="U169" s="1" t="s">
        <v>1530</v>
      </c>
      <c r="V169" s="49"/>
      <c r="W169" s="49"/>
      <c r="X169" s="2">
        <v>75.430000000000007</v>
      </c>
      <c r="Y169" s="2">
        <v>75</v>
      </c>
      <c r="Z169" s="2" t="s">
        <v>1531</v>
      </c>
    </row>
    <row r="170" spans="1:39" ht="13" x14ac:dyDescent="0.15">
      <c r="A170" s="1" t="s">
        <v>464</v>
      </c>
      <c r="B170" s="1" t="s">
        <v>465</v>
      </c>
      <c r="C170" s="5" t="s">
        <v>466</v>
      </c>
      <c r="D170" s="1" t="s">
        <v>304</v>
      </c>
      <c r="E170" s="1"/>
      <c r="F170" s="5" t="s">
        <v>1504</v>
      </c>
      <c r="G170" s="1"/>
      <c r="H170" s="1"/>
      <c r="I170" s="1"/>
      <c r="J170" s="1"/>
      <c r="K170" s="1"/>
      <c r="L170" s="1"/>
      <c r="M170" s="1"/>
      <c r="N170" s="1"/>
      <c r="O170" s="1"/>
      <c r="P170" s="1"/>
      <c r="Q170" s="1"/>
      <c r="R170" s="1">
        <v>0</v>
      </c>
      <c r="S170" s="1"/>
      <c r="T170" s="1"/>
      <c r="U170" s="1" t="s">
        <v>1530</v>
      </c>
      <c r="V170" s="49"/>
      <c r="W170" s="49"/>
      <c r="X170" s="2">
        <v>52.12</v>
      </c>
      <c r="Y170" s="2">
        <v>531</v>
      </c>
      <c r="Z170" s="2" t="s">
        <v>1531</v>
      </c>
    </row>
    <row r="171" spans="1:39" ht="13" x14ac:dyDescent="0.15">
      <c r="A171" s="43" t="s">
        <v>1568</v>
      </c>
      <c r="B171" s="43" t="s">
        <v>1569</v>
      </c>
      <c r="C171" s="52" t="s">
        <v>1570</v>
      </c>
      <c r="D171" s="43" t="s">
        <v>304</v>
      </c>
      <c r="E171" s="43"/>
      <c r="F171" s="52" t="s">
        <v>1504</v>
      </c>
      <c r="G171" s="43"/>
      <c r="H171" s="43"/>
      <c r="I171" s="43"/>
      <c r="J171" s="43"/>
      <c r="K171" s="43"/>
      <c r="L171" s="43"/>
      <c r="M171" s="43"/>
      <c r="N171" s="43"/>
      <c r="O171" s="43"/>
      <c r="P171" s="43"/>
      <c r="Q171" s="43"/>
      <c r="R171" s="43">
        <v>1</v>
      </c>
      <c r="S171" s="43"/>
      <c r="T171" s="43"/>
      <c r="U171" s="43" t="s">
        <v>1530</v>
      </c>
      <c r="V171" s="49"/>
      <c r="W171" s="49"/>
      <c r="X171" s="53">
        <v>48.81</v>
      </c>
      <c r="Y171" s="53" t="s">
        <v>1535</v>
      </c>
      <c r="Z171" s="53" t="s">
        <v>1536</v>
      </c>
      <c r="AA171" s="53"/>
      <c r="AB171" s="53"/>
      <c r="AC171" s="53"/>
      <c r="AD171" s="53"/>
      <c r="AE171" s="53"/>
      <c r="AF171" s="53"/>
      <c r="AG171" s="53"/>
      <c r="AH171" s="53"/>
      <c r="AI171" s="53"/>
      <c r="AJ171" s="53"/>
      <c r="AK171" s="53"/>
      <c r="AL171" s="53"/>
      <c r="AM171" s="53"/>
    </row>
    <row r="172" spans="1:39" ht="13" x14ac:dyDescent="0.15">
      <c r="A172" s="1" t="s">
        <v>467</v>
      </c>
      <c r="B172" s="1" t="s">
        <v>468</v>
      </c>
      <c r="C172" s="1" t="s">
        <v>469</v>
      </c>
      <c r="D172" s="1" t="s">
        <v>304</v>
      </c>
      <c r="E172" s="1"/>
      <c r="F172" s="5" t="s">
        <v>1507</v>
      </c>
      <c r="G172" s="1"/>
      <c r="H172" s="1"/>
      <c r="I172" s="1"/>
      <c r="J172" s="1"/>
      <c r="K172" s="1"/>
      <c r="L172" s="1"/>
      <c r="M172" s="1"/>
      <c r="N172" s="1"/>
      <c r="O172" s="1"/>
      <c r="P172" s="1"/>
      <c r="Q172" s="1"/>
      <c r="R172" s="1">
        <v>1</v>
      </c>
      <c r="S172" s="1"/>
      <c r="T172" s="1"/>
      <c r="U172" s="1" t="s">
        <v>1530</v>
      </c>
      <c r="V172" s="49"/>
      <c r="W172" s="49"/>
      <c r="X172" s="2">
        <v>60.66</v>
      </c>
      <c r="Y172" s="2">
        <v>1527</v>
      </c>
      <c r="Z172" s="2" t="s">
        <v>1536</v>
      </c>
    </row>
    <row r="173" spans="1:39" ht="13" x14ac:dyDescent="0.15">
      <c r="A173" s="43" t="s">
        <v>1571</v>
      </c>
      <c r="B173" s="43" t="s">
        <v>1572</v>
      </c>
      <c r="C173" s="52" t="s">
        <v>1573</v>
      </c>
      <c r="D173" s="43" t="s">
        <v>304</v>
      </c>
      <c r="E173" s="43"/>
      <c r="F173" s="52" t="s">
        <v>1504</v>
      </c>
      <c r="G173" s="43"/>
      <c r="H173" s="43"/>
      <c r="I173" s="43"/>
      <c r="J173" s="43"/>
      <c r="K173" s="43"/>
      <c r="L173" s="43"/>
      <c r="M173" s="43"/>
      <c r="N173" s="43"/>
      <c r="O173" s="43"/>
      <c r="P173" s="43"/>
      <c r="Q173" s="43"/>
      <c r="R173" s="43">
        <v>0</v>
      </c>
      <c r="S173" s="43"/>
      <c r="T173" s="43"/>
      <c r="U173" s="43" t="s">
        <v>1530</v>
      </c>
      <c r="V173" s="49"/>
      <c r="W173" s="49"/>
      <c r="X173" s="53">
        <v>67.72</v>
      </c>
      <c r="Y173" s="53">
        <v>121</v>
      </c>
      <c r="Z173" s="53" t="s">
        <v>1535</v>
      </c>
      <c r="AA173" s="53"/>
      <c r="AB173" s="53"/>
      <c r="AC173" s="53"/>
      <c r="AD173" s="53"/>
      <c r="AE173" s="53"/>
      <c r="AF173" s="53"/>
      <c r="AG173" s="53"/>
      <c r="AH173" s="53"/>
      <c r="AI173" s="53"/>
      <c r="AJ173" s="53"/>
      <c r="AK173" s="53"/>
      <c r="AL173" s="53"/>
      <c r="AM173" s="53"/>
    </row>
    <row r="174" spans="1:39" ht="13" x14ac:dyDescent="0.15">
      <c r="A174" s="43" t="s">
        <v>1574</v>
      </c>
      <c r="B174" s="43" t="s">
        <v>1575</v>
      </c>
      <c r="C174" s="52" t="s">
        <v>1576</v>
      </c>
      <c r="D174" s="43" t="s">
        <v>304</v>
      </c>
      <c r="E174" s="43"/>
      <c r="F174" s="52" t="s">
        <v>1504</v>
      </c>
      <c r="G174" s="43"/>
      <c r="H174" s="43"/>
      <c r="I174" s="43"/>
      <c r="J174" s="43"/>
      <c r="K174" s="43"/>
      <c r="L174" s="43"/>
      <c r="M174" s="43"/>
      <c r="N174" s="43"/>
      <c r="O174" s="43"/>
      <c r="P174" s="43"/>
      <c r="Q174" s="43"/>
      <c r="R174" s="43">
        <v>0</v>
      </c>
      <c r="S174" s="43"/>
      <c r="T174" s="43"/>
      <c r="U174" s="43" t="s">
        <v>1530</v>
      </c>
      <c r="V174" s="49"/>
      <c r="W174" s="49"/>
      <c r="X174" s="53">
        <v>60.38</v>
      </c>
      <c r="Y174" s="53" t="s">
        <v>1535</v>
      </c>
      <c r="Z174" s="53" t="s">
        <v>1531</v>
      </c>
      <c r="AA174" s="53"/>
      <c r="AB174" s="53"/>
      <c r="AC174" s="53"/>
      <c r="AD174" s="53"/>
      <c r="AE174" s="53"/>
      <c r="AF174" s="53"/>
      <c r="AG174" s="53"/>
      <c r="AH174" s="53"/>
      <c r="AI174" s="53"/>
      <c r="AJ174" s="53"/>
      <c r="AK174" s="53"/>
      <c r="AL174" s="53"/>
      <c r="AM174" s="53"/>
    </row>
    <row r="175" spans="1:39" ht="13" x14ac:dyDescent="0.15">
      <c r="A175" s="43" t="s">
        <v>1577</v>
      </c>
      <c r="B175" s="43" t="s">
        <v>1578</v>
      </c>
      <c r="C175" s="52" t="s">
        <v>1579</v>
      </c>
      <c r="D175" s="43" t="s">
        <v>304</v>
      </c>
      <c r="E175" s="43"/>
      <c r="F175" s="52" t="s">
        <v>1504</v>
      </c>
      <c r="G175" s="43"/>
      <c r="H175" s="43"/>
      <c r="I175" s="43"/>
      <c r="J175" s="43"/>
      <c r="K175" s="43"/>
      <c r="L175" s="43"/>
      <c r="M175" s="43"/>
      <c r="N175" s="43"/>
      <c r="O175" s="43"/>
      <c r="P175" s="43"/>
      <c r="Q175" s="43"/>
      <c r="R175" s="43">
        <v>1</v>
      </c>
      <c r="S175" s="43"/>
      <c r="T175" s="43"/>
      <c r="U175" s="43" t="s">
        <v>1530</v>
      </c>
      <c r="V175" s="49"/>
      <c r="W175" s="49"/>
      <c r="X175" s="53">
        <v>67.87</v>
      </c>
      <c r="Y175" s="53" t="s">
        <v>1535</v>
      </c>
      <c r="Z175" s="53" t="s">
        <v>1536</v>
      </c>
      <c r="AA175" s="53"/>
      <c r="AB175" s="53"/>
      <c r="AC175" s="53"/>
      <c r="AD175" s="53"/>
      <c r="AE175" s="53"/>
      <c r="AF175" s="53"/>
      <c r="AG175" s="53"/>
      <c r="AH175" s="53"/>
      <c r="AI175" s="53"/>
      <c r="AJ175" s="53"/>
      <c r="AK175" s="53"/>
      <c r="AL175" s="53"/>
      <c r="AM175" s="53"/>
    </row>
    <row r="176" spans="1:39" ht="13" x14ac:dyDescent="0.15">
      <c r="A176" s="1" t="s">
        <v>470</v>
      </c>
      <c r="B176" s="1" t="s">
        <v>471</v>
      </c>
      <c r="C176" s="5" t="s">
        <v>472</v>
      </c>
      <c r="D176" s="1" t="s">
        <v>304</v>
      </c>
      <c r="E176" s="1"/>
      <c r="F176" s="5" t="s">
        <v>1504</v>
      </c>
      <c r="G176" s="1"/>
      <c r="H176" s="1"/>
      <c r="I176" s="1"/>
      <c r="J176" s="1"/>
      <c r="K176" s="1"/>
      <c r="L176" s="1"/>
      <c r="M176" s="1"/>
      <c r="N176" s="1"/>
      <c r="O176" s="1"/>
      <c r="P176" s="1"/>
      <c r="Q176" s="1"/>
      <c r="R176" s="1">
        <v>0</v>
      </c>
      <c r="S176" s="1"/>
      <c r="T176" s="1"/>
      <c r="U176" s="1" t="s">
        <v>1530</v>
      </c>
      <c r="V176" s="49"/>
      <c r="W176" s="49"/>
      <c r="X176" s="2">
        <v>71.760000000000005</v>
      </c>
      <c r="Y176" s="2">
        <v>248</v>
      </c>
      <c r="Z176" s="2" t="s">
        <v>1536</v>
      </c>
    </row>
    <row r="177" spans="1:39" ht="13" x14ac:dyDescent="0.15">
      <c r="A177" s="1" t="s">
        <v>473</v>
      </c>
      <c r="B177" s="1" t="s">
        <v>474</v>
      </c>
      <c r="C177" s="5" t="s">
        <v>475</v>
      </c>
      <c r="D177" s="1" t="s">
        <v>304</v>
      </c>
      <c r="E177" s="1"/>
      <c r="F177" s="5" t="s">
        <v>1507</v>
      </c>
      <c r="G177" s="1"/>
      <c r="H177" s="1"/>
      <c r="I177" s="1"/>
      <c r="J177" s="1"/>
      <c r="K177" s="1"/>
      <c r="L177" s="1"/>
      <c r="M177" s="1"/>
      <c r="N177" s="1"/>
      <c r="O177" s="1"/>
      <c r="P177" s="1"/>
      <c r="Q177" s="1"/>
      <c r="R177" s="1">
        <v>0</v>
      </c>
      <c r="S177" s="1"/>
      <c r="T177" s="1"/>
      <c r="U177" s="1" t="s">
        <v>1530</v>
      </c>
      <c r="V177" s="49"/>
      <c r="W177" s="49"/>
      <c r="X177" s="2">
        <v>48.71</v>
      </c>
      <c r="Y177" s="2">
        <v>610</v>
      </c>
      <c r="Z177" s="2" t="s">
        <v>1531</v>
      </c>
    </row>
    <row r="178" spans="1:39" ht="13" x14ac:dyDescent="0.15">
      <c r="A178" s="43" t="s">
        <v>1580</v>
      </c>
      <c r="B178" s="43" t="s">
        <v>1581</v>
      </c>
      <c r="C178" s="52" t="s">
        <v>1582</v>
      </c>
      <c r="D178" s="43" t="s">
        <v>304</v>
      </c>
      <c r="E178" s="43"/>
      <c r="F178" s="52" t="s">
        <v>1504</v>
      </c>
      <c r="G178" s="43"/>
      <c r="H178" s="43"/>
      <c r="I178" s="43"/>
      <c r="J178" s="43"/>
      <c r="K178" s="43"/>
      <c r="L178" s="43"/>
      <c r="M178" s="43"/>
      <c r="N178" s="43"/>
      <c r="O178" s="43"/>
      <c r="P178" s="43"/>
      <c r="Q178" s="43"/>
      <c r="R178" s="43">
        <v>1</v>
      </c>
      <c r="S178" s="43"/>
      <c r="T178" s="43"/>
      <c r="U178" s="43" t="s">
        <v>1530</v>
      </c>
      <c r="V178" s="49"/>
      <c r="W178" s="49"/>
      <c r="X178" s="53">
        <v>52.3</v>
      </c>
      <c r="Y178" s="53" t="s">
        <v>1535</v>
      </c>
      <c r="Z178" s="53" t="s">
        <v>1536</v>
      </c>
      <c r="AA178" s="53"/>
      <c r="AB178" s="53"/>
      <c r="AC178" s="53"/>
      <c r="AD178" s="53"/>
      <c r="AE178" s="53"/>
      <c r="AF178" s="53"/>
      <c r="AG178" s="53"/>
      <c r="AH178" s="53"/>
      <c r="AI178" s="53"/>
      <c r="AJ178" s="53"/>
      <c r="AK178" s="53"/>
      <c r="AL178" s="53"/>
      <c r="AM178" s="53"/>
    </row>
    <row r="179" spans="1:39" ht="13" x14ac:dyDescent="0.15">
      <c r="A179" s="1" t="s">
        <v>476</v>
      </c>
      <c r="B179" s="1" t="s">
        <v>477</v>
      </c>
      <c r="C179" s="1" t="s">
        <v>478</v>
      </c>
      <c r="D179" s="1" t="s">
        <v>304</v>
      </c>
      <c r="E179" s="1"/>
      <c r="F179" s="5" t="s">
        <v>1507</v>
      </c>
      <c r="G179" s="1"/>
      <c r="H179" s="1"/>
      <c r="I179" s="1"/>
      <c r="J179" s="1"/>
      <c r="K179" s="1"/>
      <c r="L179" s="1"/>
      <c r="M179" s="1"/>
      <c r="N179" s="1"/>
      <c r="O179" s="1"/>
      <c r="P179" s="1"/>
      <c r="Q179" s="1"/>
      <c r="R179" s="1">
        <v>0</v>
      </c>
      <c r="S179" s="1"/>
      <c r="T179" s="1"/>
      <c r="U179" s="1" t="s">
        <v>1530</v>
      </c>
      <c r="V179" s="49"/>
      <c r="W179" s="49"/>
      <c r="X179" s="2">
        <v>64.16</v>
      </c>
      <c r="Y179" s="2">
        <v>503</v>
      </c>
      <c r="Z179" s="2" t="s">
        <v>1536</v>
      </c>
    </row>
    <row r="180" spans="1:39" ht="13" x14ac:dyDescent="0.15">
      <c r="A180" s="1" t="s">
        <v>479</v>
      </c>
      <c r="B180" s="1" t="s">
        <v>480</v>
      </c>
      <c r="C180" s="5" t="s">
        <v>481</v>
      </c>
      <c r="D180" s="1" t="s">
        <v>304</v>
      </c>
      <c r="E180" s="1"/>
      <c r="F180" s="5" t="s">
        <v>1507</v>
      </c>
      <c r="G180" s="1"/>
      <c r="H180" s="1"/>
      <c r="I180" s="1"/>
      <c r="J180" s="1"/>
      <c r="K180" s="1"/>
      <c r="L180" s="1"/>
      <c r="M180" s="1"/>
      <c r="N180" s="1"/>
      <c r="O180" s="1"/>
      <c r="P180" s="1"/>
      <c r="Q180" s="1"/>
      <c r="R180" s="1">
        <v>0</v>
      </c>
      <c r="S180" s="1"/>
      <c r="T180" s="1"/>
      <c r="U180" s="1" t="s">
        <v>1530</v>
      </c>
      <c r="V180" s="49"/>
      <c r="W180" s="49"/>
      <c r="X180" s="2">
        <v>74.22</v>
      </c>
      <c r="Y180" s="2">
        <v>104</v>
      </c>
      <c r="Z180" s="2" t="s">
        <v>1536</v>
      </c>
    </row>
    <row r="181" spans="1:39" ht="13" x14ac:dyDescent="0.15">
      <c r="A181" s="1" t="s">
        <v>482</v>
      </c>
      <c r="B181" s="1" t="s">
        <v>483</v>
      </c>
      <c r="C181" s="5" t="s">
        <v>484</v>
      </c>
      <c r="D181" s="1" t="s">
        <v>304</v>
      </c>
      <c r="E181" s="1"/>
      <c r="F181" s="5" t="s">
        <v>1504</v>
      </c>
      <c r="G181" s="1"/>
      <c r="H181" s="1"/>
      <c r="I181" s="1"/>
      <c r="J181" s="1"/>
      <c r="K181" s="1"/>
      <c r="L181" s="1"/>
      <c r="M181" s="1"/>
      <c r="N181" s="1"/>
      <c r="O181" s="1"/>
      <c r="P181" s="1"/>
      <c r="Q181" s="1"/>
      <c r="R181" s="1">
        <v>0</v>
      </c>
      <c r="S181" s="1"/>
      <c r="T181" s="1"/>
      <c r="U181" s="1" t="s">
        <v>1530</v>
      </c>
      <c r="V181" s="49"/>
      <c r="W181" s="49"/>
      <c r="X181" s="2">
        <v>87.59</v>
      </c>
      <c r="Y181" s="2">
        <v>440</v>
      </c>
      <c r="Z181" s="2" t="s">
        <v>1531</v>
      </c>
    </row>
    <row r="182" spans="1:39" ht="13" x14ac:dyDescent="0.15">
      <c r="A182" s="1" t="s">
        <v>485</v>
      </c>
      <c r="B182" s="1" t="s">
        <v>486</v>
      </c>
      <c r="C182" s="5" t="s">
        <v>487</v>
      </c>
      <c r="D182" s="1" t="s">
        <v>304</v>
      </c>
      <c r="E182" s="1"/>
      <c r="F182" s="5" t="s">
        <v>1507</v>
      </c>
      <c r="G182" s="1"/>
      <c r="H182" s="1"/>
      <c r="I182" s="1"/>
      <c r="J182" s="1"/>
      <c r="K182" s="1"/>
      <c r="L182" s="1"/>
      <c r="M182" s="1"/>
      <c r="N182" s="1"/>
      <c r="O182" s="1"/>
      <c r="P182" s="1"/>
      <c r="Q182" s="1"/>
      <c r="R182" s="1">
        <v>1</v>
      </c>
      <c r="S182" s="1"/>
      <c r="T182" s="1"/>
      <c r="U182" s="1" t="s">
        <v>1530</v>
      </c>
      <c r="V182" s="49"/>
      <c r="W182" s="49"/>
      <c r="X182" s="2">
        <v>56.09</v>
      </c>
      <c r="Y182" s="2">
        <v>497</v>
      </c>
      <c r="Z182" s="2" t="s">
        <v>1536</v>
      </c>
    </row>
    <row r="183" spans="1:39" ht="13" x14ac:dyDescent="0.15">
      <c r="A183" s="1" t="s">
        <v>488</v>
      </c>
      <c r="B183" s="1" t="s">
        <v>489</v>
      </c>
      <c r="C183" s="1" t="s">
        <v>490</v>
      </c>
      <c r="D183" s="1" t="s">
        <v>304</v>
      </c>
      <c r="E183" s="1"/>
      <c r="F183" s="5" t="s">
        <v>1504</v>
      </c>
      <c r="G183" s="1"/>
      <c r="H183" s="1"/>
      <c r="I183" s="44"/>
      <c r="J183" s="1"/>
      <c r="K183" s="1"/>
      <c r="L183" s="1"/>
      <c r="M183" s="1"/>
      <c r="N183" s="1"/>
      <c r="O183" s="1"/>
      <c r="P183" s="1"/>
      <c r="Q183" s="1"/>
      <c r="R183" s="44">
        <v>1</v>
      </c>
      <c r="S183" s="1"/>
      <c r="T183" s="1"/>
      <c r="U183" s="1" t="s">
        <v>1530</v>
      </c>
      <c r="V183" s="49"/>
      <c r="W183" s="49"/>
      <c r="X183" s="2">
        <v>66.36</v>
      </c>
      <c r="Y183" s="2">
        <v>688</v>
      </c>
      <c r="Z183" s="2" t="s">
        <v>1531</v>
      </c>
    </row>
    <row r="184" spans="1:39" ht="13" x14ac:dyDescent="0.15">
      <c r="A184" s="43" t="s">
        <v>1583</v>
      </c>
      <c r="B184" s="43" t="s">
        <v>1584</v>
      </c>
      <c r="C184" s="52" t="s">
        <v>1585</v>
      </c>
      <c r="D184" s="43" t="s">
        <v>304</v>
      </c>
      <c r="E184" s="43"/>
      <c r="F184" s="52" t="s">
        <v>1507</v>
      </c>
      <c r="G184" s="43"/>
      <c r="H184" s="43"/>
      <c r="I184" s="43"/>
      <c r="J184" s="43"/>
      <c r="K184" s="43"/>
      <c r="L184" s="43"/>
      <c r="M184" s="43"/>
      <c r="N184" s="43"/>
      <c r="O184" s="43"/>
      <c r="P184" s="43"/>
      <c r="Q184" s="43"/>
      <c r="R184" s="43">
        <v>1</v>
      </c>
      <c r="S184" s="43"/>
      <c r="T184" s="43"/>
      <c r="U184" s="43" t="s">
        <v>1530</v>
      </c>
      <c r="V184" s="49"/>
      <c r="W184" s="49"/>
      <c r="X184" s="53">
        <v>79.900000000000006</v>
      </c>
      <c r="Y184" s="53" t="s">
        <v>1535</v>
      </c>
      <c r="Z184" s="53" t="s">
        <v>1536</v>
      </c>
      <c r="AA184" s="53"/>
      <c r="AB184" s="53"/>
      <c r="AC184" s="53"/>
      <c r="AD184" s="53"/>
      <c r="AE184" s="53"/>
      <c r="AF184" s="53"/>
      <c r="AG184" s="53"/>
      <c r="AH184" s="53"/>
      <c r="AI184" s="53"/>
      <c r="AJ184" s="53"/>
      <c r="AK184" s="53"/>
      <c r="AL184" s="53"/>
      <c r="AM184" s="53"/>
    </row>
    <row r="185" spans="1:39" ht="13" x14ac:dyDescent="0.15">
      <c r="A185" s="1" t="s">
        <v>491</v>
      </c>
      <c r="B185" s="1" t="s">
        <v>492</v>
      </c>
      <c r="C185" s="5" t="s">
        <v>493</v>
      </c>
      <c r="D185" s="1" t="s">
        <v>304</v>
      </c>
      <c r="E185" s="1"/>
      <c r="F185" s="5" t="s">
        <v>1507</v>
      </c>
      <c r="G185" s="1"/>
      <c r="H185" s="1"/>
      <c r="I185" s="1"/>
      <c r="J185" s="1"/>
      <c r="K185" s="1"/>
      <c r="L185" s="1"/>
      <c r="M185" s="1"/>
      <c r="N185" s="1"/>
      <c r="O185" s="1"/>
      <c r="P185" s="1"/>
      <c r="Q185" s="1"/>
      <c r="R185" s="1">
        <v>0</v>
      </c>
      <c r="S185" s="1"/>
      <c r="T185" s="1"/>
      <c r="U185" s="1" t="s">
        <v>1530</v>
      </c>
      <c r="V185" s="49"/>
      <c r="W185" s="49"/>
      <c r="X185" s="2">
        <v>82.41</v>
      </c>
      <c r="Y185" s="2">
        <v>80</v>
      </c>
      <c r="Z185" s="2" t="s">
        <v>1536</v>
      </c>
    </row>
    <row r="186" spans="1:39" ht="13" x14ac:dyDescent="0.15">
      <c r="A186" s="1" t="s">
        <v>494</v>
      </c>
      <c r="B186" s="1" t="s">
        <v>495</v>
      </c>
      <c r="C186" s="5" t="s">
        <v>496</v>
      </c>
      <c r="D186" s="1" t="s">
        <v>304</v>
      </c>
      <c r="E186" s="1"/>
      <c r="F186" s="5" t="s">
        <v>1504</v>
      </c>
      <c r="G186" s="1"/>
      <c r="H186" s="1"/>
      <c r="I186" s="1"/>
      <c r="J186" s="1"/>
      <c r="K186" s="1"/>
      <c r="L186" s="1"/>
      <c r="M186" s="1"/>
      <c r="N186" s="1"/>
      <c r="O186" s="1"/>
      <c r="P186" s="1"/>
      <c r="Q186" s="1"/>
      <c r="R186" s="1">
        <v>0</v>
      </c>
      <c r="S186" s="1"/>
      <c r="T186" s="1"/>
      <c r="U186" s="1" t="s">
        <v>1530</v>
      </c>
      <c r="V186" s="49"/>
      <c r="W186" s="49"/>
      <c r="X186" s="2">
        <v>66.16</v>
      </c>
      <c r="Y186" s="2">
        <v>199</v>
      </c>
      <c r="Z186" s="2" t="s">
        <v>1536</v>
      </c>
    </row>
    <row r="187" spans="1:39" ht="13" x14ac:dyDescent="0.15">
      <c r="A187" s="1" t="s">
        <v>497</v>
      </c>
      <c r="B187" s="1" t="s">
        <v>498</v>
      </c>
      <c r="C187" s="5" t="s">
        <v>499</v>
      </c>
      <c r="D187" s="1" t="s">
        <v>304</v>
      </c>
      <c r="E187" s="1"/>
      <c r="F187" s="5" t="s">
        <v>1504</v>
      </c>
      <c r="G187" s="1"/>
      <c r="H187" s="1"/>
      <c r="I187" s="1"/>
      <c r="J187" s="1"/>
      <c r="K187" s="1"/>
      <c r="L187" s="1"/>
      <c r="M187" s="1"/>
      <c r="N187" s="1"/>
      <c r="O187" s="1"/>
      <c r="P187" s="1"/>
      <c r="Q187" s="1"/>
      <c r="R187" s="1">
        <v>0</v>
      </c>
      <c r="S187" s="1"/>
      <c r="T187" s="1"/>
      <c r="U187" s="1" t="s">
        <v>1530</v>
      </c>
      <c r="V187" s="49"/>
      <c r="W187" s="49"/>
      <c r="X187" s="2">
        <v>62.89</v>
      </c>
      <c r="Y187" s="2">
        <v>443</v>
      </c>
      <c r="Z187" s="2" t="s">
        <v>1536</v>
      </c>
    </row>
    <row r="188" spans="1:39" ht="13" x14ac:dyDescent="0.15">
      <c r="A188" s="1" t="s">
        <v>500</v>
      </c>
      <c r="B188" s="1" t="s">
        <v>501</v>
      </c>
      <c r="C188" s="5" t="s">
        <v>502</v>
      </c>
      <c r="D188" s="1" t="s">
        <v>304</v>
      </c>
      <c r="E188" s="1"/>
      <c r="F188" s="5" t="s">
        <v>1507</v>
      </c>
      <c r="G188" s="1"/>
      <c r="H188" s="1"/>
      <c r="I188" s="1"/>
      <c r="J188" s="1"/>
      <c r="K188" s="1"/>
      <c r="L188" s="1"/>
      <c r="M188" s="1"/>
      <c r="N188" s="1"/>
      <c r="O188" s="1"/>
      <c r="P188" s="1"/>
      <c r="Q188" s="1"/>
      <c r="R188" s="1">
        <v>1</v>
      </c>
      <c r="S188" s="1"/>
      <c r="T188" s="1"/>
      <c r="U188" s="1" t="s">
        <v>1530</v>
      </c>
      <c r="V188" s="49"/>
      <c r="W188" s="49"/>
      <c r="X188" s="2">
        <v>65.75</v>
      </c>
      <c r="Y188" s="2">
        <v>635</v>
      </c>
      <c r="Z188" s="2" t="s">
        <v>1531</v>
      </c>
    </row>
    <row r="189" spans="1:39" ht="13" x14ac:dyDescent="0.15">
      <c r="A189" s="1" t="s">
        <v>503</v>
      </c>
      <c r="B189" s="1" t="s">
        <v>504</v>
      </c>
      <c r="C189" s="1" t="s">
        <v>505</v>
      </c>
      <c r="D189" s="1" t="s">
        <v>304</v>
      </c>
      <c r="E189" s="1"/>
      <c r="F189" s="5" t="s">
        <v>1504</v>
      </c>
      <c r="G189" s="1"/>
      <c r="H189" s="1"/>
      <c r="I189" s="1"/>
      <c r="J189" s="1"/>
      <c r="K189" s="1"/>
      <c r="L189" s="1"/>
      <c r="M189" s="1"/>
      <c r="N189" s="1"/>
      <c r="O189" s="1"/>
      <c r="P189" s="1"/>
      <c r="Q189" s="1"/>
      <c r="R189" s="1">
        <v>1</v>
      </c>
      <c r="S189" s="1"/>
      <c r="T189" s="1"/>
      <c r="U189" s="1" t="s">
        <v>1530</v>
      </c>
      <c r="V189" s="49"/>
      <c r="W189" s="49"/>
      <c r="X189" s="2">
        <v>73.62</v>
      </c>
      <c r="Y189" s="2">
        <v>240</v>
      </c>
      <c r="Z189" s="2" t="s">
        <v>1536</v>
      </c>
    </row>
    <row r="190" spans="1:39" ht="13" x14ac:dyDescent="0.15">
      <c r="A190" s="1" t="s">
        <v>506</v>
      </c>
      <c r="B190" s="1" t="s">
        <v>507</v>
      </c>
      <c r="C190" s="5" t="s">
        <v>508</v>
      </c>
      <c r="D190" s="1" t="s">
        <v>304</v>
      </c>
      <c r="E190" s="1"/>
      <c r="F190" s="5" t="s">
        <v>1504</v>
      </c>
      <c r="G190" s="1"/>
      <c r="H190" s="1"/>
      <c r="I190" s="1"/>
      <c r="J190" s="1"/>
      <c r="K190" s="1"/>
      <c r="L190" s="1"/>
      <c r="M190" s="1"/>
      <c r="N190" s="1"/>
      <c r="O190" s="1"/>
      <c r="P190" s="1"/>
      <c r="Q190" s="1"/>
      <c r="R190" s="1">
        <v>0</v>
      </c>
      <c r="S190" s="1"/>
      <c r="T190" s="1"/>
      <c r="U190" s="1" t="s">
        <v>1530</v>
      </c>
      <c r="V190" s="49"/>
      <c r="W190" s="49"/>
      <c r="X190" s="2">
        <v>62.74</v>
      </c>
      <c r="Y190" s="2">
        <v>44</v>
      </c>
      <c r="Z190" s="2" t="s">
        <v>1536</v>
      </c>
    </row>
    <row r="191" spans="1:39" ht="13" x14ac:dyDescent="0.15">
      <c r="A191" s="1" t="s">
        <v>509</v>
      </c>
      <c r="B191" s="1" t="s">
        <v>510</v>
      </c>
      <c r="C191" s="5" t="s">
        <v>511</v>
      </c>
      <c r="D191" s="1" t="s">
        <v>304</v>
      </c>
      <c r="E191" s="1"/>
      <c r="F191" s="5" t="s">
        <v>1504</v>
      </c>
      <c r="G191" s="1"/>
      <c r="H191" s="1"/>
      <c r="I191" s="1"/>
      <c r="J191" s="1"/>
      <c r="K191" s="1"/>
      <c r="L191" s="1"/>
      <c r="M191" s="1"/>
      <c r="N191" s="1"/>
      <c r="O191" s="1"/>
      <c r="P191" s="1"/>
      <c r="Q191" s="1"/>
      <c r="R191" s="1">
        <v>1</v>
      </c>
      <c r="S191" s="1"/>
      <c r="T191" s="1"/>
      <c r="U191" s="1" t="s">
        <v>1530</v>
      </c>
      <c r="V191" s="49"/>
      <c r="W191" s="49"/>
      <c r="X191" s="2">
        <v>55.59</v>
      </c>
      <c r="Y191" s="2">
        <v>879</v>
      </c>
      <c r="Z191" s="2" t="s">
        <v>1536</v>
      </c>
    </row>
    <row r="192" spans="1:39" ht="13" x14ac:dyDescent="0.15">
      <c r="A192" s="43" t="s">
        <v>1586</v>
      </c>
      <c r="B192" s="43" t="s">
        <v>1587</v>
      </c>
      <c r="C192" s="52" t="s">
        <v>1588</v>
      </c>
      <c r="D192" s="43" t="s">
        <v>304</v>
      </c>
      <c r="E192" s="43"/>
      <c r="F192" s="52" t="s">
        <v>1504</v>
      </c>
      <c r="G192" s="43"/>
      <c r="H192" s="43"/>
      <c r="I192" s="43"/>
      <c r="J192" s="43"/>
      <c r="K192" s="43"/>
      <c r="L192" s="43"/>
      <c r="M192" s="43"/>
      <c r="N192" s="43"/>
      <c r="O192" s="43"/>
      <c r="P192" s="43"/>
      <c r="Q192" s="43"/>
      <c r="R192" s="43">
        <v>1</v>
      </c>
      <c r="S192" s="43"/>
      <c r="T192" s="43"/>
      <c r="U192" s="43" t="s">
        <v>1530</v>
      </c>
      <c r="V192" s="49"/>
      <c r="W192" s="49"/>
      <c r="X192" s="53">
        <v>64.099999999999994</v>
      </c>
      <c r="Y192" s="53" t="s">
        <v>1535</v>
      </c>
      <c r="Z192" s="53" t="s">
        <v>1531</v>
      </c>
      <c r="AA192" s="53"/>
      <c r="AB192" s="53"/>
      <c r="AC192" s="53"/>
      <c r="AD192" s="53"/>
      <c r="AE192" s="53"/>
      <c r="AF192" s="53"/>
      <c r="AG192" s="53"/>
      <c r="AH192" s="53"/>
      <c r="AI192" s="53"/>
      <c r="AJ192" s="53"/>
      <c r="AK192" s="53"/>
      <c r="AL192" s="53"/>
      <c r="AM192" s="53"/>
    </row>
    <row r="193" spans="1:39" ht="13" x14ac:dyDescent="0.15">
      <c r="A193" s="1" t="s">
        <v>512</v>
      </c>
      <c r="B193" s="1" t="s">
        <v>513</v>
      </c>
      <c r="C193" s="5" t="s">
        <v>514</v>
      </c>
      <c r="D193" s="1" t="s">
        <v>304</v>
      </c>
      <c r="E193" s="1"/>
      <c r="F193" s="5" t="s">
        <v>1504</v>
      </c>
      <c r="G193" s="1"/>
      <c r="H193" s="1"/>
      <c r="I193" s="1"/>
      <c r="J193" s="1"/>
      <c r="K193" s="1"/>
      <c r="L193" s="1"/>
      <c r="M193" s="1"/>
      <c r="N193" s="1"/>
      <c r="O193" s="1"/>
      <c r="P193" s="1"/>
      <c r="Q193" s="1"/>
      <c r="R193" s="1">
        <v>0</v>
      </c>
      <c r="S193" s="1"/>
      <c r="T193" s="1"/>
      <c r="U193" s="1" t="s">
        <v>1530</v>
      </c>
      <c r="V193" s="49"/>
      <c r="W193" s="49"/>
      <c r="X193" s="2">
        <v>47.9</v>
      </c>
      <c r="Y193" s="2">
        <v>423</v>
      </c>
      <c r="Z193" s="2" t="s">
        <v>1536</v>
      </c>
    </row>
    <row r="194" spans="1:39" ht="13" x14ac:dyDescent="0.15">
      <c r="A194" s="1" t="s">
        <v>515</v>
      </c>
      <c r="B194" s="1" t="s">
        <v>516</v>
      </c>
      <c r="C194" s="5" t="s">
        <v>517</v>
      </c>
      <c r="D194" s="1" t="s">
        <v>304</v>
      </c>
      <c r="E194" s="1"/>
      <c r="F194" s="5" t="s">
        <v>1504</v>
      </c>
      <c r="G194" s="1"/>
      <c r="H194" s="1"/>
      <c r="I194" s="1"/>
      <c r="J194" s="1"/>
      <c r="K194" s="1"/>
      <c r="L194" s="1"/>
      <c r="M194" s="1"/>
      <c r="N194" s="1"/>
      <c r="O194" s="1"/>
      <c r="P194" s="1"/>
      <c r="Q194" s="1"/>
      <c r="R194" s="1">
        <v>0</v>
      </c>
      <c r="S194" s="1"/>
      <c r="T194" s="1"/>
      <c r="U194" s="1" t="s">
        <v>1530</v>
      </c>
      <c r="V194" s="49"/>
      <c r="W194" s="49"/>
      <c r="X194" s="2">
        <v>59.75</v>
      </c>
      <c r="Y194" s="2">
        <v>420</v>
      </c>
      <c r="Z194" s="2" t="s">
        <v>1536</v>
      </c>
    </row>
    <row r="195" spans="1:39" ht="13" x14ac:dyDescent="0.15">
      <c r="A195" s="43" t="s">
        <v>1589</v>
      </c>
      <c r="B195" s="43" t="s">
        <v>1590</v>
      </c>
      <c r="C195" s="52" t="s">
        <v>1591</v>
      </c>
      <c r="D195" s="43" t="s">
        <v>304</v>
      </c>
      <c r="E195" s="43"/>
      <c r="F195" s="52" t="s">
        <v>1504</v>
      </c>
      <c r="G195" s="43"/>
      <c r="H195" s="43"/>
      <c r="I195" s="43"/>
      <c r="J195" s="43"/>
      <c r="K195" s="43"/>
      <c r="L195" s="43"/>
      <c r="M195" s="43"/>
      <c r="N195" s="43"/>
      <c r="O195" s="43"/>
      <c r="P195" s="43"/>
      <c r="Q195" s="43"/>
      <c r="R195" s="43">
        <v>0</v>
      </c>
      <c r="S195" s="43"/>
      <c r="T195" s="43"/>
      <c r="U195" s="43" t="s">
        <v>1530</v>
      </c>
      <c r="V195" s="49"/>
      <c r="W195" s="49"/>
      <c r="X195" s="53">
        <v>75.319999999999993</v>
      </c>
      <c r="Y195" s="53" t="s">
        <v>1535</v>
      </c>
      <c r="Z195" s="53" t="s">
        <v>1531</v>
      </c>
      <c r="AA195" s="53"/>
      <c r="AB195" s="53"/>
      <c r="AC195" s="53"/>
      <c r="AD195" s="53"/>
      <c r="AE195" s="53"/>
      <c r="AF195" s="53"/>
      <c r="AG195" s="53"/>
      <c r="AH195" s="53"/>
      <c r="AI195" s="53"/>
      <c r="AJ195" s="53"/>
      <c r="AK195" s="53"/>
      <c r="AL195" s="53"/>
      <c r="AM195" s="53"/>
    </row>
    <row r="196" spans="1:39" ht="13" x14ac:dyDescent="0.15">
      <c r="A196" s="1" t="s">
        <v>518</v>
      </c>
      <c r="B196" s="1" t="s">
        <v>519</v>
      </c>
      <c r="C196" s="5" t="s">
        <v>520</v>
      </c>
      <c r="D196" s="1" t="s">
        <v>304</v>
      </c>
      <c r="E196" s="1"/>
      <c r="F196" s="5" t="s">
        <v>1504</v>
      </c>
      <c r="G196" s="1"/>
      <c r="H196" s="1"/>
      <c r="I196" s="1"/>
      <c r="J196" s="1"/>
      <c r="K196" s="1"/>
      <c r="L196" s="1"/>
      <c r="M196" s="1"/>
      <c r="N196" s="1"/>
      <c r="O196" s="1"/>
      <c r="P196" s="1"/>
      <c r="Q196" s="1"/>
      <c r="R196" s="1">
        <v>0</v>
      </c>
      <c r="S196" s="1"/>
      <c r="T196" s="1"/>
      <c r="U196" s="1" t="s">
        <v>1530</v>
      </c>
      <c r="V196" s="49"/>
      <c r="W196" s="49"/>
      <c r="X196" s="2">
        <v>67.430000000000007</v>
      </c>
      <c r="Y196" s="2">
        <v>618</v>
      </c>
      <c r="Z196" s="2" t="s">
        <v>1531</v>
      </c>
    </row>
    <row r="197" spans="1:39" ht="13" x14ac:dyDescent="0.15">
      <c r="A197" s="1" t="s">
        <v>521</v>
      </c>
      <c r="B197" s="1" t="s">
        <v>522</v>
      </c>
      <c r="C197" s="5" t="s">
        <v>523</v>
      </c>
      <c r="D197" s="1" t="s">
        <v>304</v>
      </c>
      <c r="E197" s="1"/>
      <c r="F197" s="5" t="s">
        <v>1504</v>
      </c>
      <c r="G197" s="1"/>
      <c r="H197" s="1"/>
      <c r="I197" s="1"/>
      <c r="J197" s="1"/>
      <c r="K197" s="1"/>
      <c r="L197" s="1"/>
      <c r="M197" s="1"/>
      <c r="N197" s="1"/>
      <c r="O197" s="1"/>
      <c r="P197" s="1"/>
      <c r="Q197" s="1"/>
      <c r="R197" s="1">
        <v>1</v>
      </c>
      <c r="S197" s="1"/>
      <c r="T197" s="1"/>
      <c r="U197" s="1" t="s">
        <v>1530</v>
      </c>
      <c r="V197" s="49"/>
      <c r="W197" s="49"/>
      <c r="X197" s="2">
        <v>51.56</v>
      </c>
      <c r="Y197" s="2">
        <v>480</v>
      </c>
      <c r="Z197" s="2" t="s">
        <v>1536</v>
      </c>
    </row>
    <row r="198" spans="1:39" ht="13" x14ac:dyDescent="0.15">
      <c r="A198" s="1" t="s">
        <v>524</v>
      </c>
      <c r="B198" s="1" t="s">
        <v>525</v>
      </c>
      <c r="C198" s="1" t="s">
        <v>526</v>
      </c>
      <c r="D198" s="1" t="s">
        <v>304</v>
      </c>
      <c r="E198" s="1"/>
      <c r="F198" s="5" t="s">
        <v>1504</v>
      </c>
      <c r="G198" s="1"/>
      <c r="H198" s="1"/>
      <c r="I198" s="1"/>
      <c r="J198" s="1"/>
      <c r="K198" s="1"/>
      <c r="L198" s="1"/>
      <c r="M198" s="1"/>
      <c r="N198" s="1"/>
      <c r="O198" s="1"/>
      <c r="P198" s="1"/>
      <c r="Q198" s="1"/>
      <c r="R198" s="1">
        <v>1</v>
      </c>
      <c r="S198" s="1"/>
      <c r="T198" s="1"/>
      <c r="U198" s="1" t="s">
        <v>1530</v>
      </c>
      <c r="V198" s="49"/>
      <c r="W198" s="49"/>
      <c r="X198" s="2">
        <v>81.77</v>
      </c>
      <c r="Y198" s="2">
        <v>117</v>
      </c>
      <c r="Z198" s="2" t="s">
        <v>1531</v>
      </c>
    </row>
    <row r="199" spans="1:39" ht="13" x14ac:dyDescent="0.15">
      <c r="A199" s="43" t="s">
        <v>1592</v>
      </c>
      <c r="B199" s="43" t="s">
        <v>1593</v>
      </c>
      <c r="C199" s="52" t="s">
        <v>1594</v>
      </c>
      <c r="D199" s="43" t="s">
        <v>304</v>
      </c>
      <c r="E199" s="43"/>
      <c r="F199" s="52" t="s">
        <v>1504</v>
      </c>
      <c r="G199" s="43"/>
      <c r="H199" s="43"/>
      <c r="I199" s="43"/>
      <c r="J199" s="43"/>
      <c r="K199" s="43"/>
      <c r="L199" s="43"/>
      <c r="M199" s="43"/>
      <c r="N199" s="43"/>
      <c r="O199" s="43"/>
      <c r="P199" s="43"/>
      <c r="Q199" s="43"/>
      <c r="R199" s="43">
        <v>1</v>
      </c>
      <c r="S199" s="43"/>
      <c r="T199" s="43"/>
      <c r="U199" s="43" t="s">
        <v>1530</v>
      </c>
      <c r="V199" s="49"/>
      <c r="W199" s="49"/>
      <c r="X199" s="53">
        <v>49.4</v>
      </c>
      <c r="Y199" s="53" t="s">
        <v>1535</v>
      </c>
      <c r="Z199" s="53" t="s">
        <v>1531</v>
      </c>
      <c r="AA199" s="53"/>
      <c r="AB199" s="53"/>
      <c r="AC199" s="53"/>
      <c r="AD199" s="53"/>
      <c r="AE199" s="53"/>
      <c r="AF199" s="53"/>
      <c r="AG199" s="53"/>
      <c r="AH199" s="53"/>
      <c r="AI199" s="53"/>
      <c r="AJ199" s="53"/>
      <c r="AK199" s="53"/>
      <c r="AL199" s="53"/>
      <c r="AM199" s="53"/>
    </row>
    <row r="200" spans="1:39" ht="13" x14ac:dyDescent="0.15">
      <c r="A200" s="1" t="s">
        <v>527</v>
      </c>
      <c r="B200" s="1" t="s">
        <v>528</v>
      </c>
      <c r="C200" s="5" t="s">
        <v>529</v>
      </c>
      <c r="D200" s="1" t="s">
        <v>304</v>
      </c>
      <c r="E200" s="1"/>
      <c r="F200" s="5" t="s">
        <v>1504</v>
      </c>
      <c r="G200" s="1"/>
      <c r="H200" s="1"/>
      <c r="I200" s="1"/>
      <c r="J200" s="1"/>
      <c r="K200" s="1"/>
      <c r="L200" s="1"/>
      <c r="M200" s="1"/>
      <c r="N200" s="1"/>
      <c r="O200" s="1"/>
      <c r="P200" s="1"/>
      <c r="Q200" s="1"/>
      <c r="R200" s="1">
        <v>1</v>
      </c>
      <c r="S200" s="1"/>
      <c r="T200" s="1"/>
      <c r="U200" s="1" t="s">
        <v>1530</v>
      </c>
      <c r="V200" s="49"/>
      <c r="W200" s="49"/>
      <c r="X200" s="2">
        <v>63.11</v>
      </c>
      <c r="Y200" s="2">
        <v>862</v>
      </c>
      <c r="Z200" s="2" t="s">
        <v>1536</v>
      </c>
    </row>
    <row r="201" spans="1:39" ht="13" x14ac:dyDescent="0.15">
      <c r="A201" s="1" t="s">
        <v>530</v>
      </c>
      <c r="B201" s="1" t="s">
        <v>531</v>
      </c>
      <c r="C201" s="5" t="s">
        <v>532</v>
      </c>
      <c r="D201" s="1" t="s">
        <v>304</v>
      </c>
      <c r="E201" s="1"/>
      <c r="F201" s="5" t="s">
        <v>1507</v>
      </c>
      <c r="G201" s="1"/>
      <c r="H201" s="1"/>
      <c r="I201" s="1"/>
      <c r="J201" s="1"/>
      <c r="K201" s="1"/>
      <c r="L201" s="1"/>
      <c r="M201" s="1"/>
      <c r="N201" s="1"/>
      <c r="O201" s="1"/>
      <c r="P201" s="1"/>
      <c r="Q201" s="1"/>
      <c r="R201" s="1">
        <v>0</v>
      </c>
      <c r="S201" s="1"/>
      <c r="T201" s="1"/>
      <c r="U201" s="1" t="s">
        <v>1530</v>
      </c>
      <c r="V201" s="49"/>
      <c r="W201" s="49"/>
      <c r="X201" s="2">
        <v>65.81</v>
      </c>
      <c r="Y201" s="2">
        <v>351</v>
      </c>
      <c r="Z201" s="2" t="s">
        <v>1531</v>
      </c>
    </row>
    <row r="202" spans="1:39" ht="13" x14ac:dyDescent="0.15">
      <c r="A202" s="1" t="s">
        <v>533</v>
      </c>
      <c r="B202" s="1" t="s">
        <v>534</v>
      </c>
      <c r="C202" s="5" t="s">
        <v>535</v>
      </c>
      <c r="D202" s="1" t="s">
        <v>304</v>
      </c>
      <c r="E202" s="1"/>
      <c r="F202" s="5" t="s">
        <v>1507</v>
      </c>
      <c r="G202" s="1"/>
      <c r="H202" s="1"/>
      <c r="I202" s="1"/>
      <c r="J202" s="1"/>
      <c r="K202" s="1"/>
      <c r="L202" s="1"/>
      <c r="M202" s="1"/>
      <c r="N202" s="1"/>
      <c r="O202" s="1"/>
      <c r="P202" s="1"/>
      <c r="Q202" s="1"/>
      <c r="R202" s="1">
        <v>0</v>
      </c>
      <c r="S202" s="1"/>
      <c r="T202" s="1"/>
      <c r="U202" s="1" t="s">
        <v>1530</v>
      </c>
      <c r="V202" s="49"/>
      <c r="W202" s="49"/>
      <c r="X202" s="2">
        <v>69.22</v>
      </c>
      <c r="Y202" s="2">
        <v>297</v>
      </c>
      <c r="Z202" s="2" t="s">
        <v>1536</v>
      </c>
    </row>
    <row r="203" spans="1:39" ht="13" x14ac:dyDescent="0.15">
      <c r="A203" s="1" t="s">
        <v>536</v>
      </c>
      <c r="B203" s="1" t="s">
        <v>537</v>
      </c>
      <c r="C203" s="1" t="s">
        <v>538</v>
      </c>
      <c r="D203" s="1" t="s">
        <v>304</v>
      </c>
      <c r="E203" s="1"/>
      <c r="F203" s="5" t="s">
        <v>1504</v>
      </c>
      <c r="G203" s="1"/>
      <c r="H203" s="1"/>
      <c r="I203" s="45"/>
      <c r="J203" s="1"/>
      <c r="K203" s="1"/>
      <c r="L203" s="1"/>
      <c r="M203" s="1"/>
      <c r="N203" s="1"/>
      <c r="O203" s="1"/>
      <c r="P203" s="1"/>
      <c r="Q203" s="1"/>
      <c r="R203" s="45">
        <v>1</v>
      </c>
      <c r="S203" s="1"/>
      <c r="T203" s="1"/>
      <c r="U203" s="1" t="s">
        <v>1530</v>
      </c>
      <c r="V203" s="49"/>
      <c r="W203" s="49"/>
      <c r="X203" s="2">
        <v>67.63</v>
      </c>
      <c r="Y203" s="2">
        <v>692</v>
      </c>
      <c r="Z203" s="2" t="s">
        <v>1536</v>
      </c>
    </row>
    <row r="204" spans="1:39" ht="13" x14ac:dyDescent="0.15">
      <c r="A204" s="1" t="s">
        <v>539</v>
      </c>
      <c r="B204" s="1" t="s">
        <v>540</v>
      </c>
      <c r="C204" s="1" t="s">
        <v>541</v>
      </c>
      <c r="D204" s="1" t="s">
        <v>304</v>
      </c>
      <c r="E204" s="1"/>
      <c r="F204" s="5" t="s">
        <v>1504</v>
      </c>
      <c r="G204" s="1"/>
      <c r="H204" s="1"/>
      <c r="I204" s="1"/>
      <c r="J204" s="1"/>
      <c r="K204" s="1"/>
      <c r="L204" s="1"/>
      <c r="M204" s="1"/>
      <c r="N204" s="1"/>
      <c r="O204" s="1"/>
      <c r="P204" s="1"/>
      <c r="Q204" s="1"/>
      <c r="R204" s="1">
        <v>0</v>
      </c>
      <c r="S204" s="1"/>
      <c r="T204" s="1"/>
      <c r="U204" s="1" t="s">
        <v>1530</v>
      </c>
      <c r="V204" s="49"/>
      <c r="W204" s="49"/>
      <c r="X204" s="2">
        <v>70.75</v>
      </c>
      <c r="Y204" s="2">
        <v>580</v>
      </c>
      <c r="Z204" s="2" t="s">
        <v>1531</v>
      </c>
    </row>
    <row r="205" spans="1:39" ht="13" x14ac:dyDescent="0.15">
      <c r="A205" s="1" t="s">
        <v>542</v>
      </c>
      <c r="B205" s="1" t="s">
        <v>543</v>
      </c>
      <c r="C205" s="5" t="s">
        <v>544</v>
      </c>
      <c r="D205" s="1" t="s">
        <v>304</v>
      </c>
      <c r="E205" s="1"/>
      <c r="F205" s="5" t="s">
        <v>1504</v>
      </c>
      <c r="G205" s="1"/>
      <c r="H205" s="1"/>
      <c r="I205" s="1"/>
      <c r="J205" s="1"/>
      <c r="K205" s="1"/>
      <c r="L205" s="1"/>
      <c r="M205" s="1"/>
      <c r="N205" s="1"/>
      <c r="O205" s="1"/>
      <c r="P205" s="1"/>
      <c r="Q205" s="1"/>
      <c r="R205" s="1">
        <v>0</v>
      </c>
      <c r="S205" s="1"/>
      <c r="T205" s="1"/>
      <c r="U205" s="1" t="s">
        <v>1530</v>
      </c>
      <c r="V205" s="49"/>
      <c r="W205" s="49"/>
      <c r="X205" s="2">
        <v>57.26</v>
      </c>
      <c r="Y205" s="2">
        <v>21</v>
      </c>
      <c r="Z205" s="2" t="s">
        <v>1531</v>
      </c>
    </row>
    <row r="206" spans="1:39" ht="13" x14ac:dyDescent="0.15">
      <c r="A206" s="1" t="s">
        <v>545</v>
      </c>
      <c r="B206" s="1" t="s">
        <v>546</v>
      </c>
      <c r="C206" s="5" t="s">
        <v>547</v>
      </c>
      <c r="D206" s="1" t="s">
        <v>304</v>
      </c>
      <c r="E206" s="1"/>
      <c r="F206" s="5" t="s">
        <v>1504</v>
      </c>
      <c r="G206" s="1"/>
      <c r="H206" s="1"/>
      <c r="I206" s="1"/>
      <c r="J206" s="1"/>
      <c r="K206" s="1"/>
      <c r="L206" s="1"/>
      <c r="M206" s="1"/>
      <c r="N206" s="1"/>
      <c r="O206" s="1"/>
      <c r="P206" s="1"/>
      <c r="Q206" s="1"/>
      <c r="R206" s="1">
        <v>1</v>
      </c>
      <c r="S206" s="1"/>
      <c r="T206" s="1"/>
      <c r="U206" s="1" t="s">
        <v>1530</v>
      </c>
      <c r="V206" s="49"/>
      <c r="W206" s="49"/>
      <c r="X206" s="2">
        <v>70.81</v>
      </c>
      <c r="Y206" s="2">
        <v>343</v>
      </c>
      <c r="Z206" s="2" t="s">
        <v>1536</v>
      </c>
    </row>
    <row r="207" spans="1:39" ht="13" x14ac:dyDescent="0.15">
      <c r="A207" s="43" t="s">
        <v>1595</v>
      </c>
      <c r="B207" s="43" t="s">
        <v>1596</v>
      </c>
      <c r="C207" s="52" t="s">
        <v>1597</v>
      </c>
      <c r="D207" s="43" t="s">
        <v>304</v>
      </c>
      <c r="E207" s="43"/>
      <c r="F207" s="52" t="s">
        <v>1504</v>
      </c>
      <c r="G207" s="43"/>
      <c r="H207" s="43"/>
      <c r="I207" s="43"/>
      <c r="J207" s="43"/>
      <c r="K207" s="43"/>
      <c r="L207" s="43"/>
      <c r="M207" s="43"/>
      <c r="N207" s="43"/>
      <c r="O207" s="43"/>
      <c r="P207" s="43"/>
      <c r="Q207" s="43"/>
      <c r="R207" s="43">
        <v>1</v>
      </c>
      <c r="S207" s="43"/>
      <c r="T207" s="43"/>
      <c r="U207" s="43" t="s">
        <v>1530</v>
      </c>
      <c r="V207" s="49"/>
      <c r="W207" s="49"/>
      <c r="X207" s="53">
        <v>71.62</v>
      </c>
      <c r="Y207" s="53" t="s">
        <v>1535</v>
      </c>
      <c r="Z207" s="53" t="s">
        <v>1531</v>
      </c>
      <c r="AA207" s="53"/>
      <c r="AB207" s="53"/>
      <c r="AC207" s="53"/>
      <c r="AD207" s="53"/>
      <c r="AE207" s="53"/>
      <c r="AF207" s="53"/>
      <c r="AG207" s="53"/>
      <c r="AH207" s="53"/>
      <c r="AI207" s="53"/>
      <c r="AJ207" s="53"/>
      <c r="AK207" s="53"/>
      <c r="AL207" s="53"/>
      <c r="AM207" s="53"/>
    </row>
    <row r="208" spans="1:39" ht="13" x14ac:dyDescent="0.15">
      <c r="A208" s="1" t="s">
        <v>548</v>
      </c>
      <c r="B208" s="1" t="s">
        <v>549</v>
      </c>
      <c r="C208" s="5" t="s">
        <v>550</v>
      </c>
      <c r="D208" s="1" t="s">
        <v>304</v>
      </c>
      <c r="E208" s="1"/>
      <c r="F208" s="5" t="s">
        <v>1507</v>
      </c>
      <c r="G208" s="1"/>
      <c r="H208" s="1"/>
      <c r="I208" s="1"/>
      <c r="J208" s="1"/>
      <c r="K208" s="1"/>
      <c r="L208" s="1"/>
      <c r="M208" s="1"/>
      <c r="N208" s="1"/>
      <c r="O208" s="1"/>
      <c r="P208" s="1"/>
      <c r="Q208" s="1"/>
      <c r="R208" s="1">
        <v>1</v>
      </c>
      <c r="S208" s="1"/>
      <c r="T208" s="1"/>
      <c r="U208" s="1" t="s">
        <v>1530</v>
      </c>
      <c r="V208" s="49"/>
      <c r="W208" s="49"/>
      <c r="X208" s="2">
        <v>77.45</v>
      </c>
      <c r="Y208" s="2">
        <v>303</v>
      </c>
      <c r="Z208" s="2" t="s">
        <v>1531</v>
      </c>
    </row>
    <row r="209" spans="1:39" ht="13" x14ac:dyDescent="0.15">
      <c r="A209" s="43" t="s">
        <v>1598</v>
      </c>
      <c r="B209" s="43" t="s">
        <v>1599</v>
      </c>
      <c r="C209" s="52" t="s">
        <v>1600</v>
      </c>
      <c r="D209" s="43" t="s">
        <v>304</v>
      </c>
      <c r="E209" s="43"/>
      <c r="F209" s="52" t="s">
        <v>1507</v>
      </c>
      <c r="G209" s="43"/>
      <c r="H209" s="43"/>
      <c r="I209" s="43"/>
      <c r="J209" s="43"/>
      <c r="K209" s="43"/>
      <c r="L209" s="43"/>
      <c r="M209" s="43"/>
      <c r="N209" s="43"/>
      <c r="O209" s="43"/>
      <c r="P209" s="43"/>
      <c r="Q209" s="43"/>
      <c r="R209" s="43">
        <v>1</v>
      </c>
      <c r="S209" s="43"/>
      <c r="T209" s="43"/>
      <c r="U209" s="43" t="s">
        <v>1552</v>
      </c>
      <c r="V209" s="49"/>
      <c r="W209" s="49"/>
      <c r="X209" s="53">
        <v>59.62</v>
      </c>
      <c r="Y209" s="53" t="s">
        <v>1535</v>
      </c>
      <c r="Z209" s="53" t="s">
        <v>1536</v>
      </c>
      <c r="AA209" s="53"/>
      <c r="AB209" s="53"/>
      <c r="AC209" s="53"/>
      <c r="AD209" s="53"/>
      <c r="AE209" s="53"/>
      <c r="AF209" s="53"/>
      <c r="AG209" s="53"/>
      <c r="AH209" s="53"/>
      <c r="AI209" s="53"/>
      <c r="AJ209" s="53"/>
      <c r="AK209" s="53"/>
      <c r="AL209" s="53"/>
      <c r="AM209" s="53"/>
    </row>
    <row r="210" spans="1:39" ht="13" x14ac:dyDescent="0.15">
      <c r="A210" s="43" t="s">
        <v>1601</v>
      </c>
      <c r="B210" s="43" t="s">
        <v>1602</v>
      </c>
      <c r="C210" s="52" t="s">
        <v>1603</v>
      </c>
      <c r="D210" s="43" t="s">
        <v>304</v>
      </c>
      <c r="E210" s="43"/>
      <c r="F210" s="52" t="s">
        <v>1504</v>
      </c>
      <c r="G210" s="43"/>
      <c r="H210" s="43"/>
      <c r="I210" s="43"/>
      <c r="J210" s="43"/>
      <c r="K210" s="43"/>
      <c r="L210" s="43"/>
      <c r="M210" s="43"/>
      <c r="N210" s="43"/>
      <c r="O210" s="43"/>
      <c r="P210" s="43"/>
      <c r="Q210" s="43"/>
      <c r="R210" s="43">
        <v>0</v>
      </c>
      <c r="S210" s="43"/>
      <c r="T210" s="43"/>
      <c r="U210" s="43" t="s">
        <v>1530</v>
      </c>
      <c r="V210" s="49"/>
      <c r="W210" s="49"/>
      <c r="X210" s="53">
        <v>74.58</v>
      </c>
      <c r="Y210" s="53">
        <v>821</v>
      </c>
      <c r="Z210" s="53" t="s">
        <v>1535</v>
      </c>
      <c r="AA210" s="53"/>
      <c r="AB210" s="53"/>
      <c r="AC210" s="53"/>
      <c r="AD210" s="53"/>
      <c r="AE210" s="53"/>
      <c r="AF210" s="53"/>
      <c r="AG210" s="53"/>
      <c r="AH210" s="53"/>
      <c r="AI210" s="53"/>
      <c r="AJ210" s="53"/>
      <c r="AK210" s="53"/>
      <c r="AL210" s="53"/>
      <c r="AM210" s="53"/>
    </row>
    <row r="211" spans="1:39" ht="13" x14ac:dyDescent="0.15">
      <c r="A211" s="1" t="s">
        <v>551</v>
      </c>
      <c r="B211" s="1" t="s">
        <v>552</v>
      </c>
      <c r="C211" s="5" t="s">
        <v>553</v>
      </c>
      <c r="D211" s="1" t="s">
        <v>304</v>
      </c>
      <c r="E211" s="1"/>
      <c r="F211" s="5" t="s">
        <v>1504</v>
      </c>
      <c r="G211" s="1"/>
      <c r="H211" s="1"/>
      <c r="I211" s="1"/>
      <c r="J211" s="1"/>
      <c r="K211" s="1"/>
      <c r="L211" s="1"/>
      <c r="M211" s="1"/>
      <c r="N211" s="1"/>
      <c r="O211" s="1"/>
      <c r="P211" s="1"/>
      <c r="Q211" s="1"/>
      <c r="R211" s="1">
        <v>0</v>
      </c>
      <c r="S211" s="1"/>
      <c r="T211" s="1"/>
      <c r="U211" s="1" t="s">
        <v>1530</v>
      </c>
      <c r="V211" s="49"/>
      <c r="W211" s="49"/>
      <c r="X211" s="2">
        <v>64.650000000000006</v>
      </c>
      <c r="Y211" s="2">
        <v>211</v>
      </c>
      <c r="Z211" s="2" t="s">
        <v>1536</v>
      </c>
    </row>
    <row r="212" spans="1:39" ht="13" x14ac:dyDescent="0.15">
      <c r="A212" s="1" t="s">
        <v>554</v>
      </c>
      <c r="B212" s="1" t="s">
        <v>555</v>
      </c>
      <c r="C212" s="5" t="s">
        <v>556</v>
      </c>
      <c r="D212" s="1" t="s">
        <v>304</v>
      </c>
      <c r="E212" s="1"/>
      <c r="F212" s="5" t="s">
        <v>1504</v>
      </c>
      <c r="G212" s="1"/>
      <c r="H212" s="1"/>
      <c r="I212" s="1"/>
      <c r="J212" s="1"/>
      <c r="K212" s="1"/>
      <c r="L212" s="1"/>
      <c r="M212" s="1"/>
      <c r="N212" s="1"/>
      <c r="O212" s="1"/>
      <c r="P212" s="1"/>
      <c r="Q212" s="1"/>
      <c r="R212" s="1">
        <v>1</v>
      </c>
      <c r="S212" s="1"/>
      <c r="T212" s="1"/>
      <c r="U212" s="1" t="s">
        <v>1530</v>
      </c>
      <c r="V212" s="49"/>
      <c r="W212" s="49"/>
      <c r="X212" s="2">
        <v>73.05</v>
      </c>
      <c r="Y212" s="2">
        <v>434</v>
      </c>
      <c r="Z212" s="2" t="s">
        <v>1531</v>
      </c>
    </row>
    <row r="213" spans="1:39" ht="13" x14ac:dyDescent="0.15">
      <c r="A213" s="43" t="s">
        <v>1604</v>
      </c>
      <c r="B213" s="43" t="s">
        <v>1605</v>
      </c>
      <c r="C213" s="52" t="s">
        <v>1606</v>
      </c>
      <c r="D213" s="43" t="s">
        <v>304</v>
      </c>
      <c r="E213" s="43"/>
      <c r="F213" s="52" t="s">
        <v>1507</v>
      </c>
      <c r="G213" s="43"/>
      <c r="H213" s="43"/>
      <c r="I213" s="43"/>
      <c r="J213" s="43"/>
      <c r="K213" s="43"/>
      <c r="L213" s="43"/>
      <c r="M213" s="43"/>
      <c r="N213" s="43"/>
      <c r="O213" s="43"/>
      <c r="P213" s="43"/>
      <c r="Q213" s="43"/>
      <c r="R213" s="43">
        <v>0</v>
      </c>
      <c r="S213" s="43"/>
      <c r="T213" s="43"/>
      <c r="U213" s="43" t="s">
        <v>1530</v>
      </c>
      <c r="V213" s="49"/>
      <c r="W213" s="49"/>
      <c r="X213" s="53">
        <v>64.28</v>
      </c>
      <c r="Y213" s="53">
        <v>168</v>
      </c>
      <c r="Z213" s="53" t="s">
        <v>1535</v>
      </c>
      <c r="AA213" s="53"/>
      <c r="AB213" s="53"/>
      <c r="AC213" s="53"/>
      <c r="AD213" s="53"/>
      <c r="AE213" s="53"/>
      <c r="AF213" s="53"/>
      <c r="AG213" s="53"/>
      <c r="AH213" s="53"/>
      <c r="AI213" s="53"/>
      <c r="AJ213" s="53"/>
      <c r="AK213" s="53"/>
      <c r="AL213" s="53"/>
      <c r="AM213" s="53"/>
    </row>
    <row r="214" spans="1:39" ht="13" x14ac:dyDescent="0.15">
      <c r="A214" s="1" t="s">
        <v>557</v>
      </c>
      <c r="B214" s="1" t="s">
        <v>558</v>
      </c>
      <c r="C214" s="5" t="s">
        <v>559</v>
      </c>
      <c r="D214" s="1" t="s">
        <v>304</v>
      </c>
      <c r="E214" s="1"/>
      <c r="F214" s="5" t="s">
        <v>1504</v>
      </c>
      <c r="G214" s="1"/>
      <c r="H214" s="1"/>
      <c r="I214" s="1"/>
      <c r="J214" s="1"/>
      <c r="K214" s="1"/>
      <c r="L214" s="1"/>
      <c r="M214" s="1"/>
      <c r="N214" s="1"/>
      <c r="O214" s="1"/>
      <c r="P214" s="1"/>
      <c r="Q214" s="1"/>
      <c r="R214" s="1">
        <v>1</v>
      </c>
      <c r="S214" s="1"/>
      <c r="T214" s="1"/>
      <c r="U214" s="1" t="s">
        <v>1530</v>
      </c>
      <c r="V214" s="49"/>
      <c r="W214" s="49"/>
      <c r="X214" s="2">
        <v>71.63</v>
      </c>
      <c r="Y214" s="2">
        <v>996</v>
      </c>
      <c r="Z214" s="2" t="s">
        <v>1536</v>
      </c>
    </row>
    <row r="215" spans="1:39" ht="13" x14ac:dyDescent="0.15">
      <c r="A215" s="1" t="s">
        <v>560</v>
      </c>
      <c r="B215" s="1" t="s">
        <v>561</v>
      </c>
      <c r="C215" s="5" t="s">
        <v>562</v>
      </c>
      <c r="D215" s="1" t="s">
        <v>304</v>
      </c>
      <c r="E215" s="1"/>
      <c r="F215" s="5" t="s">
        <v>1504</v>
      </c>
      <c r="G215" s="1"/>
      <c r="H215" s="1"/>
      <c r="I215" s="1"/>
      <c r="J215" s="1"/>
      <c r="K215" s="1"/>
      <c r="L215" s="1"/>
      <c r="M215" s="1"/>
      <c r="N215" s="1"/>
      <c r="O215" s="1"/>
      <c r="P215" s="1"/>
      <c r="Q215" s="1"/>
      <c r="R215" s="1">
        <v>0</v>
      </c>
      <c r="S215" s="1"/>
      <c r="T215" s="1"/>
      <c r="U215" s="1" t="s">
        <v>1530</v>
      </c>
      <c r="V215" s="49"/>
      <c r="W215" s="49"/>
      <c r="X215" s="2">
        <v>76.150000000000006</v>
      </c>
      <c r="Y215" s="2">
        <v>157</v>
      </c>
      <c r="Z215" s="2" t="s">
        <v>1536</v>
      </c>
    </row>
    <row r="216" spans="1:39" ht="13" x14ac:dyDescent="0.15">
      <c r="A216" s="1" t="s">
        <v>563</v>
      </c>
      <c r="B216" s="1" t="s">
        <v>564</v>
      </c>
      <c r="C216" s="5" t="s">
        <v>565</v>
      </c>
      <c r="D216" s="1" t="s">
        <v>304</v>
      </c>
      <c r="E216" s="1"/>
      <c r="F216" s="5" t="s">
        <v>1504</v>
      </c>
      <c r="G216" s="1"/>
      <c r="H216" s="1"/>
      <c r="I216" s="1"/>
      <c r="J216" s="1"/>
      <c r="K216" s="1"/>
      <c r="L216" s="1"/>
      <c r="M216" s="1"/>
      <c r="N216" s="1"/>
      <c r="O216" s="1"/>
      <c r="P216" s="1"/>
      <c r="Q216" s="1"/>
      <c r="R216" s="1">
        <v>0</v>
      </c>
      <c r="S216" s="1"/>
      <c r="T216" s="1"/>
      <c r="U216" s="1" t="s">
        <v>1530</v>
      </c>
      <c r="V216" s="49"/>
      <c r="W216" s="49"/>
      <c r="X216" s="2">
        <v>63.68</v>
      </c>
      <c r="Y216" s="2">
        <v>154</v>
      </c>
      <c r="Z216" s="2" t="s">
        <v>1536</v>
      </c>
    </row>
    <row r="217" spans="1:39" ht="13" x14ac:dyDescent="0.15">
      <c r="A217" s="1" t="s">
        <v>566</v>
      </c>
      <c r="B217" s="1" t="s">
        <v>567</v>
      </c>
      <c r="C217" s="5" t="s">
        <v>568</v>
      </c>
      <c r="D217" s="1" t="s">
        <v>304</v>
      </c>
      <c r="E217" s="1"/>
      <c r="F217" s="5" t="s">
        <v>1507</v>
      </c>
      <c r="G217" s="1"/>
      <c r="H217" s="1"/>
      <c r="I217" s="1"/>
      <c r="J217" s="1"/>
      <c r="K217" s="1"/>
      <c r="L217" s="1"/>
      <c r="M217" s="1"/>
      <c r="N217" s="1"/>
      <c r="O217" s="1"/>
      <c r="P217" s="1"/>
      <c r="Q217" s="1"/>
      <c r="R217" s="1">
        <v>1</v>
      </c>
      <c r="S217" s="1"/>
      <c r="T217" s="1"/>
      <c r="U217" s="1" t="s">
        <v>1530</v>
      </c>
      <c r="V217" s="49"/>
      <c r="W217" s="49"/>
      <c r="X217" s="2">
        <v>51.23</v>
      </c>
      <c r="Y217" s="2">
        <v>601</v>
      </c>
      <c r="Z217" s="2" t="s">
        <v>1531</v>
      </c>
    </row>
    <row r="218" spans="1:39" ht="13" x14ac:dyDescent="0.15">
      <c r="A218" s="1" t="s">
        <v>569</v>
      </c>
      <c r="B218" s="1" t="s">
        <v>570</v>
      </c>
      <c r="C218" s="5" t="s">
        <v>571</v>
      </c>
      <c r="D218" s="1" t="s">
        <v>304</v>
      </c>
      <c r="E218" s="1"/>
      <c r="F218" s="5" t="s">
        <v>1504</v>
      </c>
      <c r="G218" s="1"/>
      <c r="H218" s="1"/>
      <c r="I218" s="1"/>
      <c r="J218" s="1"/>
      <c r="K218" s="1"/>
      <c r="L218" s="1"/>
      <c r="M218" s="1"/>
      <c r="N218" s="1"/>
      <c r="O218" s="1"/>
      <c r="P218" s="1"/>
      <c r="Q218" s="1"/>
      <c r="R218" s="1">
        <v>0</v>
      </c>
      <c r="S218" s="1"/>
      <c r="T218" s="1"/>
      <c r="U218" s="1" t="s">
        <v>1530</v>
      </c>
      <c r="V218" s="49"/>
      <c r="W218" s="49"/>
      <c r="X218" s="2">
        <v>58.52</v>
      </c>
      <c r="Y218" s="2">
        <v>226</v>
      </c>
      <c r="Z218" s="2" t="s">
        <v>1536</v>
      </c>
    </row>
    <row r="219" spans="1:39" ht="13" x14ac:dyDescent="0.15">
      <c r="A219" s="1" t="s">
        <v>572</v>
      </c>
      <c r="B219" s="1" t="s">
        <v>573</v>
      </c>
      <c r="C219" s="5" t="s">
        <v>574</v>
      </c>
      <c r="D219" s="1" t="s">
        <v>304</v>
      </c>
      <c r="E219" s="1"/>
      <c r="F219" s="5" t="s">
        <v>1504</v>
      </c>
      <c r="G219" s="1"/>
      <c r="H219" s="1"/>
      <c r="I219" s="1"/>
      <c r="J219" s="1"/>
      <c r="K219" s="1"/>
      <c r="L219" s="1"/>
      <c r="M219" s="1"/>
      <c r="N219" s="1"/>
      <c r="O219" s="1"/>
      <c r="P219" s="1"/>
      <c r="Q219" s="1"/>
      <c r="R219" s="1">
        <v>0</v>
      </c>
      <c r="S219" s="1"/>
      <c r="T219" s="1"/>
      <c r="U219" s="1" t="s">
        <v>1530</v>
      </c>
      <c r="V219" s="49"/>
      <c r="W219" s="49"/>
      <c r="X219" s="2">
        <v>75.88</v>
      </c>
      <c r="Y219" s="2">
        <v>48</v>
      </c>
      <c r="Z219" s="2" t="s">
        <v>1531</v>
      </c>
    </row>
    <row r="220" spans="1:39" ht="13" x14ac:dyDescent="0.15">
      <c r="A220" s="1" t="s">
        <v>575</v>
      </c>
      <c r="B220" s="1" t="s">
        <v>576</v>
      </c>
      <c r="C220" s="5" t="s">
        <v>577</v>
      </c>
      <c r="D220" s="1" t="s">
        <v>304</v>
      </c>
      <c r="E220" s="1"/>
      <c r="F220" s="5" t="s">
        <v>1504</v>
      </c>
      <c r="G220" s="1"/>
      <c r="H220" s="1"/>
      <c r="I220" s="1"/>
      <c r="J220" s="1"/>
      <c r="K220" s="1"/>
      <c r="L220" s="1"/>
      <c r="M220" s="1"/>
      <c r="N220" s="1"/>
      <c r="O220" s="1"/>
      <c r="P220" s="1"/>
      <c r="Q220" s="1"/>
      <c r="R220" s="1">
        <v>1</v>
      </c>
      <c r="S220" s="1"/>
      <c r="T220" s="1"/>
      <c r="U220" s="1" t="s">
        <v>1530</v>
      </c>
      <c r="V220" s="49"/>
      <c r="W220" s="49"/>
      <c r="X220" s="2">
        <v>56.37</v>
      </c>
      <c r="Y220" s="2">
        <v>516</v>
      </c>
      <c r="Z220" s="2" t="s">
        <v>1531</v>
      </c>
    </row>
    <row r="221" spans="1:39" ht="13" x14ac:dyDescent="0.15">
      <c r="A221" s="43" t="s">
        <v>1607</v>
      </c>
      <c r="B221" s="43" t="s">
        <v>1608</v>
      </c>
      <c r="C221" s="52" t="s">
        <v>1609</v>
      </c>
      <c r="D221" s="43" t="s">
        <v>304</v>
      </c>
      <c r="E221" s="43"/>
      <c r="F221" s="52" t="s">
        <v>1504</v>
      </c>
      <c r="G221" s="43"/>
      <c r="H221" s="43"/>
      <c r="I221" s="43"/>
      <c r="J221" s="43"/>
      <c r="K221" s="43"/>
      <c r="L221" s="43"/>
      <c r="M221" s="43"/>
      <c r="N221" s="43"/>
      <c r="O221" s="43"/>
      <c r="P221" s="43"/>
      <c r="Q221" s="43"/>
      <c r="R221" s="43">
        <v>1</v>
      </c>
      <c r="S221" s="43"/>
      <c r="T221" s="43"/>
      <c r="U221" s="43" t="s">
        <v>1530</v>
      </c>
      <c r="V221" s="49"/>
      <c r="W221" s="49"/>
      <c r="X221" s="53">
        <v>58.12</v>
      </c>
      <c r="Y221" s="53" t="s">
        <v>1535</v>
      </c>
      <c r="Z221" s="53" t="s">
        <v>1531</v>
      </c>
      <c r="AA221" s="53"/>
      <c r="AB221" s="53"/>
      <c r="AC221" s="53"/>
      <c r="AD221" s="53"/>
      <c r="AE221" s="53"/>
      <c r="AF221" s="53"/>
      <c r="AG221" s="53"/>
      <c r="AH221" s="53"/>
      <c r="AI221" s="53"/>
      <c r="AJ221" s="53"/>
      <c r="AK221" s="53"/>
      <c r="AL221" s="53"/>
      <c r="AM221" s="53"/>
    </row>
    <row r="222" spans="1:39" ht="13" x14ac:dyDescent="0.15">
      <c r="A222" s="1" t="s">
        <v>578</v>
      </c>
      <c r="B222" s="1" t="s">
        <v>579</v>
      </c>
      <c r="C222" s="5" t="s">
        <v>580</v>
      </c>
      <c r="D222" s="1" t="s">
        <v>304</v>
      </c>
      <c r="E222" s="1"/>
      <c r="F222" s="5" t="s">
        <v>1504</v>
      </c>
      <c r="G222" s="1"/>
      <c r="H222" s="1"/>
      <c r="I222" s="1"/>
      <c r="J222" s="1"/>
      <c r="K222" s="1"/>
      <c r="L222" s="1"/>
      <c r="M222" s="1"/>
      <c r="N222" s="1"/>
      <c r="O222" s="1"/>
      <c r="P222" s="1"/>
      <c r="Q222" s="1"/>
      <c r="R222" s="1">
        <v>0</v>
      </c>
      <c r="S222" s="1"/>
      <c r="T222" s="1"/>
      <c r="U222" s="1" t="s">
        <v>1530</v>
      </c>
      <c r="V222" s="49"/>
      <c r="W222" s="49"/>
      <c r="X222" s="2">
        <v>78.41</v>
      </c>
      <c r="Y222" s="2">
        <v>528</v>
      </c>
      <c r="Z222" s="2" t="s">
        <v>1536</v>
      </c>
    </row>
    <row r="223" spans="1:39" ht="13" x14ac:dyDescent="0.15">
      <c r="A223" s="1" t="s">
        <v>581</v>
      </c>
      <c r="B223" s="1" t="s">
        <v>582</v>
      </c>
      <c r="C223" s="5" t="s">
        <v>583</v>
      </c>
      <c r="D223" s="1" t="s">
        <v>304</v>
      </c>
      <c r="E223" s="1"/>
      <c r="F223" s="5" t="s">
        <v>1507</v>
      </c>
      <c r="G223" s="1"/>
      <c r="H223" s="1"/>
      <c r="I223" s="1"/>
      <c r="J223" s="1"/>
      <c r="K223" s="1"/>
      <c r="L223" s="1"/>
      <c r="M223" s="1"/>
      <c r="N223" s="1"/>
      <c r="O223" s="1"/>
      <c r="P223" s="1"/>
      <c r="Q223" s="1"/>
      <c r="R223" s="1">
        <v>0</v>
      </c>
      <c r="S223" s="1"/>
      <c r="T223" s="1"/>
      <c r="U223" s="1" t="s">
        <v>1530</v>
      </c>
      <c r="V223" s="49"/>
      <c r="W223" s="49"/>
      <c r="X223" s="2">
        <v>61.02</v>
      </c>
      <c r="Y223" s="2">
        <v>192</v>
      </c>
      <c r="Z223" s="2" t="s">
        <v>1536</v>
      </c>
    </row>
    <row r="224" spans="1:39" ht="13" x14ac:dyDescent="0.15">
      <c r="A224" s="43" t="s">
        <v>1610</v>
      </c>
      <c r="B224" s="43" t="s">
        <v>1611</v>
      </c>
      <c r="C224" s="52" t="s">
        <v>1612</v>
      </c>
      <c r="D224" s="43" t="s">
        <v>304</v>
      </c>
      <c r="E224" s="43"/>
      <c r="F224" s="52" t="s">
        <v>1507</v>
      </c>
      <c r="G224" s="43"/>
      <c r="H224" s="43"/>
      <c r="I224" s="43"/>
      <c r="J224" s="43"/>
      <c r="K224" s="43"/>
      <c r="L224" s="43"/>
      <c r="M224" s="43"/>
      <c r="N224" s="43"/>
      <c r="O224" s="43"/>
      <c r="P224" s="43"/>
      <c r="Q224" s="43"/>
      <c r="R224" s="43">
        <v>0</v>
      </c>
      <c r="S224" s="43"/>
      <c r="T224" s="43"/>
      <c r="U224" s="43" t="s">
        <v>1530</v>
      </c>
      <c r="V224" s="49"/>
      <c r="W224" s="49"/>
      <c r="X224" s="53">
        <v>37.53</v>
      </c>
      <c r="Y224" s="53" t="s">
        <v>1535</v>
      </c>
      <c r="Z224" s="53" t="s">
        <v>1531</v>
      </c>
      <c r="AA224" s="53"/>
      <c r="AB224" s="53"/>
      <c r="AC224" s="53"/>
      <c r="AD224" s="53"/>
      <c r="AE224" s="53"/>
      <c r="AF224" s="53"/>
      <c r="AG224" s="53"/>
      <c r="AH224" s="53"/>
      <c r="AI224" s="53"/>
      <c r="AJ224" s="53"/>
      <c r="AK224" s="53"/>
      <c r="AL224" s="53"/>
      <c r="AM224" s="53"/>
    </row>
    <row r="225" spans="1:39" ht="13" x14ac:dyDescent="0.15">
      <c r="A225" s="43" t="s">
        <v>1613</v>
      </c>
      <c r="B225" s="43" t="s">
        <v>1614</v>
      </c>
      <c r="C225" s="52" t="s">
        <v>1615</v>
      </c>
      <c r="D225" s="43" t="s">
        <v>304</v>
      </c>
      <c r="E225" s="43"/>
      <c r="F225" s="52" t="s">
        <v>1507</v>
      </c>
      <c r="G225" s="43"/>
      <c r="H225" s="43"/>
      <c r="I225" s="43"/>
      <c r="J225" s="43"/>
      <c r="K225" s="43"/>
      <c r="L225" s="43"/>
      <c r="M225" s="43"/>
      <c r="N225" s="43"/>
      <c r="O225" s="43"/>
      <c r="P225" s="43"/>
      <c r="Q225" s="43"/>
      <c r="R225" s="43">
        <v>1</v>
      </c>
      <c r="S225" s="43"/>
      <c r="T225" s="43"/>
      <c r="U225" s="43" t="s">
        <v>1530</v>
      </c>
      <c r="V225" s="49"/>
      <c r="W225" s="49"/>
      <c r="X225" s="53">
        <v>62.48</v>
      </c>
      <c r="Y225" s="53" t="s">
        <v>1535</v>
      </c>
      <c r="Z225" s="53" t="s">
        <v>1531</v>
      </c>
      <c r="AA225" s="53"/>
      <c r="AB225" s="53"/>
      <c r="AC225" s="53"/>
      <c r="AD225" s="53"/>
      <c r="AE225" s="53"/>
      <c r="AF225" s="53"/>
      <c r="AG225" s="53"/>
      <c r="AH225" s="53"/>
      <c r="AI225" s="53"/>
      <c r="AJ225" s="53"/>
      <c r="AK225" s="53"/>
      <c r="AL225" s="53"/>
      <c r="AM225" s="53"/>
    </row>
    <row r="226" spans="1:39" ht="13" x14ac:dyDescent="0.15">
      <c r="A226" s="1" t="s">
        <v>584</v>
      </c>
      <c r="B226" s="1" t="s">
        <v>585</v>
      </c>
      <c r="C226" s="1" t="s">
        <v>586</v>
      </c>
      <c r="D226" s="1" t="s">
        <v>304</v>
      </c>
      <c r="E226" s="1"/>
      <c r="F226" s="5" t="s">
        <v>1507</v>
      </c>
      <c r="G226" s="1"/>
      <c r="H226" s="1"/>
      <c r="I226" s="1"/>
      <c r="J226" s="1"/>
      <c r="K226" s="1"/>
      <c r="L226" s="1"/>
      <c r="M226" s="1"/>
      <c r="N226" s="1"/>
      <c r="O226" s="1"/>
      <c r="P226" s="1"/>
      <c r="Q226" s="1"/>
      <c r="R226" s="1">
        <v>1</v>
      </c>
      <c r="S226" s="1"/>
      <c r="T226" s="1"/>
      <c r="U226" s="1" t="s">
        <v>1530</v>
      </c>
      <c r="V226" s="49"/>
      <c r="W226" s="49"/>
      <c r="X226" s="2">
        <v>61.82</v>
      </c>
      <c r="Y226" s="2">
        <v>1145</v>
      </c>
      <c r="Z226" s="2" t="s">
        <v>1536</v>
      </c>
    </row>
    <row r="227" spans="1:39" ht="13" x14ac:dyDescent="0.15">
      <c r="A227" s="1" t="s">
        <v>587</v>
      </c>
      <c r="B227" s="1" t="s">
        <v>588</v>
      </c>
      <c r="C227" s="5" t="s">
        <v>589</v>
      </c>
      <c r="D227" s="1" t="s">
        <v>304</v>
      </c>
      <c r="E227" s="1"/>
      <c r="F227" s="5" t="s">
        <v>1504</v>
      </c>
      <c r="G227" s="1"/>
      <c r="H227" s="1"/>
      <c r="I227" s="1"/>
      <c r="J227" s="1"/>
      <c r="K227" s="1"/>
      <c r="L227" s="1"/>
      <c r="M227" s="1"/>
      <c r="N227" s="1"/>
      <c r="O227" s="1"/>
      <c r="P227" s="1"/>
      <c r="Q227" s="1"/>
      <c r="R227" s="1">
        <v>1</v>
      </c>
      <c r="S227" s="1"/>
      <c r="T227" s="1"/>
      <c r="U227" s="1" t="s">
        <v>1530</v>
      </c>
      <c r="V227" s="49"/>
      <c r="W227" s="49"/>
      <c r="X227" s="2">
        <v>74.849999999999994</v>
      </c>
      <c r="Y227" s="2">
        <v>1020</v>
      </c>
      <c r="Z227" s="2" t="s">
        <v>1536</v>
      </c>
    </row>
    <row r="228" spans="1:39" ht="13" x14ac:dyDescent="0.15">
      <c r="A228" s="43" t="s">
        <v>1616</v>
      </c>
      <c r="B228" s="43" t="s">
        <v>1617</v>
      </c>
      <c r="C228" s="52" t="s">
        <v>1618</v>
      </c>
      <c r="D228" s="43" t="s">
        <v>304</v>
      </c>
      <c r="E228" s="43"/>
      <c r="F228" s="52" t="s">
        <v>1507</v>
      </c>
      <c r="G228" s="43"/>
      <c r="H228" s="43"/>
      <c r="I228" s="43"/>
      <c r="J228" s="43"/>
      <c r="K228" s="43"/>
      <c r="L228" s="43"/>
      <c r="M228" s="43"/>
      <c r="N228" s="43"/>
      <c r="O228" s="43"/>
      <c r="P228" s="43"/>
      <c r="Q228" s="43"/>
      <c r="R228" s="43">
        <v>1</v>
      </c>
      <c r="S228" s="43"/>
      <c r="T228" s="43"/>
      <c r="U228" s="43" t="s">
        <v>1552</v>
      </c>
      <c r="V228" s="49"/>
      <c r="W228" s="49"/>
      <c r="X228" s="53">
        <v>52.33</v>
      </c>
      <c r="Y228" s="53" t="s">
        <v>1535</v>
      </c>
      <c r="Z228" s="53" t="s">
        <v>1531</v>
      </c>
      <c r="AA228" s="53"/>
      <c r="AB228" s="53"/>
      <c r="AC228" s="53"/>
      <c r="AD228" s="53"/>
      <c r="AE228" s="53"/>
      <c r="AF228" s="53"/>
      <c r="AG228" s="53"/>
      <c r="AH228" s="53"/>
      <c r="AI228" s="53"/>
      <c r="AJ228" s="53"/>
      <c r="AK228" s="53"/>
      <c r="AL228" s="53"/>
      <c r="AM228" s="53"/>
    </row>
    <row r="229" spans="1:39" ht="15" x14ac:dyDescent="0.2">
      <c r="A229" s="47" t="s">
        <v>590</v>
      </c>
      <c r="B229" s="1" t="s">
        <v>591</v>
      </c>
      <c r="C229" s="5" t="s">
        <v>592</v>
      </c>
      <c r="D229" s="1" t="s">
        <v>304</v>
      </c>
      <c r="E229" s="1"/>
      <c r="F229" s="5" t="s">
        <v>1504</v>
      </c>
      <c r="G229" s="1"/>
      <c r="H229" s="1"/>
      <c r="I229" s="1"/>
      <c r="J229" s="1"/>
      <c r="K229" s="1"/>
      <c r="L229" s="1"/>
      <c r="M229" s="1"/>
      <c r="N229" s="1"/>
      <c r="O229" s="1"/>
      <c r="P229" s="1"/>
      <c r="Q229" s="1"/>
      <c r="R229" s="1">
        <v>1</v>
      </c>
      <c r="S229" s="1"/>
      <c r="T229" s="1"/>
      <c r="U229" s="1" t="s">
        <v>1530</v>
      </c>
      <c r="V229" s="49"/>
      <c r="W229" s="49"/>
      <c r="X229" s="2">
        <v>42.61</v>
      </c>
      <c r="Y229" s="2">
        <v>617</v>
      </c>
      <c r="Z229" s="2" t="s">
        <v>1531</v>
      </c>
    </row>
    <row r="230" spans="1:39" ht="15" x14ac:dyDescent="0.2">
      <c r="A230" s="47" t="s">
        <v>593</v>
      </c>
      <c r="B230" s="1" t="s">
        <v>594</v>
      </c>
      <c r="C230" s="1" t="s">
        <v>595</v>
      </c>
      <c r="D230" s="1" t="s">
        <v>304</v>
      </c>
      <c r="E230" s="1"/>
      <c r="F230" s="5" t="s">
        <v>1504</v>
      </c>
      <c r="G230" s="1"/>
      <c r="H230" s="1"/>
      <c r="I230" s="1"/>
      <c r="J230" s="1"/>
      <c r="K230" s="1"/>
      <c r="L230" s="1"/>
      <c r="M230" s="1"/>
      <c r="N230" s="1"/>
      <c r="O230" s="1"/>
      <c r="P230" s="1"/>
      <c r="Q230" s="1"/>
      <c r="R230" s="1">
        <v>0</v>
      </c>
      <c r="S230" s="1"/>
      <c r="T230" s="1"/>
      <c r="U230" s="1" t="s">
        <v>1530</v>
      </c>
      <c r="V230" s="49"/>
      <c r="W230" s="49"/>
      <c r="X230" s="2">
        <v>63.59</v>
      </c>
      <c r="Y230" s="2">
        <v>730</v>
      </c>
      <c r="Z230" s="2" t="s">
        <v>1531</v>
      </c>
    </row>
    <row r="231" spans="1:39" ht="13" x14ac:dyDescent="0.15">
      <c r="A231" s="1" t="s">
        <v>596</v>
      </c>
      <c r="B231" s="1" t="s">
        <v>597</v>
      </c>
      <c r="C231" s="5" t="s">
        <v>598</v>
      </c>
      <c r="D231" s="1" t="s">
        <v>304</v>
      </c>
      <c r="E231" s="1"/>
      <c r="F231" s="5" t="s">
        <v>1504</v>
      </c>
      <c r="G231" s="1"/>
      <c r="H231" s="1"/>
      <c r="I231" s="1"/>
      <c r="J231" s="1"/>
      <c r="K231" s="1"/>
      <c r="L231" s="1"/>
      <c r="M231" s="1"/>
      <c r="N231" s="1"/>
      <c r="O231" s="1"/>
      <c r="P231" s="1"/>
      <c r="Q231" s="1"/>
      <c r="R231" s="1">
        <v>1</v>
      </c>
      <c r="S231" s="1"/>
      <c r="T231" s="1"/>
      <c r="U231" s="1" t="s">
        <v>1530</v>
      </c>
      <c r="V231" s="49"/>
      <c r="W231" s="49"/>
      <c r="X231" s="2">
        <v>64.91</v>
      </c>
      <c r="Y231" s="2">
        <v>370</v>
      </c>
      <c r="Z231" s="2" t="s">
        <v>1531</v>
      </c>
    </row>
    <row r="232" spans="1:39" ht="13" x14ac:dyDescent="0.15">
      <c r="A232" s="43" t="s">
        <v>1619</v>
      </c>
      <c r="B232" s="43" t="s">
        <v>1620</v>
      </c>
      <c r="C232" s="52" t="s">
        <v>1621</v>
      </c>
      <c r="D232" s="43" t="s">
        <v>304</v>
      </c>
      <c r="E232" s="43"/>
      <c r="F232" s="52" t="s">
        <v>1504</v>
      </c>
      <c r="G232" s="43"/>
      <c r="H232" s="43"/>
      <c r="I232" s="43"/>
      <c r="J232" s="43"/>
      <c r="K232" s="43"/>
      <c r="L232" s="43"/>
      <c r="M232" s="43"/>
      <c r="N232" s="43"/>
      <c r="O232" s="43"/>
      <c r="P232" s="43"/>
      <c r="Q232" s="43"/>
      <c r="R232" s="43">
        <v>0</v>
      </c>
      <c r="S232" s="43"/>
      <c r="T232" s="43"/>
      <c r="U232" s="43" t="s">
        <v>1530</v>
      </c>
      <c r="V232" s="49"/>
      <c r="W232" s="49"/>
      <c r="X232" s="53">
        <v>66.58</v>
      </c>
      <c r="Y232" s="53" t="s">
        <v>1535</v>
      </c>
      <c r="Z232" s="53" t="s">
        <v>1536</v>
      </c>
      <c r="AA232" s="53"/>
      <c r="AB232" s="53"/>
      <c r="AC232" s="53"/>
      <c r="AD232" s="53"/>
      <c r="AE232" s="53"/>
      <c r="AF232" s="53"/>
      <c r="AG232" s="53"/>
      <c r="AH232" s="53"/>
      <c r="AI232" s="53"/>
      <c r="AJ232" s="53"/>
      <c r="AK232" s="53"/>
      <c r="AL232" s="53"/>
      <c r="AM232" s="53"/>
    </row>
    <row r="233" spans="1:39" ht="13" x14ac:dyDescent="0.15">
      <c r="A233" s="1" t="s">
        <v>599</v>
      </c>
      <c r="B233" s="1" t="s">
        <v>600</v>
      </c>
      <c r="C233" s="5" t="s">
        <v>601</v>
      </c>
      <c r="D233" s="1" t="s">
        <v>304</v>
      </c>
      <c r="E233" s="1"/>
      <c r="F233" s="5" t="s">
        <v>1504</v>
      </c>
      <c r="G233" s="1"/>
      <c r="H233" s="1"/>
      <c r="I233" s="1"/>
      <c r="J233" s="1"/>
      <c r="K233" s="1"/>
      <c r="L233" s="1"/>
      <c r="M233" s="1"/>
      <c r="N233" s="1"/>
      <c r="O233" s="1"/>
      <c r="P233" s="1"/>
      <c r="Q233" s="1"/>
      <c r="R233" s="1">
        <v>1</v>
      </c>
      <c r="S233" s="1"/>
      <c r="T233" s="1"/>
      <c r="U233" s="1" t="s">
        <v>1530</v>
      </c>
      <c r="V233" s="49"/>
      <c r="W233" s="49"/>
      <c r="X233" s="2">
        <v>71.27</v>
      </c>
      <c r="Y233" s="2">
        <v>376</v>
      </c>
      <c r="Z233" s="2" t="s">
        <v>1536</v>
      </c>
    </row>
    <row r="234" spans="1:39" ht="13" x14ac:dyDescent="0.15">
      <c r="A234" s="1" t="s">
        <v>602</v>
      </c>
      <c r="B234" s="1" t="s">
        <v>603</v>
      </c>
      <c r="C234" s="5" t="s">
        <v>604</v>
      </c>
      <c r="D234" s="1" t="s">
        <v>304</v>
      </c>
      <c r="E234" s="1"/>
      <c r="F234" s="5" t="s">
        <v>1507</v>
      </c>
      <c r="G234" s="1"/>
      <c r="H234" s="1"/>
      <c r="I234" s="1"/>
      <c r="J234" s="1"/>
      <c r="K234" s="1"/>
      <c r="L234" s="1"/>
      <c r="M234" s="1"/>
      <c r="N234" s="1"/>
      <c r="O234" s="1"/>
      <c r="P234" s="1"/>
      <c r="Q234" s="1"/>
      <c r="R234" s="1">
        <v>0</v>
      </c>
      <c r="S234" s="1"/>
      <c r="T234" s="1"/>
      <c r="U234" s="1" t="s">
        <v>1530</v>
      </c>
      <c r="V234" s="49"/>
      <c r="W234" s="49"/>
      <c r="X234" s="2">
        <v>59.47</v>
      </c>
      <c r="Y234" s="2">
        <v>565</v>
      </c>
      <c r="Z234" s="2" t="s">
        <v>1531</v>
      </c>
    </row>
    <row r="235" spans="1:39" ht="13" x14ac:dyDescent="0.15">
      <c r="A235" s="1" t="s">
        <v>605</v>
      </c>
      <c r="B235" s="1" t="s">
        <v>606</v>
      </c>
      <c r="C235" s="5" t="s">
        <v>607</v>
      </c>
      <c r="D235" s="1" t="s">
        <v>304</v>
      </c>
      <c r="E235" s="1"/>
      <c r="F235" s="5" t="s">
        <v>1504</v>
      </c>
      <c r="G235" s="1"/>
      <c r="H235" s="1"/>
      <c r="I235" s="1"/>
      <c r="J235" s="1"/>
      <c r="K235" s="1"/>
      <c r="L235" s="1"/>
      <c r="M235" s="1"/>
      <c r="N235" s="1"/>
      <c r="O235" s="1"/>
      <c r="P235" s="1"/>
      <c r="Q235" s="1"/>
      <c r="R235" s="1">
        <v>0</v>
      </c>
      <c r="S235" s="1"/>
      <c r="T235" s="1"/>
      <c r="U235" s="1" t="s">
        <v>1530</v>
      </c>
      <c r="V235" s="49"/>
      <c r="W235" s="49"/>
      <c r="X235" s="2">
        <v>60.63</v>
      </c>
      <c r="Y235" s="2">
        <v>516</v>
      </c>
      <c r="Z235" s="2" t="s">
        <v>1531</v>
      </c>
    </row>
    <row r="236" spans="1:39" ht="13" x14ac:dyDescent="0.15">
      <c r="A236" s="43" t="s">
        <v>1622</v>
      </c>
      <c r="B236" s="43" t="s">
        <v>1623</v>
      </c>
      <c r="C236" s="52" t="s">
        <v>1624</v>
      </c>
      <c r="D236" s="43" t="s">
        <v>304</v>
      </c>
      <c r="E236" s="43"/>
      <c r="F236" s="52" t="s">
        <v>1507</v>
      </c>
      <c r="G236" s="43"/>
      <c r="H236" s="43"/>
      <c r="I236" s="43"/>
      <c r="J236" s="43"/>
      <c r="K236" s="43"/>
      <c r="L236" s="43"/>
      <c r="M236" s="43"/>
      <c r="N236" s="43"/>
      <c r="O236" s="43"/>
      <c r="P236" s="43"/>
      <c r="Q236" s="43"/>
      <c r="R236" s="43">
        <v>1</v>
      </c>
      <c r="S236" s="43"/>
      <c r="T236" s="43"/>
      <c r="U236" s="43" t="s">
        <v>1530</v>
      </c>
      <c r="V236" s="49"/>
      <c r="W236" s="49"/>
      <c r="X236" s="53">
        <v>67.67</v>
      </c>
      <c r="Y236" s="53" t="s">
        <v>1535</v>
      </c>
      <c r="Z236" s="53" t="s">
        <v>1531</v>
      </c>
      <c r="AA236" s="53"/>
      <c r="AB236" s="53"/>
      <c r="AC236" s="53"/>
      <c r="AD236" s="53"/>
      <c r="AE236" s="53"/>
      <c r="AF236" s="53"/>
      <c r="AG236" s="53"/>
      <c r="AH236" s="53"/>
      <c r="AI236" s="53"/>
      <c r="AJ236" s="53"/>
      <c r="AK236" s="53"/>
      <c r="AL236" s="53"/>
      <c r="AM236" s="53"/>
    </row>
    <row r="237" spans="1:39" ht="13" x14ac:dyDescent="0.15">
      <c r="A237" s="1" t="s">
        <v>608</v>
      </c>
      <c r="B237" s="1" t="s">
        <v>609</v>
      </c>
      <c r="C237" s="5" t="s">
        <v>610</v>
      </c>
      <c r="D237" s="1" t="s">
        <v>304</v>
      </c>
      <c r="E237" s="1"/>
      <c r="F237" s="5" t="s">
        <v>1504</v>
      </c>
      <c r="G237" s="1"/>
      <c r="H237" s="1"/>
      <c r="I237" s="1"/>
      <c r="J237" s="1"/>
      <c r="K237" s="1"/>
      <c r="L237" s="1"/>
      <c r="M237" s="1"/>
      <c r="N237" s="1"/>
      <c r="O237" s="1"/>
      <c r="P237" s="1"/>
      <c r="Q237" s="1"/>
      <c r="R237" s="1">
        <v>0</v>
      </c>
      <c r="S237" s="1"/>
      <c r="T237" s="1"/>
      <c r="U237" s="1" t="s">
        <v>1530</v>
      </c>
      <c r="V237" s="49"/>
      <c r="W237" s="49"/>
      <c r="X237" s="2">
        <v>59.66</v>
      </c>
      <c r="Y237" s="2">
        <v>114</v>
      </c>
      <c r="Z237" s="2" t="s">
        <v>1536</v>
      </c>
    </row>
    <row r="238" spans="1:39" ht="13" x14ac:dyDescent="0.15">
      <c r="A238" s="1" t="s">
        <v>611</v>
      </c>
      <c r="B238" s="1" t="s">
        <v>612</v>
      </c>
      <c r="C238" s="1" t="s">
        <v>613</v>
      </c>
      <c r="D238" s="1" t="s">
        <v>304</v>
      </c>
      <c r="E238" s="1"/>
      <c r="F238" s="5" t="s">
        <v>1504</v>
      </c>
      <c r="G238" s="1"/>
      <c r="H238" s="1"/>
      <c r="I238" s="1"/>
      <c r="J238" s="1"/>
      <c r="K238" s="1"/>
      <c r="L238" s="1"/>
      <c r="M238" s="1"/>
      <c r="N238" s="1"/>
      <c r="O238" s="1"/>
      <c r="P238" s="1"/>
      <c r="Q238" s="1"/>
      <c r="R238" s="1">
        <v>0</v>
      </c>
      <c r="S238" s="1"/>
      <c r="T238" s="1"/>
      <c r="U238" s="1" t="s">
        <v>1530</v>
      </c>
      <c r="V238" s="49"/>
      <c r="W238" s="49"/>
      <c r="X238" s="2">
        <v>50.86</v>
      </c>
      <c r="Y238" s="2">
        <v>538</v>
      </c>
      <c r="Z238" s="2" t="s">
        <v>1531</v>
      </c>
    </row>
    <row r="239" spans="1:39" ht="13" x14ac:dyDescent="0.15">
      <c r="A239" s="1" t="s">
        <v>614</v>
      </c>
      <c r="B239" s="1" t="s">
        <v>615</v>
      </c>
      <c r="C239" s="1" t="s">
        <v>616</v>
      </c>
      <c r="D239" s="1" t="s">
        <v>304</v>
      </c>
      <c r="E239" s="1"/>
      <c r="F239" s="5" t="s">
        <v>1504</v>
      </c>
      <c r="G239" s="1"/>
      <c r="H239" s="1"/>
      <c r="I239" s="1"/>
      <c r="J239" s="1"/>
      <c r="K239" s="1"/>
      <c r="L239" s="1"/>
      <c r="M239" s="1"/>
      <c r="N239" s="1"/>
      <c r="O239" s="1"/>
      <c r="P239" s="1"/>
      <c r="Q239" s="1"/>
      <c r="R239" s="1">
        <v>0</v>
      </c>
      <c r="S239" s="1"/>
      <c r="T239" s="1"/>
      <c r="U239" s="1" t="s">
        <v>1530</v>
      </c>
      <c r="V239" s="49"/>
      <c r="W239" s="49"/>
      <c r="X239" s="2">
        <v>48.74</v>
      </c>
      <c r="Y239" s="2">
        <v>1178</v>
      </c>
      <c r="Z239" s="2" t="s">
        <v>1531</v>
      </c>
    </row>
    <row r="240" spans="1:39" ht="13" x14ac:dyDescent="0.15">
      <c r="A240" s="1" t="s">
        <v>617</v>
      </c>
      <c r="B240" s="1" t="s">
        <v>618</v>
      </c>
      <c r="C240" s="5" t="s">
        <v>619</v>
      </c>
      <c r="D240" s="1" t="s">
        <v>304</v>
      </c>
      <c r="E240" s="1"/>
      <c r="F240" s="5" t="s">
        <v>1507</v>
      </c>
      <c r="G240" s="1"/>
      <c r="H240" s="1"/>
      <c r="I240" s="1"/>
      <c r="J240" s="1"/>
      <c r="K240" s="1"/>
      <c r="L240" s="1"/>
      <c r="M240" s="1"/>
      <c r="N240" s="1"/>
      <c r="O240" s="1"/>
      <c r="P240" s="1"/>
      <c r="Q240" s="1"/>
      <c r="R240" s="1">
        <v>0</v>
      </c>
      <c r="S240" s="1"/>
      <c r="T240" s="1"/>
      <c r="U240" s="1" t="s">
        <v>1530</v>
      </c>
      <c r="V240" s="49"/>
      <c r="W240" s="49"/>
      <c r="X240" s="2">
        <v>71.680000000000007</v>
      </c>
      <c r="Y240" s="2">
        <v>371</v>
      </c>
      <c r="Z240" s="2" t="s">
        <v>1531</v>
      </c>
    </row>
    <row r="241" spans="1:39" ht="13" x14ac:dyDescent="0.15">
      <c r="A241" s="43" t="s">
        <v>1625</v>
      </c>
      <c r="B241" s="43" t="s">
        <v>1626</v>
      </c>
      <c r="C241" s="52" t="s">
        <v>1627</v>
      </c>
      <c r="D241" s="43" t="s">
        <v>304</v>
      </c>
      <c r="E241" s="43"/>
      <c r="F241" s="52" t="s">
        <v>1507</v>
      </c>
      <c r="G241" s="43"/>
      <c r="H241" s="43"/>
      <c r="I241" s="43"/>
      <c r="J241" s="43"/>
      <c r="K241" s="43"/>
      <c r="L241" s="43"/>
      <c r="M241" s="43"/>
      <c r="N241" s="43"/>
      <c r="O241" s="43"/>
      <c r="P241" s="43"/>
      <c r="Q241" s="43"/>
      <c r="R241" s="43">
        <v>1</v>
      </c>
      <c r="S241" s="43"/>
      <c r="T241" s="43"/>
      <c r="U241" s="43" t="s">
        <v>1530</v>
      </c>
      <c r="V241" s="49"/>
      <c r="W241" s="49"/>
      <c r="X241" s="53">
        <v>61.56</v>
      </c>
      <c r="Y241" s="53" t="s">
        <v>1535</v>
      </c>
      <c r="Z241" s="53" t="s">
        <v>1531</v>
      </c>
      <c r="AA241" s="53"/>
      <c r="AB241" s="53"/>
      <c r="AC241" s="53"/>
      <c r="AD241" s="53"/>
      <c r="AE241" s="53"/>
      <c r="AF241" s="53"/>
      <c r="AG241" s="53"/>
      <c r="AH241" s="53"/>
      <c r="AI241" s="53"/>
      <c r="AJ241" s="53"/>
      <c r="AK241" s="53"/>
      <c r="AL241" s="53"/>
      <c r="AM241" s="53"/>
    </row>
    <row r="242" spans="1:39" ht="13" x14ac:dyDescent="0.15">
      <c r="A242" s="1" t="s">
        <v>620</v>
      </c>
      <c r="B242" s="1" t="s">
        <v>621</v>
      </c>
      <c r="C242" s="5" t="s">
        <v>622</v>
      </c>
      <c r="D242" s="1" t="s">
        <v>304</v>
      </c>
      <c r="E242" s="1"/>
      <c r="F242" s="5" t="s">
        <v>1504</v>
      </c>
      <c r="G242" s="1"/>
      <c r="H242" s="1"/>
      <c r="I242" s="1"/>
      <c r="J242" s="1"/>
      <c r="K242" s="1"/>
      <c r="L242" s="1"/>
      <c r="M242" s="1"/>
      <c r="N242" s="1"/>
      <c r="O242" s="1"/>
      <c r="P242" s="1"/>
      <c r="Q242" s="1"/>
      <c r="R242" s="1">
        <v>0</v>
      </c>
      <c r="S242" s="1"/>
      <c r="T242" s="1"/>
      <c r="U242" s="1" t="s">
        <v>1530</v>
      </c>
      <c r="V242" s="49"/>
      <c r="W242" s="49"/>
      <c r="X242" s="2">
        <v>77.39</v>
      </c>
      <c r="Y242" s="2">
        <v>127</v>
      </c>
      <c r="Z242" s="2" t="s">
        <v>1531</v>
      </c>
    </row>
    <row r="243" spans="1:39" ht="13" x14ac:dyDescent="0.15">
      <c r="A243" s="1" t="s">
        <v>623</v>
      </c>
      <c r="B243" s="1" t="s">
        <v>624</v>
      </c>
      <c r="C243" s="5" t="s">
        <v>625</v>
      </c>
      <c r="D243" s="1" t="s">
        <v>304</v>
      </c>
      <c r="E243" s="1"/>
      <c r="F243" s="5" t="s">
        <v>1507</v>
      </c>
      <c r="G243" s="1"/>
      <c r="H243" s="1"/>
      <c r="I243" s="1"/>
      <c r="J243" s="1"/>
      <c r="K243" s="1"/>
      <c r="L243" s="1"/>
      <c r="M243" s="1"/>
      <c r="N243" s="1"/>
      <c r="O243" s="1"/>
      <c r="P243" s="1"/>
      <c r="Q243" s="1"/>
      <c r="R243" s="1">
        <v>1</v>
      </c>
      <c r="S243" s="1"/>
      <c r="T243" s="1"/>
      <c r="U243" s="1" t="s">
        <v>1530</v>
      </c>
      <c r="V243" s="49"/>
      <c r="W243" s="49"/>
      <c r="X243" s="2">
        <v>86.64</v>
      </c>
      <c r="Y243" s="2">
        <v>106</v>
      </c>
      <c r="Z243" s="2" t="s">
        <v>1536</v>
      </c>
    </row>
    <row r="244" spans="1:39" ht="13" x14ac:dyDescent="0.15">
      <c r="A244" s="1" t="s">
        <v>626</v>
      </c>
      <c r="B244" s="1" t="s">
        <v>627</v>
      </c>
      <c r="C244" s="5" t="s">
        <v>628</v>
      </c>
      <c r="D244" s="1" t="s">
        <v>304</v>
      </c>
      <c r="E244" s="1"/>
      <c r="F244" s="5" t="s">
        <v>1504</v>
      </c>
      <c r="G244" s="1"/>
      <c r="H244" s="1"/>
      <c r="I244" s="1"/>
      <c r="J244" s="1"/>
      <c r="K244" s="1"/>
      <c r="L244" s="1"/>
      <c r="M244" s="1"/>
      <c r="N244" s="1"/>
      <c r="O244" s="1"/>
      <c r="P244" s="1"/>
      <c r="Q244" s="1"/>
      <c r="R244" s="1">
        <v>0</v>
      </c>
      <c r="S244" s="1"/>
      <c r="T244" s="1"/>
      <c r="U244" s="1" t="s">
        <v>1530</v>
      </c>
      <c r="V244" s="49"/>
      <c r="W244" s="49"/>
      <c r="X244" s="2">
        <v>73.05</v>
      </c>
      <c r="Y244" s="2">
        <v>85</v>
      </c>
      <c r="Z244" s="2" t="s">
        <v>1531</v>
      </c>
    </row>
    <row r="245" spans="1:39" ht="13" x14ac:dyDescent="0.15">
      <c r="A245" s="1" t="s">
        <v>629</v>
      </c>
      <c r="B245" s="1" t="s">
        <v>630</v>
      </c>
      <c r="C245" s="5" t="s">
        <v>631</v>
      </c>
      <c r="D245" s="1" t="s">
        <v>304</v>
      </c>
      <c r="E245" s="1"/>
      <c r="F245" s="5" t="s">
        <v>1507</v>
      </c>
      <c r="G245" s="1"/>
      <c r="H245" s="1"/>
      <c r="I245" s="1"/>
      <c r="J245" s="1"/>
      <c r="K245" s="1"/>
      <c r="L245" s="1"/>
      <c r="M245" s="1"/>
      <c r="N245" s="1"/>
      <c r="O245" s="1"/>
      <c r="P245" s="1"/>
      <c r="Q245" s="1"/>
      <c r="R245" s="1">
        <v>0</v>
      </c>
      <c r="S245" s="1"/>
      <c r="T245" s="1"/>
      <c r="U245" s="1" t="s">
        <v>1530</v>
      </c>
      <c r="V245" s="49"/>
      <c r="W245" s="49"/>
      <c r="X245" s="2">
        <v>53.63</v>
      </c>
      <c r="Y245" s="2">
        <v>464</v>
      </c>
      <c r="Z245" s="2" t="s">
        <v>1536</v>
      </c>
    </row>
    <row r="246" spans="1:39" ht="13" x14ac:dyDescent="0.15">
      <c r="A246" s="43" t="s">
        <v>1628</v>
      </c>
      <c r="B246" s="43" t="s">
        <v>1629</v>
      </c>
      <c r="C246" s="52" t="s">
        <v>1630</v>
      </c>
      <c r="D246" s="43" t="s">
        <v>304</v>
      </c>
      <c r="E246" s="43"/>
      <c r="F246" s="52" t="s">
        <v>1504</v>
      </c>
      <c r="G246" s="43"/>
      <c r="H246" s="43"/>
      <c r="I246" s="43"/>
      <c r="J246" s="43"/>
      <c r="K246" s="43"/>
      <c r="L246" s="43"/>
      <c r="M246" s="43"/>
      <c r="N246" s="43"/>
      <c r="O246" s="43"/>
      <c r="P246" s="43"/>
      <c r="Q246" s="43"/>
      <c r="R246" s="43">
        <v>1</v>
      </c>
      <c r="S246" s="43"/>
      <c r="T246" s="43"/>
      <c r="U246" s="43" t="s">
        <v>1530</v>
      </c>
      <c r="V246" s="49"/>
      <c r="W246" s="49"/>
      <c r="X246" s="53">
        <v>63.43</v>
      </c>
      <c r="Y246" s="53" t="s">
        <v>1535</v>
      </c>
      <c r="Z246" s="53" t="s">
        <v>1536</v>
      </c>
      <c r="AA246" s="53"/>
      <c r="AB246" s="53"/>
      <c r="AC246" s="53"/>
      <c r="AD246" s="53"/>
      <c r="AE246" s="53"/>
      <c r="AF246" s="53"/>
      <c r="AG246" s="53"/>
      <c r="AH246" s="53"/>
      <c r="AI246" s="53"/>
      <c r="AJ246" s="53"/>
      <c r="AK246" s="53"/>
      <c r="AL246" s="53"/>
      <c r="AM246" s="53"/>
    </row>
    <row r="247" spans="1:39" ht="13" x14ac:dyDescent="0.15">
      <c r="A247" s="1" t="s">
        <v>632</v>
      </c>
      <c r="B247" s="1" t="s">
        <v>633</v>
      </c>
      <c r="C247" s="5" t="s">
        <v>634</v>
      </c>
      <c r="D247" s="1" t="s">
        <v>304</v>
      </c>
      <c r="E247" s="1"/>
      <c r="F247" s="5" t="s">
        <v>1504</v>
      </c>
      <c r="G247" s="1"/>
      <c r="H247" s="1"/>
      <c r="I247" s="1"/>
      <c r="J247" s="1"/>
      <c r="K247" s="1"/>
      <c r="L247" s="1"/>
      <c r="M247" s="1"/>
      <c r="N247" s="1"/>
      <c r="O247" s="1"/>
      <c r="P247" s="1"/>
      <c r="Q247" s="1"/>
      <c r="R247" s="1">
        <v>1</v>
      </c>
      <c r="S247" s="1"/>
      <c r="T247" s="1"/>
      <c r="U247" s="1" t="s">
        <v>1530</v>
      </c>
      <c r="V247" s="49"/>
      <c r="W247" s="49"/>
      <c r="X247" s="2">
        <v>68.67</v>
      </c>
      <c r="Y247" s="2">
        <v>1205</v>
      </c>
      <c r="Z247" s="2" t="s">
        <v>1531</v>
      </c>
    </row>
    <row r="248" spans="1:39" ht="13" x14ac:dyDescent="0.15">
      <c r="A248" s="1" t="s">
        <v>635</v>
      </c>
      <c r="B248" s="1" t="s">
        <v>636</v>
      </c>
      <c r="C248" s="5" t="s">
        <v>637</v>
      </c>
      <c r="D248" s="1" t="s">
        <v>304</v>
      </c>
      <c r="E248" s="1"/>
      <c r="F248" s="5" t="s">
        <v>1507</v>
      </c>
      <c r="G248" s="1"/>
      <c r="H248" s="1"/>
      <c r="I248" s="1"/>
      <c r="J248" s="1"/>
      <c r="K248" s="1"/>
      <c r="L248" s="1"/>
      <c r="M248" s="1"/>
      <c r="N248" s="1"/>
      <c r="O248" s="1"/>
      <c r="P248" s="1"/>
      <c r="Q248" s="1"/>
      <c r="R248" s="1">
        <v>1</v>
      </c>
      <c r="S248" s="1"/>
      <c r="T248" s="1"/>
      <c r="U248" s="1" t="s">
        <v>1530</v>
      </c>
      <c r="V248" s="49"/>
      <c r="W248" s="49"/>
      <c r="X248" s="2">
        <v>73.319999999999993</v>
      </c>
      <c r="Y248" s="2">
        <v>449</v>
      </c>
      <c r="Z248" s="2" t="s">
        <v>1536</v>
      </c>
    </row>
    <row r="249" spans="1:39" ht="13" x14ac:dyDescent="0.15">
      <c r="A249" s="1" t="s">
        <v>638</v>
      </c>
      <c r="B249" s="1" t="s">
        <v>639</v>
      </c>
      <c r="C249" s="5" t="s">
        <v>640</v>
      </c>
      <c r="D249" s="1" t="s">
        <v>304</v>
      </c>
      <c r="E249" s="1"/>
      <c r="F249" s="5" t="s">
        <v>1507</v>
      </c>
      <c r="G249" s="1"/>
      <c r="H249" s="1"/>
      <c r="I249" s="1"/>
      <c r="J249" s="1"/>
      <c r="K249" s="1"/>
      <c r="L249" s="1"/>
      <c r="M249" s="1"/>
      <c r="N249" s="1"/>
      <c r="O249" s="1"/>
      <c r="P249" s="1"/>
      <c r="Q249" s="1"/>
      <c r="R249" s="1">
        <v>1</v>
      </c>
      <c r="S249" s="1"/>
      <c r="T249" s="1"/>
      <c r="U249" s="1" t="s">
        <v>1552</v>
      </c>
      <c r="V249" s="49"/>
      <c r="W249" s="49"/>
      <c r="X249" s="2">
        <v>59.21</v>
      </c>
      <c r="Y249" s="2">
        <v>350</v>
      </c>
      <c r="Z249" s="2" t="s">
        <v>1531</v>
      </c>
    </row>
    <row r="250" spans="1:39" ht="13" x14ac:dyDescent="0.15">
      <c r="A250" s="1" t="s">
        <v>641</v>
      </c>
      <c r="B250" s="1" t="s">
        <v>642</v>
      </c>
      <c r="C250" s="5" t="s">
        <v>643</v>
      </c>
      <c r="D250" s="1" t="s">
        <v>304</v>
      </c>
      <c r="E250" s="1"/>
      <c r="F250" s="5" t="s">
        <v>1504</v>
      </c>
      <c r="G250" s="1"/>
      <c r="H250" s="1"/>
      <c r="I250" s="1"/>
      <c r="J250" s="1"/>
      <c r="K250" s="1"/>
      <c r="L250" s="1"/>
      <c r="M250" s="1"/>
      <c r="N250" s="1"/>
      <c r="O250" s="1"/>
      <c r="P250" s="1"/>
      <c r="Q250" s="1"/>
      <c r="R250" s="1">
        <v>1</v>
      </c>
      <c r="S250" s="1"/>
      <c r="T250" s="1"/>
      <c r="U250" s="1" t="s">
        <v>1530</v>
      </c>
      <c r="V250" s="49"/>
      <c r="W250" s="49"/>
      <c r="X250" s="2">
        <v>61.15</v>
      </c>
      <c r="Y250" s="2">
        <v>289</v>
      </c>
      <c r="Z250" s="2" t="s">
        <v>1536</v>
      </c>
    </row>
    <row r="251" spans="1:39" ht="13" x14ac:dyDescent="0.15">
      <c r="A251" s="1" t="s">
        <v>644</v>
      </c>
      <c r="B251" s="1" t="s">
        <v>645</v>
      </c>
      <c r="C251" s="5" t="s">
        <v>646</v>
      </c>
      <c r="D251" s="1" t="s">
        <v>304</v>
      </c>
      <c r="E251" s="1"/>
      <c r="F251" s="5" t="s">
        <v>1504</v>
      </c>
      <c r="G251" s="1"/>
      <c r="H251" s="1"/>
      <c r="I251" s="1"/>
      <c r="J251" s="1"/>
      <c r="K251" s="1"/>
      <c r="L251" s="1"/>
      <c r="M251" s="1"/>
      <c r="N251" s="1"/>
      <c r="O251" s="1"/>
      <c r="P251" s="1"/>
      <c r="Q251" s="1"/>
      <c r="R251" s="1">
        <v>1</v>
      </c>
      <c r="S251" s="1"/>
      <c r="T251" s="1"/>
      <c r="U251" s="1" t="s">
        <v>1530</v>
      </c>
      <c r="V251" s="49"/>
      <c r="W251" s="49"/>
      <c r="X251" s="2">
        <v>72.819999999999993</v>
      </c>
      <c r="Y251" s="2">
        <v>302</v>
      </c>
      <c r="Z251" s="2" t="s">
        <v>1531</v>
      </c>
    </row>
    <row r="252" spans="1:39" ht="13" x14ac:dyDescent="0.15">
      <c r="A252" s="1" t="s">
        <v>647</v>
      </c>
      <c r="B252" s="1" t="s">
        <v>648</v>
      </c>
      <c r="C252" s="5" t="s">
        <v>649</v>
      </c>
      <c r="D252" s="1" t="s">
        <v>304</v>
      </c>
      <c r="E252" s="1"/>
      <c r="F252" s="5" t="s">
        <v>1507</v>
      </c>
      <c r="G252" s="1"/>
      <c r="H252" s="1"/>
      <c r="I252" s="1"/>
      <c r="J252" s="1"/>
      <c r="K252" s="1"/>
      <c r="L252" s="1"/>
      <c r="M252" s="1"/>
      <c r="N252" s="1"/>
      <c r="O252" s="1"/>
      <c r="P252" s="1"/>
      <c r="Q252" s="1"/>
      <c r="R252" s="1">
        <v>1</v>
      </c>
      <c r="S252" s="1"/>
      <c r="T252" s="1"/>
      <c r="U252" s="1" t="s">
        <v>1530</v>
      </c>
      <c r="V252" s="49"/>
      <c r="W252" s="49"/>
      <c r="X252" s="2">
        <v>81.290000000000006</v>
      </c>
      <c r="Y252" s="2">
        <v>990</v>
      </c>
      <c r="Z252" s="2" t="s">
        <v>1531</v>
      </c>
    </row>
    <row r="253" spans="1:39" ht="13" x14ac:dyDescent="0.15">
      <c r="A253" s="43" t="s">
        <v>1631</v>
      </c>
      <c r="B253" s="43" t="s">
        <v>1632</v>
      </c>
      <c r="C253" s="52" t="s">
        <v>1633</v>
      </c>
      <c r="D253" s="43" t="s">
        <v>304</v>
      </c>
      <c r="E253" s="43"/>
      <c r="F253" s="52" t="s">
        <v>1507</v>
      </c>
      <c r="G253" s="43"/>
      <c r="H253" s="43"/>
      <c r="I253" s="43"/>
      <c r="J253" s="43"/>
      <c r="K253" s="43"/>
      <c r="L253" s="43"/>
      <c r="M253" s="43"/>
      <c r="N253" s="43"/>
      <c r="O253" s="43"/>
      <c r="P253" s="43"/>
      <c r="Q253" s="43"/>
      <c r="R253" s="43">
        <v>1</v>
      </c>
      <c r="S253" s="43"/>
      <c r="T253" s="43"/>
      <c r="U253" s="43" t="s">
        <v>1530</v>
      </c>
      <c r="V253" s="49"/>
      <c r="W253" s="49"/>
      <c r="X253" s="53">
        <v>64.209999999999994</v>
      </c>
      <c r="Y253" s="53" t="s">
        <v>1535</v>
      </c>
      <c r="Z253" s="53" t="s">
        <v>1531</v>
      </c>
      <c r="AA253" s="53"/>
      <c r="AB253" s="53"/>
      <c r="AC253" s="53"/>
      <c r="AD253" s="53"/>
      <c r="AE253" s="53"/>
      <c r="AF253" s="53"/>
      <c r="AG253" s="53"/>
      <c r="AH253" s="53"/>
      <c r="AI253" s="53"/>
      <c r="AJ253" s="53"/>
      <c r="AK253" s="53"/>
      <c r="AL253" s="53"/>
      <c r="AM253" s="53"/>
    </row>
    <row r="254" spans="1:39" ht="13" x14ac:dyDescent="0.15">
      <c r="A254" s="48" t="s">
        <v>650</v>
      </c>
      <c r="B254" s="1" t="s">
        <v>651</v>
      </c>
      <c r="C254" s="1" t="s">
        <v>652</v>
      </c>
      <c r="D254" s="1" t="s">
        <v>304</v>
      </c>
      <c r="E254" s="1"/>
      <c r="F254" s="5" t="s">
        <v>1507</v>
      </c>
      <c r="G254" s="1"/>
      <c r="H254" s="1"/>
      <c r="I254" s="1"/>
      <c r="J254" s="1"/>
      <c r="K254" s="1"/>
      <c r="L254" s="1"/>
      <c r="M254" s="1"/>
      <c r="N254" s="1"/>
      <c r="O254" s="1"/>
      <c r="P254" s="1"/>
      <c r="Q254" s="1"/>
      <c r="R254" s="1">
        <v>0</v>
      </c>
      <c r="S254" s="1"/>
      <c r="T254" s="1"/>
      <c r="U254" s="1" t="s">
        <v>1530</v>
      </c>
      <c r="V254" s="49"/>
      <c r="W254" s="49"/>
      <c r="X254" s="2">
        <v>82.36</v>
      </c>
      <c r="Y254" s="2">
        <v>409</v>
      </c>
      <c r="Z254" s="2" t="s">
        <v>1531</v>
      </c>
    </row>
    <row r="255" spans="1:39" ht="13" x14ac:dyDescent="0.15">
      <c r="A255" s="1" t="s">
        <v>653</v>
      </c>
      <c r="B255" s="1" t="s">
        <v>654</v>
      </c>
      <c r="C255" s="5" t="s">
        <v>655</v>
      </c>
      <c r="D255" s="1" t="s">
        <v>304</v>
      </c>
      <c r="E255" s="1"/>
      <c r="F255" s="5" t="s">
        <v>1504</v>
      </c>
      <c r="G255" s="1"/>
      <c r="H255" s="1"/>
      <c r="I255" s="1"/>
      <c r="J255" s="1"/>
      <c r="K255" s="1"/>
      <c r="L255" s="1"/>
      <c r="M255" s="1"/>
      <c r="N255" s="1"/>
      <c r="O255" s="1"/>
      <c r="P255" s="1"/>
      <c r="Q255" s="1"/>
      <c r="R255" s="1">
        <v>0</v>
      </c>
      <c r="S255" s="1"/>
      <c r="T255" s="1"/>
      <c r="U255" s="1" t="s">
        <v>1530</v>
      </c>
      <c r="V255" s="49"/>
      <c r="W255" s="49"/>
      <c r="X255" s="2">
        <v>75.08</v>
      </c>
      <c r="Y255" s="2">
        <v>648</v>
      </c>
      <c r="Z255" s="2" t="s">
        <v>1536</v>
      </c>
    </row>
    <row r="256" spans="1:39" ht="13" x14ac:dyDescent="0.15">
      <c r="A256" s="1" t="s">
        <v>656</v>
      </c>
      <c r="B256" s="1" t="s">
        <v>657</v>
      </c>
      <c r="C256" s="5" t="s">
        <v>658</v>
      </c>
      <c r="D256" s="1" t="s">
        <v>304</v>
      </c>
      <c r="E256" s="1"/>
      <c r="F256" s="5" t="s">
        <v>1504</v>
      </c>
      <c r="G256" s="1"/>
      <c r="H256" s="1"/>
      <c r="I256" s="1"/>
      <c r="J256" s="1"/>
      <c r="K256" s="1"/>
      <c r="L256" s="1"/>
      <c r="M256" s="1"/>
      <c r="N256" s="1"/>
      <c r="O256" s="1"/>
      <c r="P256" s="1"/>
      <c r="Q256" s="1"/>
      <c r="R256" s="1">
        <v>0</v>
      </c>
      <c r="S256" s="1"/>
      <c r="T256" s="1"/>
      <c r="U256" s="1" t="s">
        <v>1530</v>
      </c>
      <c r="V256" s="49"/>
      <c r="W256" s="49"/>
      <c r="X256" s="2">
        <v>53.34</v>
      </c>
      <c r="Y256" s="2">
        <v>285</v>
      </c>
      <c r="Z256" s="2" t="s">
        <v>1536</v>
      </c>
    </row>
    <row r="257" spans="1:39" ht="13" x14ac:dyDescent="0.15">
      <c r="A257" s="1" t="s">
        <v>659</v>
      </c>
      <c r="B257" s="1" t="s">
        <v>660</v>
      </c>
      <c r="C257" s="5" t="s">
        <v>661</v>
      </c>
      <c r="D257" s="1" t="s">
        <v>304</v>
      </c>
      <c r="E257" s="1"/>
      <c r="F257" s="5" t="s">
        <v>1504</v>
      </c>
      <c r="G257" s="1"/>
      <c r="H257" s="1"/>
      <c r="I257" s="1"/>
      <c r="J257" s="1"/>
      <c r="K257" s="1"/>
      <c r="L257" s="1"/>
      <c r="M257" s="1"/>
      <c r="N257" s="1"/>
      <c r="O257" s="1"/>
      <c r="P257" s="1"/>
      <c r="Q257" s="1"/>
      <c r="R257" s="1">
        <v>0</v>
      </c>
      <c r="S257" s="1"/>
      <c r="T257" s="1"/>
      <c r="U257" s="1" t="s">
        <v>1530</v>
      </c>
      <c r="V257" s="49"/>
      <c r="W257" s="49"/>
      <c r="X257" s="2">
        <v>48.97</v>
      </c>
      <c r="Y257" s="2">
        <v>742</v>
      </c>
      <c r="Z257" s="2" t="s">
        <v>1536</v>
      </c>
    </row>
    <row r="258" spans="1:39" ht="13" x14ac:dyDescent="0.15">
      <c r="A258" s="1" t="s">
        <v>662</v>
      </c>
      <c r="B258" s="1" t="s">
        <v>663</v>
      </c>
      <c r="C258" s="5" t="s">
        <v>664</v>
      </c>
      <c r="D258" s="1" t="s">
        <v>304</v>
      </c>
      <c r="E258" s="1"/>
      <c r="F258" s="5" t="s">
        <v>1507</v>
      </c>
      <c r="G258" s="1"/>
      <c r="H258" s="1"/>
      <c r="I258" s="1"/>
      <c r="J258" s="1"/>
      <c r="K258" s="1"/>
      <c r="L258" s="1"/>
      <c r="M258" s="1"/>
      <c r="N258" s="1"/>
      <c r="O258" s="1"/>
      <c r="P258" s="1"/>
      <c r="Q258" s="1"/>
      <c r="R258" s="1">
        <v>0</v>
      </c>
      <c r="S258" s="1"/>
      <c r="T258" s="1"/>
      <c r="U258" s="1" t="s">
        <v>1530</v>
      </c>
      <c r="V258" s="49"/>
      <c r="W258" s="49"/>
      <c r="X258" s="2">
        <v>67.09</v>
      </c>
      <c r="Y258" s="2">
        <v>389</v>
      </c>
      <c r="Z258" s="2" t="s">
        <v>1531</v>
      </c>
    </row>
    <row r="259" spans="1:39" ht="13" x14ac:dyDescent="0.15">
      <c r="A259" s="43" t="s">
        <v>1634</v>
      </c>
      <c r="B259" s="43" t="s">
        <v>1635</v>
      </c>
      <c r="C259" s="52" t="s">
        <v>1636</v>
      </c>
      <c r="D259" s="43" t="s">
        <v>304</v>
      </c>
      <c r="E259" s="43"/>
      <c r="F259" s="52" t="s">
        <v>1507</v>
      </c>
      <c r="G259" s="43"/>
      <c r="H259" s="43"/>
      <c r="I259" s="43"/>
      <c r="J259" s="43"/>
      <c r="K259" s="43"/>
      <c r="L259" s="43"/>
      <c r="M259" s="43"/>
      <c r="N259" s="43"/>
      <c r="O259" s="43"/>
      <c r="P259" s="43"/>
      <c r="Q259" s="43"/>
      <c r="R259" s="43">
        <v>0</v>
      </c>
      <c r="S259" s="43"/>
      <c r="T259" s="43"/>
      <c r="U259" s="43" t="s">
        <v>1530</v>
      </c>
      <c r="V259" s="49"/>
      <c r="W259" s="49"/>
      <c r="X259" s="53">
        <v>71.61</v>
      </c>
      <c r="Y259" s="53" t="s">
        <v>1535</v>
      </c>
      <c r="Z259" s="53" t="s">
        <v>1531</v>
      </c>
      <c r="AA259" s="53"/>
      <c r="AB259" s="53"/>
      <c r="AC259" s="53"/>
      <c r="AD259" s="53"/>
      <c r="AE259" s="53"/>
      <c r="AF259" s="53"/>
      <c r="AG259" s="53"/>
      <c r="AH259" s="53"/>
      <c r="AI259" s="53"/>
      <c r="AJ259" s="53"/>
      <c r="AK259" s="53"/>
      <c r="AL259" s="53"/>
      <c r="AM259" s="53"/>
    </row>
    <row r="260" spans="1:39" ht="13" x14ac:dyDescent="0.15">
      <c r="A260" s="1" t="s">
        <v>665</v>
      </c>
      <c r="B260" s="1" t="s">
        <v>666</v>
      </c>
      <c r="C260" s="5" t="s">
        <v>667</v>
      </c>
      <c r="D260" s="1" t="s">
        <v>304</v>
      </c>
      <c r="E260" s="1"/>
      <c r="F260" s="5" t="s">
        <v>1504</v>
      </c>
      <c r="G260" s="1"/>
      <c r="H260" s="1"/>
      <c r="I260" s="1"/>
      <c r="J260" s="1"/>
      <c r="K260" s="1"/>
      <c r="L260" s="1"/>
      <c r="M260" s="1"/>
      <c r="N260" s="1"/>
      <c r="O260" s="1"/>
      <c r="P260" s="1"/>
      <c r="Q260" s="1"/>
      <c r="R260" s="1">
        <v>0</v>
      </c>
      <c r="S260" s="1"/>
      <c r="T260" s="1"/>
      <c r="U260" s="1" t="s">
        <v>1530</v>
      </c>
      <c r="V260" s="49"/>
      <c r="W260" s="49"/>
      <c r="X260" s="2">
        <v>48.02</v>
      </c>
      <c r="Y260" s="2">
        <v>922</v>
      </c>
      <c r="Z260" s="2" t="s">
        <v>1531</v>
      </c>
    </row>
    <row r="261" spans="1:39" ht="13" x14ac:dyDescent="0.15">
      <c r="A261" s="1" t="s">
        <v>668</v>
      </c>
      <c r="B261" s="1" t="s">
        <v>669</v>
      </c>
      <c r="C261" s="5" t="s">
        <v>670</v>
      </c>
      <c r="D261" s="1" t="s">
        <v>304</v>
      </c>
      <c r="E261" s="1"/>
      <c r="F261" s="5" t="s">
        <v>1504</v>
      </c>
      <c r="G261" s="1"/>
      <c r="H261" s="1"/>
      <c r="I261" s="1"/>
      <c r="J261" s="1"/>
      <c r="K261" s="1"/>
      <c r="L261" s="1"/>
      <c r="M261" s="1"/>
      <c r="N261" s="1"/>
      <c r="O261" s="1"/>
      <c r="P261" s="1"/>
      <c r="Q261" s="1"/>
      <c r="R261" s="1">
        <v>1</v>
      </c>
      <c r="S261" s="1"/>
      <c r="T261" s="1"/>
      <c r="U261" s="1" t="s">
        <v>1530</v>
      </c>
      <c r="V261" s="49"/>
      <c r="W261" s="49"/>
      <c r="X261" s="2">
        <v>74.45</v>
      </c>
      <c r="Y261" s="2">
        <v>496</v>
      </c>
      <c r="Z261" s="2" t="s">
        <v>1531</v>
      </c>
    </row>
    <row r="262" spans="1:39" ht="13" x14ac:dyDescent="0.15">
      <c r="A262" s="1" t="s">
        <v>671</v>
      </c>
      <c r="B262" s="1" t="s">
        <v>672</v>
      </c>
      <c r="C262" s="5" t="s">
        <v>673</v>
      </c>
      <c r="D262" s="1" t="s">
        <v>304</v>
      </c>
      <c r="E262" s="1"/>
      <c r="F262" s="5" t="s">
        <v>1504</v>
      </c>
      <c r="G262" s="1"/>
      <c r="H262" s="1"/>
      <c r="I262" s="1"/>
      <c r="J262" s="1"/>
      <c r="K262" s="1"/>
      <c r="L262" s="1"/>
      <c r="M262" s="1"/>
      <c r="N262" s="1"/>
      <c r="O262" s="1"/>
      <c r="P262" s="1"/>
      <c r="Q262" s="1"/>
      <c r="R262" s="1">
        <v>1</v>
      </c>
      <c r="S262" s="1"/>
      <c r="T262" s="1"/>
      <c r="U262" s="1" t="s">
        <v>1530</v>
      </c>
      <c r="V262" s="49"/>
      <c r="W262" s="49"/>
      <c r="X262" s="2">
        <v>59.99</v>
      </c>
      <c r="Y262" s="2">
        <v>1451</v>
      </c>
      <c r="Z262" s="2" t="s">
        <v>1531</v>
      </c>
    </row>
    <row r="263" spans="1:39" ht="13" x14ac:dyDescent="0.15">
      <c r="A263" s="1" t="s">
        <v>674</v>
      </c>
      <c r="B263" s="1" t="s">
        <v>675</v>
      </c>
      <c r="C263" s="5" t="s">
        <v>676</v>
      </c>
      <c r="D263" s="1" t="s">
        <v>304</v>
      </c>
      <c r="E263" s="1"/>
      <c r="F263" s="5" t="s">
        <v>1507</v>
      </c>
      <c r="G263" s="1"/>
      <c r="H263" s="1"/>
      <c r="I263" s="1"/>
      <c r="J263" s="1"/>
      <c r="K263" s="1"/>
      <c r="L263" s="1"/>
      <c r="M263" s="1"/>
      <c r="N263" s="1"/>
      <c r="O263" s="1"/>
      <c r="P263" s="1"/>
      <c r="Q263" s="1"/>
      <c r="R263" s="1">
        <v>0</v>
      </c>
      <c r="S263" s="1"/>
      <c r="T263" s="1"/>
      <c r="U263" s="1" t="s">
        <v>1530</v>
      </c>
      <c r="V263" s="49"/>
      <c r="W263" s="49"/>
      <c r="X263" s="2">
        <v>20.74</v>
      </c>
      <c r="Y263" s="2">
        <v>36</v>
      </c>
      <c r="Z263" s="2" t="s">
        <v>1536</v>
      </c>
    </row>
    <row r="264" spans="1:39" ht="13" x14ac:dyDescent="0.15">
      <c r="A264" s="1" t="s">
        <v>677</v>
      </c>
      <c r="B264" s="1" t="s">
        <v>678</v>
      </c>
      <c r="C264" s="5" t="s">
        <v>679</v>
      </c>
      <c r="D264" s="1" t="s">
        <v>304</v>
      </c>
      <c r="E264" s="1"/>
      <c r="F264" s="5" t="s">
        <v>1504</v>
      </c>
      <c r="G264" s="1"/>
      <c r="H264" s="1"/>
      <c r="I264" s="1"/>
      <c r="J264" s="1"/>
      <c r="K264" s="1"/>
      <c r="L264" s="1"/>
      <c r="M264" s="1"/>
      <c r="N264" s="1"/>
      <c r="O264" s="1"/>
      <c r="P264" s="1"/>
      <c r="Q264" s="1"/>
      <c r="R264" s="1">
        <v>0</v>
      </c>
      <c r="S264" s="1"/>
      <c r="T264" s="1"/>
      <c r="U264" s="1" t="s">
        <v>1530</v>
      </c>
      <c r="V264" s="49"/>
      <c r="W264" s="49"/>
      <c r="X264" s="2">
        <v>60.38</v>
      </c>
      <c r="Y264" s="2">
        <v>395</v>
      </c>
      <c r="Z264" s="2" t="s">
        <v>1536</v>
      </c>
    </row>
    <row r="265" spans="1:39" ht="13" x14ac:dyDescent="0.15">
      <c r="A265" s="1" t="s">
        <v>680</v>
      </c>
      <c r="B265" s="1" t="s">
        <v>681</v>
      </c>
      <c r="C265" s="1" t="s">
        <v>682</v>
      </c>
      <c r="D265" s="1" t="s">
        <v>304</v>
      </c>
      <c r="E265" s="1"/>
      <c r="F265" s="5" t="s">
        <v>1507</v>
      </c>
      <c r="G265" s="1"/>
      <c r="H265" s="1"/>
      <c r="I265" s="1"/>
      <c r="J265" s="1"/>
      <c r="K265" s="1"/>
      <c r="L265" s="1"/>
      <c r="M265" s="1"/>
      <c r="N265" s="1"/>
      <c r="O265" s="1"/>
      <c r="P265" s="1"/>
      <c r="Q265" s="1"/>
      <c r="R265" s="1">
        <v>0</v>
      </c>
      <c r="S265" s="1"/>
      <c r="T265" s="1"/>
      <c r="U265" s="1" t="s">
        <v>1530</v>
      </c>
      <c r="V265" s="49"/>
      <c r="W265" s="49"/>
      <c r="X265" s="2">
        <v>68.959999999999994</v>
      </c>
      <c r="Y265" s="2">
        <v>336</v>
      </c>
      <c r="Z265" s="2" t="s">
        <v>1531</v>
      </c>
    </row>
    <row r="266" spans="1:39" ht="13" x14ac:dyDescent="0.15">
      <c r="A266" s="1" t="s">
        <v>683</v>
      </c>
      <c r="B266" s="1" t="s">
        <v>684</v>
      </c>
      <c r="C266" s="5" t="s">
        <v>685</v>
      </c>
      <c r="D266" s="1" t="s">
        <v>304</v>
      </c>
      <c r="E266" s="1"/>
      <c r="F266" s="5" t="s">
        <v>1504</v>
      </c>
      <c r="G266" s="1"/>
      <c r="H266" s="1"/>
      <c r="I266" s="1"/>
      <c r="J266" s="1"/>
      <c r="K266" s="1"/>
      <c r="L266" s="1"/>
      <c r="M266" s="1"/>
      <c r="N266" s="1"/>
      <c r="O266" s="1"/>
      <c r="P266" s="1"/>
      <c r="Q266" s="1"/>
      <c r="R266" s="1">
        <v>0</v>
      </c>
      <c r="S266" s="1"/>
      <c r="T266" s="1"/>
      <c r="U266" s="1" t="s">
        <v>1530</v>
      </c>
      <c r="V266" s="49"/>
      <c r="W266" s="49"/>
      <c r="X266" s="2">
        <v>73.2</v>
      </c>
      <c r="Y266" s="2">
        <v>744</v>
      </c>
      <c r="Z266" s="2" t="s">
        <v>1531</v>
      </c>
    </row>
    <row r="267" spans="1:39" ht="13" x14ac:dyDescent="0.15">
      <c r="A267" s="1" t="s">
        <v>686</v>
      </c>
      <c r="B267" s="1" t="s">
        <v>687</v>
      </c>
      <c r="C267" s="5" t="s">
        <v>688</v>
      </c>
      <c r="D267" s="1" t="s">
        <v>304</v>
      </c>
      <c r="E267" s="1"/>
      <c r="F267" s="5" t="s">
        <v>1504</v>
      </c>
      <c r="G267" s="1"/>
      <c r="H267" s="1"/>
      <c r="I267" s="1"/>
      <c r="J267" s="1"/>
      <c r="K267" s="1"/>
      <c r="L267" s="1"/>
      <c r="M267" s="1"/>
      <c r="N267" s="1"/>
      <c r="O267" s="1"/>
      <c r="P267" s="1"/>
      <c r="Q267" s="1"/>
      <c r="R267" s="1">
        <v>0</v>
      </c>
      <c r="S267" s="1"/>
      <c r="T267" s="1"/>
      <c r="U267" s="1" t="s">
        <v>1530</v>
      </c>
      <c r="V267" s="49"/>
      <c r="W267" s="49"/>
      <c r="X267" s="2">
        <v>40.04</v>
      </c>
      <c r="Y267" s="2">
        <v>411</v>
      </c>
      <c r="Z267" s="2" t="s">
        <v>1531</v>
      </c>
    </row>
    <row r="268" spans="1:39" ht="13" x14ac:dyDescent="0.15">
      <c r="A268" s="43" t="s">
        <v>1637</v>
      </c>
      <c r="B268" s="43" t="s">
        <v>1638</v>
      </c>
      <c r="C268" s="52" t="s">
        <v>1639</v>
      </c>
      <c r="D268" s="43" t="s">
        <v>304</v>
      </c>
      <c r="E268" s="43"/>
      <c r="F268" s="52" t="s">
        <v>1507</v>
      </c>
      <c r="G268" s="43"/>
      <c r="H268" s="43"/>
      <c r="I268" s="43"/>
      <c r="J268" s="43"/>
      <c r="K268" s="43"/>
      <c r="L268" s="43"/>
      <c r="M268" s="43"/>
      <c r="N268" s="43"/>
      <c r="O268" s="43"/>
      <c r="P268" s="43"/>
      <c r="Q268" s="43"/>
      <c r="R268" s="43">
        <v>0</v>
      </c>
      <c r="S268" s="43"/>
      <c r="T268" s="43"/>
      <c r="U268" s="43" t="s">
        <v>1530</v>
      </c>
      <c r="V268" s="49"/>
      <c r="W268" s="49"/>
      <c r="X268" s="53">
        <v>81.95</v>
      </c>
      <c r="Y268" s="53">
        <v>46</v>
      </c>
      <c r="Z268" s="53" t="s">
        <v>1535</v>
      </c>
      <c r="AA268" s="53"/>
      <c r="AB268" s="53"/>
      <c r="AC268" s="53"/>
      <c r="AD268" s="53"/>
      <c r="AE268" s="53"/>
      <c r="AF268" s="53"/>
      <c r="AG268" s="53"/>
      <c r="AH268" s="53"/>
      <c r="AI268" s="53"/>
      <c r="AJ268" s="53"/>
      <c r="AK268" s="53"/>
      <c r="AL268" s="53"/>
      <c r="AM268" s="53"/>
    </row>
    <row r="269" spans="1:39" ht="13" x14ac:dyDescent="0.15">
      <c r="A269" s="1" t="s">
        <v>689</v>
      </c>
      <c r="B269" s="1" t="s">
        <v>690</v>
      </c>
      <c r="C269" s="5" t="s">
        <v>691</v>
      </c>
      <c r="D269" s="1" t="s">
        <v>304</v>
      </c>
      <c r="E269" s="1"/>
      <c r="F269" s="5" t="s">
        <v>1504</v>
      </c>
      <c r="G269" s="1"/>
      <c r="H269" s="1"/>
      <c r="I269" s="1"/>
      <c r="J269" s="1"/>
      <c r="K269" s="1"/>
      <c r="L269" s="1"/>
      <c r="M269" s="1"/>
      <c r="N269" s="1"/>
      <c r="O269" s="1"/>
      <c r="P269" s="1"/>
      <c r="Q269" s="1"/>
      <c r="R269" s="1">
        <v>0</v>
      </c>
      <c r="S269" s="1"/>
      <c r="T269" s="1"/>
      <c r="U269" s="1" t="s">
        <v>1530</v>
      </c>
      <c r="V269" s="49"/>
      <c r="W269" s="49"/>
      <c r="X269" s="2">
        <v>68.38</v>
      </c>
      <c r="Y269" s="2">
        <v>443</v>
      </c>
      <c r="Z269" s="2" t="s">
        <v>1536</v>
      </c>
    </row>
    <row r="270" spans="1:39" ht="13" x14ac:dyDescent="0.15">
      <c r="A270" s="1" t="s">
        <v>692</v>
      </c>
      <c r="B270" s="1" t="s">
        <v>693</v>
      </c>
      <c r="C270" s="5" t="s">
        <v>694</v>
      </c>
      <c r="D270" s="1" t="s">
        <v>304</v>
      </c>
      <c r="E270" s="1"/>
      <c r="F270" s="5" t="s">
        <v>1504</v>
      </c>
      <c r="G270" s="1"/>
      <c r="H270" s="1"/>
      <c r="I270" s="1"/>
      <c r="J270" s="1"/>
      <c r="K270" s="1"/>
      <c r="L270" s="1"/>
      <c r="M270" s="1"/>
      <c r="N270" s="1"/>
      <c r="O270" s="1"/>
      <c r="P270" s="1"/>
      <c r="Q270" s="1"/>
      <c r="R270" s="1">
        <v>0</v>
      </c>
      <c r="S270" s="1"/>
      <c r="T270" s="1"/>
      <c r="U270" s="1" t="s">
        <v>1530</v>
      </c>
      <c r="V270" s="49"/>
      <c r="W270" s="49"/>
      <c r="X270" s="2">
        <v>57.82</v>
      </c>
      <c r="Y270" s="2">
        <v>223</v>
      </c>
      <c r="Z270" s="2" t="s">
        <v>1536</v>
      </c>
    </row>
    <row r="271" spans="1:39" ht="13" x14ac:dyDescent="0.15">
      <c r="A271" s="1" t="s">
        <v>695</v>
      </c>
      <c r="B271" s="1" t="s">
        <v>696</v>
      </c>
      <c r="C271" s="5" t="s">
        <v>697</v>
      </c>
      <c r="D271" s="1" t="s">
        <v>304</v>
      </c>
      <c r="E271" s="1"/>
      <c r="F271" s="5" t="s">
        <v>1507</v>
      </c>
      <c r="G271" s="1"/>
      <c r="H271" s="1"/>
      <c r="I271" s="1"/>
      <c r="J271" s="1"/>
      <c r="K271" s="1"/>
      <c r="L271" s="1"/>
      <c r="M271" s="1"/>
      <c r="N271" s="1"/>
      <c r="O271" s="1"/>
      <c r="P271" s="1"/>
      <c r="Q271" s="1"/>
      <c r="R271" s="1">
        <v>0</v>
      </c>
      <c r="S271" s="1"/>
      <c r="T271" s="1"/>
      <c r="U271" s="1" t="s">
        <v>1530</v>
      </c>
      <c r="V271" s="49"/>
      <c r="W271" s="49"/>
      <c r="X271" s="2">
        <v>71.650000000000006</v>
      </c>
      <c r="Y271" s="2">
        <v>136</v>
      </c>
      <c r="Z271" s="2" t="s">
        <v>1536</v>
      </c>
    </row>
    <row r="272" spans="1:39" ht="13" x14ac:dyDescent="0.15">
      <c r="A272" s="43" t="s">
        <v>1640</v>
      </c>
      <c r="B272" s="43" t="s">
        <v>1641</v>
      </c>
      <c r="C272" s="52" t="s">
        <v>1642</v>
      </c>
      <c r="D272" s="43" t="s">
        <v>304</v>
      </c>
      <c r="E272" s="43"/>
      <c r="F272" s="52" t="s">
        <v>1504</v>
      </c>
      <c r="G272" s="43"/>
      <c r="H272" s="43"/>
      <c r="I272" s="43"/>
      <c r="J272" s="43"/>
      <c r="K272" s="43"/>
      <c r="L272" s="43"/>
      <c r="M272" s="43"/>
      <c r="N272" s="43"/>
      <c r="O272" s="43"/>
      <c r="P272" s="43"/>
      <c r="Q272" s="43"/>
      <c r="R272" s="43">
        <v>1</v>
      </c>
      <c r="S272" s="43"/>
      <c r="T272" s="43"/>
      <c r="U272" s="43" t="s">
        <v>1530</v>
      </c>
      <c r="V272" s="49"/>
      <c r="W272" s="49"/>
      <c r="X272" s="53">
        <v>51.47</v>
      </c>
      <c r="Y272" s="53" t="s">
        <v>1535</v>
      </c>
      <c r="Z272" s="53" t="s">
        <v>1536</v>
      </c>
      <c r="AA272" s="53"/>
      <c r="AB272" s="53"/>
      <c r="AC272" s="53"/>
      <c r="AD272" s="53"/>
      <c r="AE272" s="53"/>
      <c r="AF272" s="53"/>
      <c r="AG272" s="53"/>
      <c r="AH272" s="53"/>
      <c r="AI272" s="53"/>
      <c r="AJ272" s="53"/>
      <c r="AK272" s="53"/>
      <c r="AL272" s="53"/>
      <c r="AM272" s="53"/>
    </row>
    <row r="273" spans="1:39" ht="13" x14ac:dyDescent="0.15">
      <c r="A273" s="1" t="s">
        <v>698</v>
      </c>
      <c r="B273" s="1" t="s">
        <v>699</v>
      </c>
      <c r="C273" s="5" t="s">
        <v>700</v>
      </c>
      <c r="D273" s="1" t="s">
        <v>304</v>
      </c>
      <c r="E273" s="1"/>
      <c r="F273" s="5" t="s">
        <v>1504</v>
      </c>
      <c r="G273" s="1"/>
      <c r="H273" s="1"/>
      <c r="I273" s="1"/>
      <c r="J273" s="1"/>
      <c r="K273" s="1"/>
      <c r="L273" s="1"/>
      <c r="M273" s="1"/>
      <c r="N273" s="1"/>
      <c r="O273" s="1"/>
      <c r="P273" s="1"/>
      <c r="Q273" s="1"/>
      <c r="R273" s="1">
        <v>0</v>
      </c>
      <c r="S273" s="1"/>
      <c r="T273" s="1"/>
      <c r="U273" s="1" t="s">
        <v>1530</v>
      </c>
      <c r="V273" s="49"/>
      <c r="W273" s="49"/>
      <c r="X273" s="2">
        <v>57.59</v>
      </c>
      <c r="Y273" s="2">
        <v>171</v>
      </c>
      <c r="Z273" s="2" t="s">
        <v>1531</v>
      </c>
    </row>
    <row r="274" spans="1:39" ht="13" x14ac:dyDescent="0.15">
      <c r="A274" s="1" t="s">
        <v>701</v>
      </c>
      <c r="B274" s="1" t="s">
        <v>702</v>
      </c>
      <c r="C274" s="5" t="s">
        <v>703</v>
      </c>
      <c r="D274" s="1" t="s">
        <v>304</v>
      </c>
      <c r="E274" s="1"/>
      <c r="F274" s="5" t="s">
        <v>1507</v>
      </c>
      <c r="G274" s="1"/>
      <c r="H274" s="1"/>
      <c r="I274" s="1"/>
      <c r="J274" s="1"/>
      <c r="K274" s="1"/>
      <c r="L274" s="1"/>
      <c r="M274" s="1"/>
      <c r="N274" s="1"/>
      <c r="O274" s="1"/>
      <c r="P274" s="1"/>
      <c r="Q274" s="1"/>
      <c r="R274" s="1">
        <v>0</v>
      </c>
      <c r="S274" s="1"/>
      <c r="T274" s="1"/>
      <c r="U274" s="1" t="s">
        <v>1530</v>
      </c>
      <c r="V274" s="49"/>
      <c r="W274" s="49"/>
      <c r="X274" s="2">
        <v>61.92</v>
      </c>
      <c r="Y274" s="2">
        <v>381</v>
      </c>
      <c r="Z274" s="2" t="s">
        <v>1531</v>
      </c>
    </row>
    <row r="275" spans="1:39" ht="13" x14ac:dyDescent="0.15">
      <c r="A275" s="43" t="s">
        <v>1643</v>
      </c>
      <c r="B275" s="43" t="s">
        <v>1644</v>
      </c>
      <c r="C275" s="52" t="s">
        <v>1645</v>
      </c>
      <c r="D275" s="43" t="s">
        <v>304</v>
      </c>
      <c r="E275" s="43"/>
      <c r="F275" s="52" t="s">
        <v>1507</v>
      </c>
      <c r="G275" s="43"/>
      <c r="H275" s="43"/>
      <c r="I275" s="43"/>
      <c r="J275" s="43"/>
      <c r="K275" s="43"/>
      <c r="L275" s="43"/>
      <c r="M275" s="43"/>
      <c r="N275" s="43"/>
      <c r="O275" s="43"/>
      <c r="P275" s="43"/>
      <c r="Q275" s="43"/>
      <c r="R275" s="43">
        <v>1</v>
      </c>
      <c r="S275" s="43"/>
      <c r="T275" s="43"/>
      <c r="U275" s="43" t="s">
        <v>1530</v>
      </c>
      <c r="V275" s="49"/>
      <c r="W275" s="49"/>
      <c r="X275" s="53">
        <v>70.64</v>
      </c>
      <c r="Y275" s="53" t="s">
        <v>1535</v>
      </c>
      <c r="Z275" s="53" t="s">
        <v>1531</v>
      </c>
      <c r="AA275" s="53"/>
      <c r="AB275" s="53"/>
      <c r="AC275" s="53"/>
      <c r="AD275" s="53"/>
      <c r="AE275" s="53"/>
      <c r="AF275" s="53"/>
      <c r="AG275" s="53"/>
      <c r="AH275" s="53"/>
      <c r="AI275" s="53"/>
      <c r="AJ275" s="53"/>
      <c r="AK275" s="53"/>
      <c r="AL275" s="53"/>
      <c r="AM275" s="53"/>
    </row>
    <row r="276" spans="1:39" ht="13" x14ac:dyDescent="0.15">
      <c r="A276" s="1" t="s">
        <v>704</v>
      </c>
      <c r="B276" s="1" t="s">
        <v>705</v>
      </c>
      <c r="C276" s="5" t="s">
        <v>706</v>
      </c>
      <c r="D276" s="1" t="s">
        <v>304</v>
      </c>
      <c r="E276" s="1"/>
      <c r="F276" s="5" t="s">
        <v>1504</v>
      </c>
      <c r="G276" s="1"/>
      <c r="H276" s="1"/>
      <c r="I276" s="1"/>
      <c r="J276" s="1"/>
      <c r="K276" s="1"/>
      <c r="L276" s="1"/>
      <c r="M276" s="1"/>
      <c r="N276" s="1"/>
      <c r="O276" s="1"/>
      <c r="P276" s="1"/>
      <c r="Q276" s="1"/>
      <c r="R276" s="1">
        <v>1</v>
      </c>
      <c r="S276" s="1"/>
      <c r="T276" s="1"/>
      <c r="U276" s="1" t="s">
        <v>1552</v>
      </c>
      <c r="V276" s="49"/>
      <c r="W276" s="49"/>
      <c r="X276" s="2">
        <v>50.93</v>
      </c>
      <c r="Y276" s="2">
        <v>781</v>
      </c>
      <c r="Z276" s="2" t="s">
        <v>1531</v>
      </c>
    </row>
    <row r="277" spans="1:39" ht="13" x14ac:dyDescent="0.15">
      <c r="A277" s="1" t="s">
        <v>707</v>
      </c>
      <c r="B277" s="1" t="s">
        <v>708</v>
      </c>
      <c r="C277" s="5" t="s">
        <v>709</v>
      </c>
      <c r="D277" s="1" t="s">
        <v>304</v>
      </c>
      <c r="E277" s="1"/>
      <c r="F277" s="5" t="s">
        <v>1504</v>
      </c>
      <c r="G277" s="1"/>
      <c r="H277" s="1"/>
      <c r="I277" s="1"/>
      <c r="J277" s="1"/>
      <c r="K277" s="1"/>
      <c r="L277" s="1"/>
      <c r="M277" s="1"/>
      <c r="N277" s="1"/>
      <c r="O277" s="1"/>
      <c r="P277" s="1"/>
      <c r="Q277" s="1"/>
      <c r="R277" s="1">
        <v>0</v>
      </c>
      <c r="S277" s="1"/>
      <c r="T277" s="1"/>
      <c r="U277" s="1" t="s">
        <v>1530</v>
      </c>
      <c r="V277" s="49"/>
      <c r="W277" s="49"/>
      <c r="X277" s="2">
        <v>49.52</v>
      </c>
      <c r="Y277" s="2">
        <v>170</v>
      </c>
      <c r="Z277" s="2" t="s">
        <v>1531</v>
      </c>
    </row>
    <row r="278" spans="1:39" ht="13" x14ac:dyDescent="0.15">
      <c r="A278" s="43" t="s">
        <v>1646</v>
      </c>
      <c r="B278" s="43" t="s">
        <v>1647</v>
      </c>
      <c r="C278" s="52" t="s">
        <v>1648</v>
      </c>
      <c r="D278" s="43" t="s">
        <v>304</v>
      </c>
      <c r="E278" s="43"/>
      <c r="F278" s="52" t="s">
        <v>1504</v>
      </c>
      <c r="G278" s="43"/>
      <c r="H278" s="43"/>
      <c r="I278" s="43"/>
      <c r="J278" s="43"/>
      <c r="K278" s="43"/>
      <c r="L278" s="43"/>
      <c r="M278" s="43"/>
      <c r="N278" s="43"/>
      <c r="O278" s="43"/>
      <c r="P278" s="43"/>
      <c r="Q278" s="43"/>
      <c r="R278" s="43">
        <v>1</v>
      </c>
      <c r="S278" s="43"/>
      <c r="T278" s="43"/>
      <c r="U278" s="43" t="s">
        <v>1530</v>
      </c>
      <c r="V278" s="49"/>
      <c r="W278" s="49"/>
      <c r="X278" s="53">
        <v>64.78</v>
      </c>
      <c r="Y278" s="53">
        <v>622</v>
      </c>
      <c r="Z278" s="53" t="s">
        <v>1535</v>
      </c>
      <c r="AA278" s="53"/>
      <c r="AB278" s="53"/>
      <c r="AC278" s="53"/>
      <c r="AD278" s="53"/>
      <c r="AE278" s="53"/>
      <c r="AF278" s="53"/>
      <c r="AG278" s="53"/>
      <c r="AH278" s="53"/>
      <c r="AI278" s="53"/>
      <c r="AJ278" s="53"/>
      <c r="AK278" s="53"/>
      <c r="AL278" s="53"/>
      <c r="AM278" s="53"/>
    </row>
    <row r="279" spans="1:39" ht="13" x14ac:dyDescent="0.15">
      <c r="A279" s="1" t="s">
        <v>710</v>
      </c>
      <c r="B279" s="1" t="s">
        <v>711</v>
      </c>
      <c r="C279" s="5" t="s">
        <v>712</v>
      </c>
      <c r="D279" s="1" t="s">
        <v>304</v>
      </c>
      <c r="E279" s="1"/>
      <c r="F279" s="5" t="s">
        <v>1507</v>
      </c>
      <c r="G279" s="1"/>
      <c r="H279" s="1"/>
      <c r="I279" s="1"/>
      <c r="J279" s="1"/>
      <c r="K279" s="1"/>
      <c r="L279" s="1"/>
      <c r="M279" s="1"/>
      <c r="N279" s="1"/>
      <c r="O279" s="1"/>
      <c r="P279" s="1"/>
      <c r="Q279" s="1"/>
      <c r="R279" s="1">
        <v>0</v>
      </c>
      <c r="S279" s="1"/>
      <c r="T279" s="1"/>
      <c r="U279" s="1" t="s">
        <v>1530</v>
      </c>
      <c r="V279" s="49"/>
      <c r="W279" s="49"/>
      <c r="X279" s="2">
        <v>53.07</v>
      </c>
      <c r="Y279" s="2">
        <v>270</v>
      </c>
      <c r="Z279" s="2" t="s">
        <v>1531</v>
      </c>
    </row>
    <row r="280" spans="1:39" ht="13" x14ac:dyDescent="0.15">
      <c r="A280" s="43" t="s">
        <v>1649</v>
      </c>
      <c r="B280" s="43" t="s">
        <v>1650</v>
      </c>
      <c r="C280" s="52" t="s">
        <v>1651</v>
      </c>
      <c r="D280" s="43" t="s">
        <v>304</v>
      </c>
      <c r="E280" s="43"/>
      <c r="F280" s="52" t="s">
        <v>1504</v>
      </c>
      <c r="G280" s="43"/>
      <c r="H280" s="43"/>
      <c r="I280" s="43"/>
      <c r="J280" s="43"/>
      <c r="K280" s="43"/>
      <c r="L280" s="43"/>
      <c r="M280" s="43"/>
      <c r="N280" s="43"/>
      <c r="O280" s="43"/>
      <c r="P280" s="43"/>
      <c r="Q280" s="43"/>
      <c r="R280" s="43">
        <v>1</v>
      </c>
      <c r="S280" s="43"/>
      <c r="T280" s="43"/>
      <c r="U280" s="43" t="s">
        <v>1530</v>
      </c>
      <c r="V280" s="49"/>
      <c r="W280" s="49"/>
      <c r="X280" s="53">
        <v>69.45</v>
      </c>
      <c r="Y280" s="53" t="s">
        <v>1535</v>
      </c>
      <c r="Z280" s="53" t="s">
        <v>1531</v>
      </c>
      <c r="AA280" s="53"/>
      <c r="AB280" s="53"/>
      <c r="AC280" s="53"/>
      <c r="AD280" s="53"/>
      <c r="AE280" s="53"/>
      <c r="AF280" s="53"/>
      <c r="AG280" s="53"/>
      <c r="AH280" s="53"/>
      <c r="AI280" s="53"/>
      <c r="AJ280" s="53"/>
      <c r="AK280" s="53"/>
      <c r="AL280" s="53"/>
      <c r="AM280" s="53"/>
    </row>
    <row r="281" spans="1:39" ht="13" x14ac:dyDescent="0.15">
      <c r="A281" s="1" t="s">
        <v>713</v>
      </c>
      <c r="B281" s="1" t="s">
        <v>714</v>
      </c>
      <c r="C281" s="5" t="s">
        <v>715</v>
      </c>
      <c r="D281" s="1" t="s">
        <v>304</v>
      </c>
      <c r="E281" s="1"/>
      <c r="F281" s="5" t="s">
        <v>1504</v>
      </c>
      <c r="G281" s="1"/>
      <c r="H281" s="1"/>
      <c r="I281" s="1"/>
      <c r="J281" s="1"/>
      <c r="K281" s="1"/>
      <c r="L281" s="1"/>
      <c r="M281" s="1"/>
      <c r="N281" s="1"/>
      <c r="O281" s="1"/>
      <c r="P281" s="1"/>
      <c r="Q281" s="1"/>
      <c r="R281" s="1">
        <v>0</v>
      </c>
      <c r="S281" s="1"/>
      <c r="T281" s="1"/>
      <c r="U281" s="1" t="s">
        <v>1530</v>
      </c>
      <c r="V281" s="49"/>
      <c r="W281" s="49"/>
      <c r="X281" s="2">
        <v>68.540000000000006</v>
      </c>
      <c r="Y281" s="2">
        <v>363</v>
      </c>
      <c r="Z281" s="2" t="s">
        <v>1536</v>
      </c>
    </row>
    <row r="282" spans="1:39" ht="13" x14ac:dyDescent="0.15">
      <c r="A282" s="1" t="s">
        <v>716</v>
      </c>
      <c r="B282" s="1" t="s">
        <v>717</v>
      </c>
      <c r="C282" s="5" t="s">
        <v>718</v>
      </c>
      <c r="D282" s="1" t="s">
        <v>304</v>
      </c>
      <c r="E282" s="1"/>
      <c r="F282" s="5" t="s">
        <v>1507</v>
      </c>
      <c r="G282" s="1"/>
      <c r="H282" s="1"/>
      <c r="I282" s="1"/>
      <c r="J282" s="1"/>
      <c r="K282" s="1"/>
      <c r="L282" s="1"/>
      <c r="M282" s="1"/>
      <c r="N282" s="1"/>
      <c r="O282" s="1"/>
      <c r="P282" s="1"/>
      <c r="Q282" s="1"/>
      <c r="R282" s="1">
        <v>0</v>
      </c>
      <c r="S282" s="1"/>
      <c r="T282" s="1"/>
      <c r="U282" s="1" t="s">
        <v>1530</v>
      </c>
      <c r="V282" s="49"/>
      <c r="W282" s="49"/>
      <c r="X282" s="2">
        <v>51.75</v>
      </c>
      <c r="Y282" s="2">
        <v>360</v>
      </c>
      <c r="Z282" s="2" t="s">
        <v>1536</v>
      </c>
    </row>
    <row r="283" spans="1:39" ht="13" x14ac:dyDescent="0.15">
      <c r="A283" s="1" t="s">
        <v>719</v>
      </c>
      <c r="B283" s="1" t="s">
        <v>720</v>
      </c>
      <c r="C283" s="5" t="s">
        <v>721</v>
      </c>
      <c r="D283" s="1" t="s">
        <v>304</v>
      </c>
      <c r="E283" s="1"/>
      <c r="F283" s="5" t="s">
        <v>1507</v>
      </c>
      <c r="G283" s="1"/>
      <c r="H283" s="1"/>
      <c r="I283" s="1"/>
      <c r="J283" s="1"/>
      <c r="K283" s="1"/>
      <c r="L283" s="1"/>
      <c r="M283" s="1"/>
      <c r="N283" s="1"/>
      <c r="O283" s="1"/>
      <c r="P283" s="1"/>
      <c r="Q283" s="1"/>
      <c r="R283" s="1">
        <v>1</v>
      </c>
      <c r="S283" s="1"/>
      <c r="T283" s="1"/>
      <c r="U283" s="1" t="s">
        <v>1530</v>
      </c>
      <c r="V283" s="49"/>
      <c r="W283" s="49"/>
      <c r="X283" s="2">
        <v>78.89</v>
      </c>
      <c r="Y283" s="2">
        <v>93</v>
      </c>
      <c r="Z283" s="2" t="s">
        <v>1536</v>
      </c>
    </row>
    <row r="284" spans="1:39" ht="13" x14ac:dyDescent="0.15">
      <c r="A284" s="1" t="s">
        <v>722</v>
      </c>
      <c r="B284" s="1" t="s">
        <v>723</v>
      </c>
      <c r="C284" s="5" t="s">
        <v>724</v>
      </c>
      <c r="D284" s="1" t="s">
        <v>304</v>
      </c>
      <c r="E284" s="1"/>
      <c r="F284" s="5" t="s">
        <v>1504</v>
      </c>
      <c r="G284" s="1"/>
      <c r="H284" s="1"/>
      <c r="I284" s="1"/>
      <c r="J284" s="1"/>
      <c r="K284" s="1"/>
      <c r="L284" s="1"/>
      <c r="M284" s="1"/>
      <c r="N284" s="1"/>
      <c r="O284" s="1"/>
      <c r="P284" s="1"/>
      <c r="Q284" s="1"/>
      <c r="R284" s="1">
        <v>0</v>
      </c>
      <c r="S284" s="1"/>
      <c r="T284" s="1"/>
      <c r="U284" s="1" t="s">
        <v>1530</v>
      </c>
      <c r="V284" s="49"/>
      <c r="W284" s="49"/>
      <c r="X284" s="2">
        <v>51.88</v>
      </c>
      <c r="Y284" s="2">
        <v>123</v>
      </c>
      <c r="Z284" s="2" t="s">
        <v>1536</v>
      </c>
    </row>
    <row r="285" spans="1:39" ht="13" x14ac:dyDescent="0.15">
      <c r="A285" s="1" t="s">
        <v>725</v>
      </c>
      <c r="B285" s="1" t="s">
        <v>726</v>
      </c>
      <c r="C285" s="5" t="s">
        <v>727</v>
      </c>
      <c r="D285" s="1" t="s">
        <v>304</v>
      </c>
      <c r="E285" s="1"/>
      <c r="F285" s="5" t="s">
        <v>1504</v>
      </c>
      <c r="G285" s="1"/>
      <c r="H285" s="1"/>
      <c r="I285" s="1"/>
      <c r="J285" s="1"/>
      <c r="K285" s="1"/>
      <c r="L285" s="1"/>
      <c r="M285" s="1"/>
      <c r="N285" s="1"/>
      <c r="O285" s="1"/>
      <c r="P285" s="1"/>
      <c r="Q285" s="1"/>
      <c r="R285" s="1">
        <v>1</v>
      </c>
      <c r="S285" s="1"/>
      <c r="T285" s="1"/>
      <c r="U285" s="1" t="s">
        <v>1530</v>
      </c>
      <c r="V285" s="49"/>
      <c r="W285" s="49"/>
      <c r="X285" s="2">
        <v>59.92</v>
      </c>
      <c r="Y285" s="2">
        <v>451</v>
      </c>
      <c r="Z285" s="2" t="s">
        <v>1536</v>
      </c>
    </row>
    <row r="286" spans="1:39" ht="13" x14ac:dyDescent="0.15">
      <c r="A286" s="1" t="s">
        <v>728</v>
      </c>
      <c r="B286" s="1" t="s">
        <v>729</v>
      </c>
      <c r="C286" s="5" t="s">
        <v>730</v>
      </c>
      <c r="D286" s="1" t="s">
        <v>304</v>
      </c>
      <c r="E286" s="1"/>
      <c r="F286" s="5" t="s">
        <v>1507</v>
      </c>
      <c r="G286" s="1"/>
      <c r="H286" s="1"/>
      <c r="I286" s="1"/>
      <c r="J286" s="1"/>
      <c r="K286" s="1"/>
      <c r="L286" s="1"/>
      <c r="M286" s="1"/>
      <c r="N286" s="1"/>
      <c r="O286" s="1"/>
      <c r="P286" s="1"/>
      <c r="Q286" s="1"/>
      <c r="R286" s="1">
        <v>0</v>
      </c>
      <c r="S286" s="1"/>
      <c r="T286" s="1"/>
      <c r="U286" s="1" t="s">
        <v>1530</v>
      </c>
      <c r="V286" s="49"/>
      <c r="W286" s="49"/>
      <c r="X286" s="2">
        <v>77.03</v>
      </c>
      <c r="Y286" s="2">
        <v>173</v>
      </c>
      <c r="Z286" s="2" t="s">
        <v>1536</v>
      </c>
    </row>
    <row r="287" spans="1:39" ht="13" x14ac:dyDescent="0.15">
      <c r="A287" s="43" t="s">
        <v>1652</v>
      </c>
      <c r="B287" s="43" t="s">
        <v>1653</v>
      </c>
      <c r="C287" s="52" t="s">
        <v>1654</v>
      </c>
      <c r="D287" s="43" t="s">
        <v>304</v>
      </c>
      <c r="E287" s="43"/>
      <c r="F287" s="52" t="s">
        <v>1504</v>
      </c>
      <c r="G287" s="43"/>
      <c r="H287" s="43"/>
      <c r="I287" s="43"/>
      <c r="J287" s="43"/>
      <c r="K287" s="43"/>
      <c r="L287" s="43"/>
      <c r="M287" s="43"/>
      <c r="N287" s="43"/>
      <c r="O287" s="43"/>
      <c r="P287" s="43"/>
      <c r="Q287" s="43"/>
      <c r="R287" s="43">
        <v>0</v>
      </c>
      <c r="S287" s="43"/>
      <c r="T287" s="43"/>
      <c r="U287" s="43" t="s">
        <v>1530</v>
      </c>
      <c r="V287" s="49"/>
      <c r="W287" s="49"/>
      <c r="X287" s="53">
        <v>78.209999999999994</v>
      </c>
      <c r="Y287" s="53">
        <v>448</v>
      </c>
      <c r="Z287" s="53" t="s">
        <v>1535</v>
      </c>
      <c r="AA287" s="53"/>
      <c r="AB287" s="53"/>
      <c r="AC287" s="53"/>
      <c r="AD287" s="53"/>
      <c r="AE287" s="53"/>
      <c r="AF287" s="53"/>
      <c r="AG287" s="53"/>
      <c r="AH287" s="53"/>
      <c r="AI287" s="53"/>
      <c r="AJ287" s="53"/>
      <c r="AK287" s="53"/>
      <c r="AL287" s="53"/>
      <c r="AM287" s="53"/>
    </row>
    <row r="288" spans="1:39" ht="13" x14ac:dyDescent="0.15">
      <c r="A288" s="1" t="s">
        <v>731</v>
      </c>
      <c r="B288" s="1" t="s">
        <v>732</v>
      </c>
      <c r="C288" s="1" t="s">
        <v>733</v>
      </c>
      <c r="D288" s="1" t="s">
        <v>304</v>
      </c>
      <c r="E288" s="1"/>
      <c r="F288" s="5" t="s">
        <v>1507</v>
      </c>
      <c r="G288" s="1"/>
      <c r="H288" s="1"/>
      <c r="I288" s="1"/>
      <c r="J288" s="1"/>
      <c r="K288" s="1"/>
      <c r="L288" s="1"/>
      <c r="M288" s="1"/>
      <c r="N288" s="1"/>
      <c r="O288" s="1"/>
      <c r="P288" s="1"/>
      <c r="Q288" s="1"/>
      <c r="R288" s="1">
        <v>0</v>
      </c>
      <c r="S288" s="1"/>
      <c r="T288" s="1"/>
      <c r="U288" s="1" t="s">
        <v>1530</v>
      </c>
      <c r="V288" s="49"/>
      <c r="W288" s="49"/>
      <c r="X288" s="2">
        <v>45.54</v>
      </c>
      <c r="Y288" s="2">
        <v>524</v>
      </c>
      <c r="Z288" s="2" t="s">
        <v>1531</v>
      </c>
    </row>
    <row r="289" spans="1:39" ht="13" x14ac:dyDescent="0.15">
      <c r="A289" s="1" t="s">
        <v>734</v>
      </c>
      <c r="B289" s="1" t="s">
        <v>735</v>
      </c>
      <c r="C289" s="5" t="s">
        <v>736</v>
      </c>
      <c r="D289" s="1" t="s">
        <v>304</v>
      </c>
      <c r="E289" s="1"/>
      <c r="F289" s="5" t="s">
        <v>1504</v>
      </c>
      <c r="G289" s="1"/>
      <c r="H289" s="1"/>
      <c r="I289" s="1"/>
      <c r="J289" s="1"/>
      <c r="K289" s="1"/>
      <c r="L289" s="1"/>
      <c r="M289" s="1"/>
      <c r="N289" s="1"/>
      <c r="O289" s="1"/>
      <c r="P289" s="1"/>
      <c r="Q289" s="1"/>
      <c r="R289" s="1">
        <v>0</v>
      </c>
      <c r="S289" s="1"/>
      <c r="T289" s="1"/>
      <c r="U289" s="1" t="s">
        <v>1530</v>
      </c>
      <c r="V289" s="49"/>
      <c r="W289" s="49"/>
      <c r="X289" s="2">
        <v>65.97</v>
      </c>
      <c r="Y289" s="2">
        <v>738</v>
      </c>
      <c r="Z289" s="2" t="s">
        <v>1536</v>
      </c>
    </row>
    <row r="290" spans="1:39" ht="13" x14ac:dyDescent="0.15">
      <c r="A290" s="1" t="s">
        <v>737</v>
      </c>
      <c r="B290" s="1" t="s">
        <v>738</v>
      </c>
      <c r="C290" s="1" t="s">
        <v>739</v>
      </c>
      <c r="D290" s="1" t="s">
        <v>304</v>
      </c>
      <c r="E290" s="1"/>
      <c r="F290" s="5" t="s">
        <v>1504</v>
      </c>
      <c r="G290" s="1"/>
      <c r="H290" s="1"/>
      <c r="I290" s="1"/>
      <c r="J290" s="1"/>
      <c r="K290" s="1"/>
      <c r="L290" s="1"/>
      <c r="M290" s="1"/>
      <c r="N290" s="1"/>
      <c r="O290" s="1"/>
      <c r="P290" s="1"/>
      <c r="Q290" s="1"/>
      <c r="R290" s="1">
        <v>0</v>
      </c>
      <c r="S290" s="1"/>
      <c r="T290" s="1"/>
      <c r="U290" s="1" t="s">
        <v>1530</v>
      </c>
      <c r="V290" s="49"/>
      <c r="W290" s="49"/>
      <c r="X290" s="2">
        <v>70.540000000000006</v>
      </c>
      <c r="Y290" s="2">
        <v>200</v>
      </c>
      <c r="Z290" s="2" t="s">
        <v>1536</v>
      </c>
    </row>
    <row r="291" spans="1:39" ht="13" x14ac:dyDescent="0.15">
      <c r="A291" s="43" t="s">
        <v>1655</v>
      </c>
      <c r="B291" s="43" t="s">
        <v>1656</v>
      </c>
      <c r="C291" s="52" t="s">
        <v>1657</v>
      </c>
      <c r="D291" s="43" t="s">
        <v>304</v>
      </c>
      <c r="E291" s="43"/>
      <c r="F291" s="52" t="s">
        <v>1504</v>
      </c>
      <c r="G291" s="43"/>
      <c r="H291" s="43"/>
      <c r="I291" s="43"/>
      <c r="J291" s="43"/>
      <c r="K291" s="43"/>
      <c r="L291" s="43"/>
      <c r="M291" s="43"/>
      <c r="N291" s="43"/>
      <c r="O291" s="43"/>
      <c r="P291" s="43"/>
      <c r="Q291" s="43"/>
      <c r="R291" s="43">
        <v>1</v>
      </c>
      <c r="S291" s="43"/>
      <c r="T291" s="43"/>
      <c r="U291" s="43" t="s">
        <v>1530</v>
      </c>
      <c r="V291" s="49"/>
      <c r="W291" s="49"/>
      <c r="X291" s="53">
        <v>69.12</v>
      </c>
      <c r="Y291" s="53" t="s">
        <v>1535</v>
      </c>
      <c r="Z291" s="53" t="s">
        <v>1535</v>
      </c>
      <c r="AA291" s="53"/>
      <c r="AB291" s="53"/>
      <c r="AC291" s="53"/>
      <c r="AD291" s="53"/>
      <c r="AE291" s="53"/>
      <c r="AF291" s="53"/>
      <c r="AG291" s="53"/>
      <c r="AH291" s="53"/>
      <c r="AI291" s="53"/>
      <c r="AJ291" s="53"/>
      <c r="AK291" s="53"/>
      <c r="AL291" s="53"/>
      <c r="AM291" s="53"/>
    </row>
    <row r="292" spans="1:39" ht="13" x14ac:dyDescent="0.15">
      <c r="A292" s="43" t="s">
        <v>1658</v>
      </c>
      <c r="B292" s="43" t="s">
        <v>1659</v>
      </c>
      <c r="C292" s="52" t="s">
        <v>1660</v>
      </c>
      <c r="D292" s="43" t="s">
        <v>304</v>
      </c>
      <c r="E292" s="43"/>
      <c r="F292" s="52" t="s">
        <v>1507</v>
      </c>
      <c r="G292" s="43"/>
      <c r="H292" s="43"/>
      <c r="I292" s="43"/>
      <c r="J292" s="43"/>
      <c r="K292" s="43"/>
      <c r="L292" s="43"/>
      <c r="M292" s="43"/>
      <c r="N292" s="43"/>
      <c r="O292" s="43"/>
      <c r="P292" s="43"/>
      <c r="Q292" s="43"/>
      <c r="R292" s="43">
        <v>1</v>
      </c>
      <c r="S292" s="43"/>
      <c r="T292" s="43"/>
      <c r="U292" s="43" t="s">
        <v>1530</v>
      </c>
      <c r="V292" s="49"/>
      <c r="W292" s="49"/>
      <c r="X292" s="53">
        <v>68.150000000000006</v>
      </c>
      <c r="Y292" s="53" t="s">
        <v>1535</v>
      </c>
      <c r="Z292" s="53" t="s">
        <v>1536</v>
      </c>
      <c r="AA292" s="53"/>
      <c r="AB292" s="53"/>
      <c r="AC292" s="53"/>
      <c r="AD292" s="53"/>
      <c r="AE292" s="53"/>
      <c r="AF292" s="53"/>
      <c r="AG292" s="53"/>
      <c r="AH292" s="53"/>
      <c r="AI292" s="53"/>
      <c r="AJ292" s="53"/>
      <c r="AK292" s="53"/>
      <c r="AL292" s="53"/>
      <c r="AM292" s="53"/>
    </row>
    <row r="293" spans="1:39" ht="13" x14ac:dyDescent="0.15">
      <c r="A293" s="1" t="s">
        <v>740</v>
      </c>
      <c r="B293" s="1" t="s">
        <v>741</v>
      </c>
      <c r="C293" s="5" t="s">
        <v>742</v>
      </c>
      <c r="D293" s="1" t="s">
        <v>304</v>
      </c>
      <c r="E293" s="1"/>
      <c r="F293" s="5" t="s">
        <v>1504</v>
      </c>
      <c r="G293" s="1"/>
      <c r="H293" s="1"/>
      <c r="I293" s="1"/>
      <c r="J293" s="1"/>
      <c r="K293" s="1"/>
      <c r="L293" s="1"/>
      <c r="M293" s="1"/>
      <c r="N293" s="1"/>
      <c r="O293" s="1"/>
      <c r="P293" s="1"/>
      <c r="Q293" s="1"/>
      <c r="R293" s="1">
        <v>1</v>
      </c>
      <c r="S293" s="1"/>
      <c r="T293" s="1"/>
      <c r="U293" s="1" t="s">
        <v>1530</v>
      </c>
      <c r="V293" s="49"/>
      <c r="W293" s="49"/>
      <c r="X293" s="2">
        <v>73.91</v>
      </c>
      <c r="Y293" s="2">
        <v>376</v>
      </c>
      <c r="Z293" s="2" t="s">
        <v>1536</v>
      </c>
    </row>
    <row r="294" spans="1:39" ht="13" x14ac:dyDescent="0.15">
      <c r="A294" s="1" t="s">
        <v>743</v>
      </c>
      <c r="B294" s="1" t="s">
        <v>744</v>
      </c>
      <c r="C294" s="5" t="s">
        <v>745</v>
      </c>
      <c r="D294" s="1" t="s">
        <v>304</v>
      </c>
      <c r="E294" s="1"/>
      <c r="F294" s="5" t="s">
        <v>1504</v>
      </c>
      <c r="G294" s="1"/>
      <c r="H294" s="1"/>
      <c r="I294" s="1"/>
      <c r="J294" s="1"/>
      <c r="K294" s="1"/>
      <c r="L294" s="1"/>
      <c r="M294" s="1"/>
      <c r="N294" s="1"/>
      <c r="O294" s="1"/>
      <c r="P294" s="1"/>
      <c r="Q294" s="1"/>
      <c r="R294" s="1">
        <v>0</v>
      </c>
      <c r="S294" s="1"/>
      <c r="T294" s="1"/>
      <c r="U294" s="1" t="s">
        <v>1530</v>
      </c>
      <c r="V294" s="49"/>
      <c r="W294" s="49"/>
      <c r="X294" s="2">
        <v>62.34</v>
      </c>
      <c r="Y294" s="2">
        <v>288</v>
      </c>
      <c r="Z294" s="2" t="s">
        <v>1531</v>
      </c>
    </row>
    <row r="295" spans="1:39" ht="13" x14ac:dyDescent="0.15">
      <c r="A295" s="1" t="s">
        <v>746</v>
      </c>
      <c r="B295" s="1" t="s">
        <v>747</v>
      </c>
      <c r="C295" s="5" t="s">
        <v>748</v>
      </c>
      <c r="D295" s="1" t="s">
        <v>304</v>
      </c>
      <c r="E295" s="1"/>
      <c r="F295" s="5" t="s">
        <v>1504</v>
      </c>
      <c r="G295" s="1"/>
      <c r="H295" s="1"/>
      <c r="I295" s="1"/>
      <c r="J295" s="1"/>
      <c r="K295" s="1"/>
      <c r="L295" s="1"/>
      <c r="M295" s="1"/>
      <c r="N295" s="1"/>
      <c r="O295" s="1"/>
      <c r="P295" s="1"/>
      <c r="Q295" s="1"/>
      <c r="R295" s="1">
        <v>1</v>
      </c>
      <c r="S295" s="1"/>
      <c r="T295" s="1"/>
      <c r="U295" s="1" t="s">
        <v>1530</v>
      </c>
      <c r="V295" s="49"/>
      <c r="W295" s="49"/>
      <c r="X295" s="2">
        <v>65.53</v>
      </c>
      <c r="Y295" s="2">
        <v>63</v>
      </c>
      <c r="Z295" s="2" t="s">
        <v>1536</v>
      </c>
    </row>
    <row r="296" spans="1:39" ht="13" x14ac:dyDescent="0.15">
      <c r="A296" s="1" t="s">
        <v>749</v>
      </c>
      <c r="B296" s="1" t="s">
        <v>750</v>
      </c>
      <c r="C296" s="5" t="s">
        <v>751</v>
      </c>
      <c r="D296" s="1" t="s">
        <v>304</v>
      </c>
      <c r="E296" s="1"/>
      <c r="F296" s="5" t="s">
        <v>1504</v>
      </c>
      <c r="G296" s="1"/>
      <c r="H296" s="1"/>
      <c r="I296" s="1"/>
      <c r="J296" s="1"/>
      <c r="K296" s="1"/>
      <c r="L296" s="1"/>
      <c r="M296" s="1"/>
      <c r="N296" s="1"/>
      <c r="O296" s="1"/>
      <c r="P296" s="1"/>
      <c r="Q296" s="1"/>
      <c r="R296" s="1">
        <v>0</v>
      </c>
      <c r="S296" s="1"/>
      <c r="T296" s="1"/>
      <c r="U296" s="1" t="s">
        <v>1530</v>
      </c>
      <c r="V296" s="49"/>
      <c r="W296" s="49"/>
      <c r="X296" s="2">
        <v>60.48</v>
      </c>
      <c r="Y296" s="2">
        <v>147</v>
      </c>
      <c r="Z296" s="2" t="s">
        <v>1536</v>
      </c>
    </row>
    <row r="297" spans="1:39" ht="13" x14ac:dyDescent="0.15">
      <c r="A297" s="1" t="s">
        <v>752</v>
      </c>
      <c r="B297" s="1" t="s">
        <v>753</v>
      </c>
      <c r="C297" s="5" t="s">
        <v>754</v>
      </c>
      <c r="D297" s="1" t="s">
        <v>304</v>
      </c>
      <c r="E297" s="1"/>
      <c r="F297" s="5" t="s">
        <v>1504</v>
      </c>
      <c r="G297" s="1"/>
      <c r="H297" s="1"/>
      <c r="I297" s="1"/>
      <c r="J297" s="1"/>
      <c r="K297" s="1"/>
      <c r="L297" s="1"/>
      <c r="M297" s="1"/>
      <c r="N297" s="1"/>
      <c r="O297" s="1"/>
      <c r="P297" s="1"/>
      <c r="Q297" s="1"/>
      <c r="R297" s="1">
        <v>0</v>
      </c>
      <c r="S297" s="1"/>
      <c r="T297" s="1"/>
      <c r="U297" s="1" t="s">
        <v>1530</v>
      </c>
      <c r="V297" s="49"/>
      <c r="W297" s="49"/>
      <c r="X297" s="2">
        <v>48.47</v>
      </c>
      <c r="Y297" s="2">
        <v>827</v>
      </c>
      <c r="Z297" s="2" t="s">
        <v>1531</v>
      </c>
    </row>
    <row r="298" spans="1:39" ht="13" x14ac:dyDescent="0.15">
      <c r="A298" s="43" t="s">
        <v>1661</v>
      </c>
      <c r="B298" s="43" t="s">
        <v>1662</v>
      </c>
      <c r="C298" s="52" t="s">
        <v>1663</v>
      </c>
      <c r="D298" s="43" t="s">
        <v>304</v>
      </c>
      <c r="E298" s="43"/>
      <c r="F298" s="52" t="s">
        <v>1507</v>
      </c>
      <c r="G298" s="43"/>
      <c r="H298" s="43"/>
      <c r="I298" s="43"/>
      <c r="J298" s="43"/>
      <c r="K298" s="43"/>
      <c r="L298" s="43"/>
      <c r="M298" s="43"/>
      <c r="N298" s="43"/>
      <c r="O298" s="43"/>
      <c r="P298" s="43"/>
      <c r="Q298" s="43"/>
      <c r="R298" s="43">
        <v>1</v>
      </c>
      <c r="S298" s="43"/>
      <c r="T298" s="43"/>
      <c r="U298" s="43" t="s">
        <v>1530</v>
      </c>
      <c r="V298" s="49"/>
      <c r="W298" s="49"/>
      <c r="X298" s="53">
        <v>68.11</v>
      </c>
      <c r="Y298" s="53" t="s">
        <v>1535</v>
      </c>
      <c r="Z298" s="53" t="s">
        <v>1536</v>
      </c>
      <c r="AA298" s="53"/>
      <c r="AB298" s="53"/>
      <c r="AC298" s="53"/>
      <c r="AD298" s="53"/>
      <c r="AE298" s="53"/>
      <c r="AF298" s="53"/>
      <c r="AG298" s="53"/>
      <c r="AH298" s="53"/>
      <c r="AI298" s="53"/>
      <c r="AJ298" s="53"/>
      <c r="AK298" s="53"/>
      <c r="AL298" s="53"/>
      <c r="AM298" s="53"/>
    </row>
    <row r="299" spans="1:39" ht="13" x14ac:dyDescent="0.15">
      <c r="A299" s="1" t="s">
        <v>755</v>
      </c>
      <c r="B299" s="1" t="s">
        <v>756</v>
      </c>
      <c r="C299" s="5" t="s">
        <v>757</v>
      </c>
      <c r="D299" s="1" t="s">
        <v>304</v>
      </c>
      <c r="E299" s="1"/>
      <c r="F299" s="5" t="s">
        <v>1504</v>
      </c>
      <c r="G299" s="1"/>
      <c r="H299" s="1"/>
      <c r="I299" s="1"/>
      <c r="J299" s="1"/>
      <c r="K299" s="1"/>
      <c r="L299" s="1"/>
      <c r="M299" s="1"/>
      <c r="N299" s="1"/>
      <c r="O299" s="1"/>
      <c r="P299" s="1"/>
      <c r="Q299" s="1"/>
      <c r="R299" s="1">
        <v>1</v>
      </c>
      <c r="S299" s="1"/>
      <c r="T299" s="1"/>
      <c r="U299" s="1" t="s">
        <v>1530</v>
      </c>
      <c r="V299" s="49"/>
      <c r="W299" s="49"/>
      <c r="X299" s="2">
        <v>71.06</v>
      </c>
      <c r="Y299" s="2">
        <v>428</v>
      </c>
      <c r="Z299" s="2" t="s">
        <v>1536</v>
      </c>
    </row>
    <row r="300" spans="1:39" ht="13" x14ac:dyDescent="0.15">
      <c r="A300" s="43" t="s">
        <v>1664</v>
      </c>
      <c r="B300" s="43" t="s">
        <v>1665</v>
      </c>
      <c r="C300" s="52" t="s">
        <v>1666</v>
      </c>
      <c r="D300" s="43" t="s">
        <v>304</v>
      </c>
      <c r="E300" s="43"/>
      <c r="F300" s="52" t="s">
        <v>1507</v>
      </c>
      <c r="G300" s="43"/>
      <c r="H300" s="43"/>
      <c r="I300" s="43"/>
      <c r="J300" s="43"/>
      <c r="K300" s="43"/>
      <c r="L300" s="43"/>
      <c r="M300" s="43"/>
      <c r="N300" s="43"/>
      <c r="O300" s="43"/>
      <c r="P300" s="43"/>
      <c r="Q300" s="43"/>
      <c r="R300" s="43">
        <v>0</v>
      </c>
      <c r="S300" s="43"/>
      <c r="T300" s="43"/>
      <c r="U300" s="43" t="s">
        <v>1530</v>
      </c>
      <c r="V300" s="49"/>
      <c r="W300" s="49"/>
      <c r="X300" s="53">
        <v>61.05</v>
      </c>
      <c r="Y300" s="53" t="s">
        <v>1535</v>
      </c>
      <c r="Z300" s="53" t="s">
        <v>1531</v>
      </c>
      <c r="AA300" s="53"/>
      <c r="AB300" s="53"/>
      <c r="AC300" s="53"/>
      <c r="AD300" s="53"/>
      <c r="AE300" s="53"/>
      <c r="AF300" s="53"/>
      <c r="AG300" s="53"/>
      <c r="AH300" s="53"/>
      <c r="AI300" s="53"/>
      <c r="AJ300" s="53"/>
      <c r="AK300" s="53"/>
      <c r="AL300" s="53"/>
      <c r="AM300" s="53"/>
    </row>
    <row r="301" spans="1:39" ht="13" x14ac:dyDescent="0.15">
      <c r="A301" s="1" t="s">
        <v>758</v>
      </c>
      <c r="B301" s="1" t="s">
        <v>759</v>
      </c>
      <c r="C301" s="1" t="s">
        <v>760</v>
      </c>
      <c r="D301" s="1" t="s">
        <v>761</v>
      </c>
      <c r="E301" s="1"/>
      <c r="F301" s="1" t="s">
        <v>1504</v>
      </c>
      <c r="G301" s="1" t="s">
        <v>1480</v>
      </c>
      <c r="H301" s="1"/>
      <c r="I301" s="1">
        <v>18464</v>
      </c>
      <c r="J301" s="1">
        <v>-18464</v>
      </c>
      <c r="K301" s="1">
        <v>591</v>
      </c>
      <c r="L301" s="1">
        <v>1966</v>
      </c>
      <c r="M301" s="1">
        <v>2019</v>
      </c>
      <c r="N301" s="1">
        <v>550</v>
      </c>
      <c r="O301" s="1">
        <v>591</v>
      </c>
      <c r="P301" s="43" t="s">
        <v>1481</v>
      </c>
      <c r="Q301" s="1" t="s">
        <v>1482</v>
      </c>
      <c r="R301" s="1">
        <v>1</v>
      </c>
      <c r="S301" s="1"/>
      <c r="T301" s="1"/>
      <c r="U301" s="55"/>
      <c r="V301" s="49"/>
      <c r="W301" s="49" t="s">
        <v>1667</v>
      </c>
    </row>
    <row r="302" spans="1:39" ht="13" x14ac:dyDescent="0.15">
      <c r="A302" s="1" t="s">
        <v>762</v>
      </c>
      <c r="B302" s="1" t="s">
        <v>763</v>
      </c>
      <c r="C302" s="1" t="s">
        <v>764</v>
      </c>
      <c r="D302" s="1" t="s">
        <v>761</v>
      </c>
      <c r="E302" s="1"/>
      <c r="F302" s="1" t="s">
        <v>1504</v>
      </c>
      <c r="G302" s="1" t="s">
        <v>1483</v>
      </c>
      <c r="H302" s="1"/>
      <c r="I302" s="1">
        <v>16016</v>
      </c>
      <c r="J302" s="1">
        <v>-16016</v>
      </c>
      <c r="K302" s="1">
        <v>738</v>
      </c>
      <c r="L302" s="1">
        <v>1973</v>
      </c>
      <c r="M302" s="1">
        <v>2019</v>
      </c>
      <c r="N302" s="1">
        <v>738</v>
      </c>
      <c r="O302" s="1">
        <v>738</v>
      </c>
      <c r="P302" s="1">
        <v>525</v>
      </c>
      <c r="Q302" s="1" t="s">
        <v>1484</v>
      </c>
      <c r="R302" s="1">
        <v>1</v>
      </c>
      <c r="S302" s="1"/>
      <c r="T302" s="1"/>
      <c r="U302" s="55">
        <v>1</v>
      </c>
      <c r="V302" s="49"/>
      <c r="W302" s="49" t="s">
        <v>1667</v>
      </c>
    </row>
    <row r="303" spans="1:39" ht="13" x14ac:dyDescent="0.15">
      <c r="A303" s="1" t="s">
        <v>765</v>
      </c>
      <c r="B303" s="1" t="s">
        <v>766</v>
      </c>
      <c r="C303" s="1" t="s">
        <v>767</v>
      </c>
      <c r="D303" s="1" t="s">
        <v>761</v>
      </c>
      <c r="E303" s="1"/>
      <c r="F303" s="1" t="s">
        <v>1504</v>
      </c>
      <c r="G303" s="1" t="s">
        <v>1481</v>
      </c>
      <c r="H303" s="1"/>
      <c r="I303" s="1">
        <v>17508</v>
      </c>
      <c r="J303" s="1">
        <v>-17508</v>
      </c>
      <c r="K303" s="1">
        <v>363</v>
      </c>
      <c r="L303" s="1">
        <v>1969</v>
      </c>
      <c r="M303" s="1">
        <v>2018</v>
      </c>
      <c r="N303" s="1">
        <v>363</v>
      </c>
      <c r="O303" s="1">
        <v>363</v>
      </c>
      <c r="P303" s="43" t="s">
        <v>1481</v>
      </c>
      <c r="Q303" s="1" t="s">
        <v>1484</v>
      </c>
      <c r="R303" s="1">
        <v>0</v>
      </c>
      <c r="S303" s="1"/>
      <c r="T303" s="1"/>
      <c r="U303" s="55"/>
      <c r="V303" s="49"/>
      <c r="W303" s="49" t="s">
        <v>1667</v>
      </c>
    </row>
    <row r="304" spans="1:39" ht="13" x14ac:dyDescent="0.15">
      <c r="A304" s="1" t="s">
        <v>768</v>
      </c>
      <c r="B304" s="1" t="s">
        <v>769</v>
      </c>
      <c r="C304" s="1" t="s">
        <v>770</v>
      </c>
      <c r="D304" s="1" t="s">
        <v>761</v>
      </c>
      <c r="E304" s="1"/>
      <c r="F304" s="1" t="s">
        <v>1504</v>
      </c>
      <c r="G304" s="1" t="s">
        <v>1483</v>
      </c>
      <c r="H304" s="1"/>
      <c r="I304" s="1">
        <v>21551</v>
      </c>
      <c r="J304" s="1">
        <v>-21551</v>
      </c>
      <c r="K304" s="1">
        <v>79</v>
      </c>
      <c r="L304" s="1">
        <v>1958</v>
      </c>
      <c r="M304" s="1">
        <v>2017</v>
      </c>
      <c r="N304" s="1">
        <v>1</v>
      </c>
      <c r="O304" s="1">
        <v>79</v>
      </c>
      <c r="P304" s="43" t="s">
        <v>1481</v>
      </c>
      <c r="Q304" s="1" t="s">
        <v>1668</v>
      </c>
      <c r="R304" s="1">
        <v>0</v>
      </c>
      <c r="S304" s="1"/>
      <c r="T304" s="1"/>
      <c r="U304" s="55"/>
      <c r="V304" s="49"/>
      <c r="W304" s="49" t="s">
        <v>1667</v>
      </c>
    </row>
    <row r="305" spans="1:39" ht="13" x14ac:dyDescent="0.15">
      <c r="A305" s="1" t="s">
        <v>771</v>
      </c>
      <c r="B305" s="1" t="s">
        <v>772</v>
      </c>
      <c r="C305" s="1" t="s">
        <v>773</v>
      </c>
      <c r="D305" s="1" t="s">
        <v>761</v>
      </c>
      <c r="E305" s="1"/>
      <c r="F305" s="1" t="s">
        <v>1504</v>
      </c>
      <c r="G305" s="1" t="s">
        <v>1485</v>
      </c>
      <c r="H305" s="1"/>
      <c r="I305" s="1">
        <v>20999</v>
      </c>
      <c r="J305" s="1">
        <v>-20999</v>
      </c>
      <c r="K305" s="1">
        <v>291</v>
      </c>
      <c r="L305" s="1">
        <v>1960</v>
      </c>
      <c r="M305" s="1">
        <v>2018</v>
      </c>
      <c r="N305" s="1">
        <v>182</v>
      </c>
      <c r="O305" s="1">
        <v>291</v>
      </c>
      <c r="P305" s="43" t="s">
        <v>1481</v>
      </c>
      <c r="Q305" s="1" t="s">
        <v>1482</v>
      </c>
      <c r="R305" s="1">
        <v>0</v>
      </c>
      <c r="S305" s="1"/>
      <c r="T305" s="1"/>
      <c r="U305" s="55"/>
      <c r="V305" s="49"/>
      <c r="W305" s="49" t="s">
        <v>1667</v>
      </c>
    </row>
    <row r="306" spans="1:39" ht="13" x14ac:dyDescent="0.15">
      <c r="A306" s="1" t="s">
        <v>774</v>
      </c>
      <c r="B306" s="1" t="s">
        <v>775</v>
      </c>
      <c r="C306" s="1" t="s">
        <v>776</v>
      </c>
      <c r="D306" s="1" t="s">
        <v>761</v>
      </c>
      <c r="E306" s="1"/>
      <c r="F306" s="1" t="s">
        <v>1504</v>
      </c>
      <c r="G306" s="1" t="s">
        <v>1486</v>
      </c>
      <c r="H306" s="1"/>
      <c r="I306" s="1">
        <v>26277</v>
      </c>
      <c r="J306" s="1">
        <v>-26277</v>
      </c>
      <c r="K306" s="1">
        <v>873</v>
      </c>
      <c r="L306" s="1">
        <v>1945</v>
      </c>
      <c r="M306" s="1">
        <v>2020</v>
      </c>
      <c r="N306" s="1">
        <v>866</v>
      </c>
      <c r="O306" s="1">
        <v>873</v>
      </c>
      <c r="P306" s="1">
        <v>454</v>
      </c>
      <c r="Q306" s="1" t="s">
        <v>1484</v>
      </c>
      <c r="R306" s="1">
        <v>1</v>
      </c>
      <c r="S306" s="1"/>
      <c r="T306" s="1"/>
      <c r="U306" s="55"/>
      <c r="V306" s="49"/>
      <c r="W306" s="49" t="s">
        <v>1667</v>
      </c>
    </row>
    <row r="307" spans="1:39" ht="13" x14ac:dyDescent="0.15">
      <c r="A307" s="1" t="s">
        <v>777</v>
      </c>
      <c r="B307" s="1" t="s">
        <v>778</v>
      </c>
      <c r="C307" s="1" t="s">
        <v>779</v>
      </c>
      <c r="D307" s="1" t="s">
        <v>761</v>
      </c>
      <c r="E307" s="1"/>
      <c r="F307" s="1" t="s">
        <v>1504</v>
      </c>
      <c r="G307" s="1" t="s">
        <v>1480</v>
      </c>
      <c r="H307" s="1"/>
      <c r="I307" s="1">
        <v>14468</v>
      </c>
      <c r="J307" s="1">
        <v>-14468</v>
      </c>
      <c r="K307" s="1">
        <v>1</v>
      </c>
      <c r="L307" s="1">
        <v>1977</v>
      </c>
      <c r="M307" s="1">
        <v>2016</v>
      </c>
      <c r="N307" s="1">
        <v>1</v>
      </c>
      <c r="O307" s="1">
        <v>1</v>
      </c>
      <c r="P307" s="43" t="s">
        <v>1481</v>
      </c>
      <c r="Q307" s="1" t="s">
        <v>1482</v>
      </c>
      <c r="R307" s="1">
        <v>1</v>
      </c>
      <c r="S307" s="1"/>
      <c r="T307" s="1"/>
      <c r="U307" s="55">
        <v>1</v>
      </c>
      <c r="V307" s="49"/>
      <c r="W307" s="49" t="s">
        <v>1667</v>
      </c>
    </row>
    <row r="308" spans="1:39" ht="13" x14ac:dyDescent="0.15">
      <c r="A308" s="1" t="s">
        <v>780</v>
      </c>
      <c r="B308" s="1" t="s">
        <v>781</v>
      </c>
      <c r="C308" s="1" t="s">
        <v>782</v>
      </c>
      <c r="D308" s="1" t="s">
        <v>761</v>
      </c>
      <c r="E308" s="1"/>
      <c r="F308" s="1" t="s">
        <v>1507</v>
      </c>
      <c r="G308" s="1" t="s">
        <v>1480</v>
      </c>
      <c r="H308" s="1"/>
      <c r="I308" s="1">
        <v>25562</v>
      </c>
      <c r="J308" s="1">
        <v>-25562</v>
      </c>
      <c r="K308" s="1">
        <v>155</v>
      </c>
      <c r="L308" s="1">
        <v>1946</v>
      </c>
      <c r="M308" s="1">
        <v>2017</v>
      </c>
      <c r="N308" s="1">
        <v>155</v>
      </c>
      <c r="O308" s="1">
        <v>155</v>
      </c>
      <c r="P308" s="43" t="s">
        <v>1481</v>
      </c>
      <c r="Q308" s="1" t="s">
        <v>1482</v>
      </c>
      <c r="R308" s="1">
        <v>1</v>
      </c>
      <c r="S308" s="1"/>
      <c r="T308" s="1"/>
      <c r="U308" s="55"/>
      <c r="V308" s="49"/>
      <c r="W308" s="49" t="s">
        <v>1667</v>
      </c>
    </row>
    <row r="309" spans="1:39" ht="13" x14ac:dyDescent="0.15">
      <c r="A309" s="43" t="s">
        <v>1669</v>
      </c>
      <c r="B309" s="43" t="s">
        <v>1670</v>
      </c>
      <c r="C309" s="43" t="s">
        <v>1671</v>
      </c>
      <c r="D309" s="43" t="s">
        <v>761</v>
      </c>
      <c r="E309" s="43"/>
      <c r="F309" s="43" t="s">
        <v>1504</v>
      </c>
      <c r="G309" s="43" t="s">
        <v>1480</v>
      </c>
      <c r="H309" s="43"/>
      <c r="I309" s="43">
        <v>24461</v>
      </c>
      <c r="J309" s="43">
        <v>-24461</v>
      </c>
      <c r="K309" s="43" t="s">
        <v>1672</v>
      </c>
      <c r="L309" s="43">
        <v>1950</v>
      </c>
      <c r="M309" s="43" t="s">
        <v>1672</v>
      </c>
      <c r="N309" s="43">
        <v>362</v>
      </c>
      <c r="O309" s="43">
        <v>362</v>
      </c>
      <c r="P309" s="43" t="s">
        <v>1481</v>
      </c>
      <c r="Q309" s="43" t="s">
        <v>1481</v>
      </c>
      <c r="R309" s="43">
        <v>0</v>
      </c>
      <c r="S309" s="43"/>
      <c r="T309" s="43"/>
      <c r="U309" s="56"/>
      <c r="V309" s="49"/>
      <c r="W309" s="49" t="s">
        <v>1673</v>
      </c>
      <c r="X309" s="53"/>
      <c r="Y309" s="53"/>
      <c r="Z309" s="53"/>
      <c r="AA309" s="53"/>
      <c r="AB309" s="53"/>
      <c r="AC309" s="53"/>
      <c r="AD309" s="53"/>
      <c r="AE309" s="53"/>
      <c r="AF309" s="53"/>
      <c r="AG309" s="53"/>
      <c r="AH309" s="53"/>
      <c r="AI309" s="53"/>
      <c r="AJ309" s="53"/>
      <c r="AK309" s="53"/>
      <c r="AL309" s="53"/>
      <c r="AM309" s="53"/>
    </row>
    <row r="310" spans="1:39" ht="13" x14ac:dyDescent="0.15">
      <c r="A310" s="1" t="s">
        <v>783</v>
      </c>
      <c r="B310" s="1" t="s">
        <v>784</v>
      </c>
      <c r="C310" s="1" t="s">
        <v>785</v>
      </c>
      <c r="D310" s="1" t="s">
        <v>761</v>
      </c>
      <c r="E310" s="1"/>
      <c r="F310" s="1" t="s">
        <v>1507</v>
      </c>
      <c r="G310" s="1" t="s">
        <v>1483</v>
      </c>
      <c r="H310" s="1"/>
      <c r="I310" s="1">
        <v>26097</v>
      </c>
      <c r="J310" s="1">
        <v>-26097</v>
      </c>
      <c r="K310" s="1">
        <v>721</v>
      </c>
      <c r="L310" s="1">
        <v>1946</v>
      </c>
      <c r="M310" s="1">
        <v>2020</v>
      </c>
      <c r="N310" s="1">
        <v>613</v>
      </c>
      <c r="O310" s="1">
        <v>721</v>
      </c>
      <c r="P310" s="1">
        <v>457</v>
      </c>
      <c r="Q310" s="1" t="s">
        <v>1484</v>
      </c>
      <c r="R310" s="1">
        <v>1</v>
      </c>
      <c r="S310" s="1"/>
      <c r="T310" s="1"/>
      <c r="U310" s="55"/>
      <c r="V310" s="49"/>
      <c r="W310" s="49" t="s">
        <v>1667</v>
      </c>
    </row>
    <row r="311" spans="1:39" ht="13" x14ac:dyDescent="0.15">
      <c r="A311" s="1" t="s">
        <v>786</v>
      </c>
      <c r="B311" s="1" t="s">
        <v>787</v>
      </c>
      <c r="C311" s="1" t="s">
        <v>788</v>
      </c>
      <c r="D311" s="1" t="s">
        <v>761</v>
      </c>
      <c r="E311" s="1"/>
      <c r="F311" s="1" t="s">
        <v>1507</v>
      </c>
      <c r="G311" s="1" t="s">
        <v>1485</v>
      </c>
      <c r="H311" s="1"/>
      <c r="I311" s="1">
        <v>26843</v>
      </c>
      <c r="J311" s="1">
        <v>-26843</v>
      </c>
      <c r="K311" s="1">
        <v>66</v>
      </c>
      <c r="L311" s="1">
        <v>1943</v>
      </c>
      <c r="M311" s="1">
        <v>2017</v>
      </c>
      <c r="N311" s="1">
        <v>0</v>
      </c>
      <c r="O311" s="1">
        <v>66</v>
      </c>
      <c r="P311" s="43" t="s">
        <v>1481</v>
      </c>
      <c r="Q311" s="43" t="s">
        <v>1481</v>
      </c>
      <c r="R311" s="1">
        <v>0</v>
      </c>
      <c r="S311" s="1"/>
      <c r="T311" s="1"/>
      <c r="U311" s="55"/>
      <c r="V311" s="49"/>
      <c r="W311" s="49" t="s">
        <v>1667</v>
      </c>
    </row>
    <row r="312" spans="1:39" ht="13" x14ac:dyDescent="0.15">
      <c r="A312" s="43" t="s">
        <v>1674</v>
      </c>
      <c r="B312" s="43" t="s">
        <v>1675</v>
      </c>
      <c r="C312" s="43" t="s">
        <v>1676</v>
      </c>
      <c r="D312" s="43" t="s">
        <v>761</v>
      </c>
      <c r="E312" s="43"/>
      <c r="F312" s="43" t="s">
        <v>1507</v>
      </c>
      <c r="G312" s="43" t="s">
        <v>1480</v>
      </c>
      <c r="H312" s="43"/>
      <c r="I312" s="43">
        <v>15483</v>
      </c>
      <c r="J312" s="43">
        <v>-15483</v>
      </c>
      <c r="K312" s="43" t="s">
        <v>1672</v>
      </c>
      <c r="L312" s="43">
        <v>1975</v>
      </c>
      <c r="M312" s="43" t="s">
        <v>1672</v>
      </c>
      <c r="N312" s="43">
        <v>0</v>
      </c>
      <c r="O312" s="43">
        <v>0</v>
      </c>
      <c r="P312" s="43" t="s">
        <v>1481</v>
      </c>
      <c r="Q312" s="43" t="s">
        <v>1481</v>
      </c>
      <c r="R312" s="43">
        <v>0</v>
      </c>
      <c r="S312" s="43"/>
      <c r="T312" s="43"/>
      <c r="U312" s="56"/>
      <c r="V312" s="49"/>
      <c r="W312" s="49" t="s">
        <v>1673</v>
      </c>
      <c r="X312" s="53"/>
      <c r="Y312" s="53"/>
      <c r="Z312" s="53"/>
      <c r="AA312" s="53"/>
      <c r="AB312" s="53"/>
      <c r="AC312" s="53"/>
      <c r="AD312" s="53"/>
      <c r="AE312" s="53"/>
      <c r="AF312" s="53"/>
      <c r="AG312" s="53"/>
      <c r="AH312" s="53"/>
      <c r="AI312" s="53"/>
      <c r="AJ312" s="53"/>
      <c r="AK312" s="53"/>
      <c r="AL312" s="53"/>
      <c r="AM312" s="53"/>
    </row>
    <row r="313" spans="1:39" ht="13" x14ac:dyDescent="0.15">
      <c r="A313" s="43" t="s">
        <v>1677</v>
      </c>
      <c r="B313" s="43" t="s">
        <v>1678</v>
      </c>
      <c r="C313" s="43" t="s">
        <v>1679</v>
      </c>
      <c r="D313" s="43" t="s">
        <v>761</v>
      </c>
      <c r="E313" s="43"/>
      <c r="F313" s="43" t="s">
        <v>1507</v>
      </c>
      <c r="G313" s="43" t="s">
        <v>1480</v>
      </c>
      <c r="H313" s="43"/>
      <c r="I313" s="43">
        <v>24055</v>
      </c>
      <c r="J313" s="43">
        <v>-24055</v>
      </c>
      <c r="K313" s="43" t="s">
        <v>1672</v>
      </c>
      <c r="L313" s="43">
        <v>1951</v>
      </c>
      <c r="M313" s="43" t="s">
        <v>1672</v>
      </c>
      <c r="N313" s="43">
        <v>1585</v>
      </c>
      <c r="O313" s="43">
        <v>1585</v>
      </c>
      <c r="P313" s="43">
        <v>1291</v>
      </c>
      <c r="Q313" s="43" t="s">
        <v>1484</v>
      </c>
      <c r="R313" s="43">
        <v>1</v>
      </c>
      <c r="S313" s="43"/>
      <c r="T313" s="43"/>
      <c r="U313" s="56"/>
      <c r="V313" s="49"/>
      <c r="W313" s="49" t="s">
        <v>1673</v>
      </c>
      <c r="X313" s="53"/>
      <c r="Y313" s="53"/>
      <c r="Z313" s="53"/>
      <c r="AA313" s="53"/>
      <c r="AB313" s="53"/>
      <c r="AC313" s="53"/>
      <c r="AD313" s="53"/>
      <c r="AE313" s="53"/>
      <c r="AF313" s="53"/>
      <c r="AG313" s="53"/>
      <c r="AH313" s="53"/>
      <c r="AI313" s="53"/>
      <c r="AJ313" s="53"/>
      <c r="AK313" s="53"/>
      <c r="AL313" s="53"/>
      <c r="AM313" s="53"/>
    </row>
    <row r="314" spans="1:39" ht="13" x14ac:dyDescent="0.15">
      <c r="A314" s="1" t="s">
        <v>789</v>
      </c>
      <c r="B314" s="1" t="s">
        <v>790</v>
      </c>
      <c r="C314" s="1" t="s">
        <v>791</v>
      </c>
      <c r="D314" s="1" t="s">
        <v>761</v>
      </c>
      <c r="E314" s="1"/>
      <c r="F314" s="1" t="s">
        <v>1504</v>
      </c>
      <c r="G314" s="1" t="s">
        <v>1480</v>
      </c>
      <c r="H314" s="1"/>
      <c r="I314" s="1">
        <v>27160</v>
      </c>
      <c r="J314" s="1">
        <v>-27160</v>
      </c>
      <c r="K314" s="1">
        <v>646</v>
      </c>
      <c r="L314" s="1">
        <v>1942</v>
      </c>
      <c r="M314" s="1">
        <v>2018</v>
      </c>
      <c r="N314" s="1">
        <v>2</v>
      </c>
      <c r="O314" s="1">
        <v>646</v>
      </c>
      <c r="P314" s="43" t="s">
        <v>1481</v>
      </c>
      <c r="Q314" s="43" t="s">
        <v>1481</v>
      </c>
      <c r="R314" s="1">
        <v>1</v>
      </c>
      <c r="S314" s="1"/>
      <c r="T314" s="1"/>
      <c r="U314" s="55"/>
      <c r="V314" s="49"/>
      <c r="W314" s="49" t="s">
        <v>1667</v>
      </c>
    </row>
    <row r="315" spans="1:39" ht="13" x14ac:dyDescent="0.15">
      <c r="A315" s="43" t="s">
        <v>1680</v>
      </c>
      <c r="B315" s="43" t="s">
        <v>1681</v>
      </c>
      <c r="C315" s="43" t="s">
        <v>1682</v>
      </c>
      <c r="D315" s="43" t="s">
        <v>761</v>
      </c>
      <c r="E315" s="43"/>
      <c r="F315" s="43" t="s">
        <v>1507</v>
      </c>
      <c r="G315" s="43" t="s">
        <v>1485</v>
      </c>
      <c r="H315" s="43"/>
      <c r="I315" s="43">
        <v>18904</v>
      </c>
      <c r="J315" s="43">
        <v>-18904</v>
      </c>
      <c r="K315" s="43" t="s">
        <v>1672</v>
      </c>
      <c r="L315" s="43">
        <v>1965</v>
      </c>
      <c r="M315" s="43" t="s">
        <v>1672</v>
      </c>
      <c r="N315" s="43">
        <v>1030</v>
      </c>
      <c r="O315" s="43">
        <v>1030</v>
      </c>
      <c r="P315" s="43">
        <v>235</v>
      </c>
      <c r="Q315" s="43" t="s">
        <v>1484</v>
      </c>
      <c r="R315" s="43">
        <v>0</v>
      </c>
      <c r="S315" s="43"/>
      <c r="T315" s="43"/>
      <c r="U315" s="56">
        <v>1</v>
      </c>
      <c r="V315" s="49"/>
      <c r="W315" s="49" t="s">
        <v>1673</v>
      </c>
      <c r="X315" s="53"/>
      <c r="Y315" s="53"/>
      <c r="Z315" s="53"/>
      <c r="AA315" s="53"/>
      <c r="AB315" s="53"/>
      <c r="AC315" s="53"/>
      <c r="AD315" s="53"/>
      <c r="AE315" s="53"/>
      <c r="AF315" s="53"/>
      <c r="AG315" s="53"/>
      <c r="AH315" s="53"/>
      <c r="AI315" s="53"/>
      <c r="AJ315" s="53"/>
      <c r="AK315" s="53"/>
      <c r="AL315" s="53"/>
      <c r="AM315" s="53"/>
    </row>
    <row r="316" spans="1:39" ht="13" x14ac:dyDescent="0.15">
      <c r="A316" s="1" t="s">
        <v>792</v>
      </c>
      <c r="B316" s="1" t="s">
        <v>793</v>
      </c>
      <c r="C316" s="4" t="s">
        <v>794</v>
      </c>
      <c r="D316" s="1" t="s">
        <v>14</v>
      </c>
      <c r="E316" s="1"/>
      <c r="F316" s="1" t="s">
        <v>1504</v>
      </c>
      <c r="G316" s="1"/>
      <c r="H316" s="1"/>
      <c r="I316" s="1"/>
      <c r="J316" s="1"/>
      <c r="K316" s="1"/>
      <c r="L316" s="1"/>
      <c r="M316" s="1"/>
      <c r="N316" s="1"/>
      <c r="O316" s="1"/>
      <c r="P316" s="1"/>
      <c r="Q316" s="1"/>
      <c r="R316" s="1">
        <v>0</v>
      </c>
      <c r="S316" s="1"/>
      <c r="T316" s="1" t="s">
        <v>1509</v>
      </c>
      <c r="U316" s="1" t="s">
        <v>1506</v>
      </c>
      <c r="V316" s="49">
        <v>15</v>
      </c>
      <c r="W316" s="49">
        <v>1</v>
      </c>
      <c r="X316" s="2">
        <v>66</v>
      </c>
    </row>
    <row r="317" spans="1:39" ht="13" x14ac:dyDescent="0.15">
      <c r="A317" s="1" t="s">
        <v>795</v>
      </c>
      <c r="B317" s="1" t="s">
        <v>796</v>
      </c>
      <c r="C317" s="4" t="s">
        <v>797</v>
      </c>
      <c r="D317" s="1" t="s">
        <v>14</v>
      </c>
      <c r="E317" s="1"/>
      <c r="F317" s="1" t="s">
        <v>1504</v>
      </c>
      <c r="G317" s="1"/>
      <c r="H317" s="1"/>
      <c r="I317" s="1"/>
      <c r="J317" s="1"/>
      <c r="K317" s="1"/>
      <c r="L317" s="1"/>
      <c r="M317" s="1"/>
      <c r="N317" s="1"/>
      <c r="O317" s="1"/>
      <c r="P317" s="1"/>
      <c r="Q317" s="1"/>
      <c r="R317" s="1">
        <v>1</v>
      </c>
      <c r="S317" s="1"/>
      <c r="T317" s="1" t="s">
        <v>1509</v>
      </c>
      <c r="U317" s="1" t="s">
        <v>1506</v>
      </c>
      <c r="V317" s="49">
        <v>188</v>
      </c>
      <c r="W317" s="49">
        <v>1</v>
      </c>
      <c r="X317" s="2">
        <v>65</v>
      </c>
    </row>
    <row r="318" spans="1:39" ht="13" x14ac:dyDescent="0.15">
      <c r="A318" s="57" t="s">
        <v>798</v>
      </c>
      <c r="B318" s="57" t="s">
        <v>799</v>
      </c>
      <c r="C318" s="58" t="s">
        <v>800</v>
      </c>
      <c r="D318" s="57" t="s">
        <v>14</v>
      </c>
      <c r="E318" s="57"/>
      <c r="F318" s="57" t="s">
        <v>1504</v>
      </c>
      <c r="G318" s="57"/>
      <c r="H318" s="57"/>
      <c r="I318" s="57"/>
      <c r="J318" s="57"/>
      <c r="K318" s="57"/>
      <c r="L318" s="57"/>
      <c r="M318" s="57"/>
      <c r="N318" s="57"/>
      <c r="O318" s="57"/>
      <c r="P318" s="57"/>
      <c r="Q318" s="57"/>
      <c r="R318" s="57">
        <v>1</v>
      </c>
      <c r="S318" s="57"/>
      <c r="T318" s="57" t="s">
        <v>1509</v>
      </c>
      <c r="U318" s="57" t="s">
        <v>1506</v>
      </c>
      <c r="V318" s="49">
        <v>421</v>
      </c>
      <c r="W318" s="49">
        <v>1</v>
      </c>
      <c r="X318" s="49">
        <v>72</v>
      </c>
      <c r="Y318" s="49"/>
      <c r="Z318" s="49"/>
      <c r="AA318" s="49"/>
      <c r="AB318" s="49"/>
      <c r="AC318" s="49"/>
      <c r="AD318" s="49"/>
      <c r="AE318" s="49"/>
      <c r="AF318" s="49"/>
      <c r="AG318" s="49"/>
      <c r="AH318" s="49"/>
      <c r="AI318" s="49"/>
      <c r="AJ318" s="49"/>
      <c r="AK318" s="49"/>
      <c r="AL318" s="49"/>
      <c r="AM318" s="49"/>
    </row>
    <row r="319" spans="1:39" ht="13" x14ac:dyDescent="0.15">
      <c r="A319" s="57" t="s">
        <v>801</v>
      </c>
      <c r="B319" s="57" t="s">
        <v>802</v>
      </c>
      <c r="C319" s="58" t="s">
        <v>803</v>
      </c>
      <c r="D319" s="57" t="s">
        <v>14</v>
      </c>
      <c r="E319" s="57"/>
      <c r="F319" s="57" t="s">
        <v>1504</v>
      </c>
      <c r="G319" s="57"/>
      <c r="H319" s="57"/>
      <c r="I319" s="57"/>
      <c r="J319" s="57"/>
      <c r="K319" s="57"/>
      <c r="L319" s="57"/>
      <c r="M319" s="57"/>
      <c r="N319" s="57"/>
      <c r="O319" s="57"/>
      <c r="P319" s="57"/>
      <c r="Q319" s="57"/>
      <c r="R319" s="57">
        <v>0</v>
      </c>
      <c r="S319" s="57"/>
      <c r="T319" s="57" t="s">
        <v>1505</v>
      </c>
      <c r="U319" s="57" t="s">
        <v>1506</v>
      </c>
      <c r="V319" s="49">
        <v>194</v>
      </c>
      <c r="W319" s="49">
        <v>1</v>
      </c>
      <c r="X319" s="49">
        <v>51</v>
      </c>
      <c r="Y319" s="49"/>
      <c r="Z319" s="49"/>
      <c r="AA319" s="49"/>
      <c r="AB319" s="49"/>
      <c r="AC319" s="49"/>
      <c r="AD319" s="49"/>
      <c r="AE319" s="49"/>
      <c r="AF319" s="49"/>
      <c r="AG319" s="49"/>
      <c r="AH319" s="49"/>
      <c r="AI319" s="49"/>
      <c r="AJ319" s="49"/>
      <c r="AK319" s="49"/>
      <c r="AL319" s="49"/>
      <c r="AM319" s="49"/>
    </row>
    <row r="320" spans="1:39" ht="13" x14ac:dyDescent="0.15">
      <c r="A320" s="57" t="s">
        <v>804</v>
      </c>
      <c r="B320" s="57" t="s">
        <v>805</v>
      </c>
      <c r="C320" s="58" t="s">
        <v>806</v>
      </c>
      <c r="D320" s="57" t="s">
        <v>14</v>
      </c>
      <c r="E320" s="57"/>
      <c r="F320" s="57" t="s">
        <v>1504</v>
      </c>
      <c r="G320" s="57"/>
      <c r="H320" s="57"/>
      <c r="I320" s="57"/>
      <c r="J320" s="57"/>
      <c r="K320" s="57"/>
      <c r="L320" s="57"/>
      <c r="M320" s="57"/>
      <c r="N320" s="57"/>
      <c r="O320" s="57"/>
      <c r="P320" s="57"/>
      <c r="Q320" s="57"/>
      <c r="R320" s="57">
        <v>1</v>
      </c>
      <c r="S320" s="57"/>
      <c r="T320" s="57" t="s">
        <v>1509</v>
      </c>
      <c r="U320" s="57" t="s">
        <v>1506</v>
      </c>
      <c r="V320" s="49">
        <v>1196</v>
      </c>
      <c r="W320" s="49">
        <v>0</v>
      </c>
      <c r="X320" s="49">
        <v>60</v>
      </c>
      <c r="Y320" s="49"/>
      <c r="Z320" s="49"/>
      <c r="AA320" s="49"/>
      <c r="AB320" s="49"/>
      <c r="AC320" s="49"/>
      <c r="AD320" s="49"/>
      <c r="AE320" s="49"/>
      <c r="AF320" s="49"/>
      <c r="AG320" s="49"/>
      <c r="AH320" s="49"/>
      <c r="AI320" s="49"/>
      <c r="AJ320" s="49"/>
      <c r="AK320" s="49"/>
      <c r="AL320" s="49"/>
      <c r="AM320" s="49"/>
    </row>
    <row r="321" spans="1:39" ht="13" x14ac:dyDescent="0.15">
      <c r="A321" s="57" t="s">
        <v>807</v>
      </c>
      <c r="B321" s="57" t="s">
        <v>808</v>
      </c>
      <c r="C321" s="58" t="s">
        <v>809</v>
      </c>
      <c r="D321" s="57" t="s">
        <v>14</v>
      </c>
      <c r="E321" s="57"/>
      <c r="F321" s="57" t="s">
        <v>1504</v>
      </c>
      <c r="G321" s="57"/>
      <c r="H321" s="57"/>
      <c r="I321" s="57"/>
      <c r="J321" s="57"/>
      <c r="K321" s="57"/>
      <c r="L321" s="57"/>
      <c r="M321" s="57"/>
      <c r="N321" s="57"/>
      <c r="O321" s="57"/>
      <c r="P321" s="57"/>
      <c r="Q321" s="57"/>
      <c r="R321" s="57">
        <v>1</v>
      </c>
      <c r="S321" s="57"/>
      <c r="T321" s="57" t="s">
        <v>1509</v>
      </c>
      <c r="U321" s="57" t="s">
        <v>1506</v>
      </c>
      <c r="V321" s="49">
        <v>1201</v>
      </c>
      <c r="W321" s="49">
        <v>0</v>
      </c>
      <c r="X321" s="49">
        <v>75</v>
      </c>
      <c r="Y321" s="49"/>
      <c r="Z321" s="49"/>
      <c r="AA321" s="49"/>
      <c r="AB321" s="49"/>
      <c r="AC321" s="49"/>
      <c r="AD321" s="49"/>
      <c r="AE321" s="49"/>
      <c r="AF321" s="49"/>
      <c r="AG321" s="49"/>
      <c r="AH321" s="49"/>
      <c r="AI321" s="49"/>
      <c r="AJ321" s="49"/>
      <c r="AK321" s="49"/>
      <c r="AL321" s="49"/>
      <c r="AM321" s="49"/>
    </row>
    <row r="322" spans="1:39" ht="13" x14ac:dyDescent="0.15">
      <c r="A322" s="1" t="s">
        <v>810</v>
      </c>
      <c r="B322" s="1" t="s">
        <v>811</v>
      </c>
      <c r="C322" s="4" t="s">
        <v>812</v>
      </c>
      <c r="D322" s="1" t="s">
        <v>14</v>
      </c>
      <c r="E322" s="1"/>
      <c r="F322" s="1" t="s">
        <v>1504</v>
      </c>
      <c r="G322" s="1"/>
      <c r="H322" s="1"/>
      <c r="I322" s="1"/>
      <c r="J322" s="1"/>
      <c r="K322" s="1"/>
      <c r="L322" s="1"/>
      <c r="M322" s="1"/>
      <c r="N322" s="1"/>
      <c r="O322" s="1"/>
      <c r="P322" s="1"/>
      <c r="Q322" s="1"/>
      <c r="R322" s="1">
        <v>0</v>
      </c>
      <c r="S322" s="1"/>
      <c r="T322" s="1" t="s">
        <v>1510</v>
      </c>
      <c r="U322" s="1" t="s">
        <v>1506</v>
      </c>
      <c r="V322" s="49">
        <v>108</v>
      </c>
      <c r="W322" s="49">
        <v>1</v>
      </c>
      <c r="X322" s="2">
        <v>72</v>
      </c>
    </row>
    <row r="323" spans="1:39" ht="13" x14ac:dyDescent="0.15">
      <c r="A323" s="1" t="s">
        <v>813</v>
      </c>
      <c r="B323" s="1" t="s">
        <v>814</v>
      </c>
      <c r="C323" s="4" t="s">
        <v>815</v>
      </c>
      <c r="D323" s="1" t="s">
        <v>14</v>
      </c>
      <c r="E323" s="1"/>
      <c r="F323" s="1" t="s">
        <v>1507</v>
      </c>
      <c r="G323" s="1"/>
      <c r="H323" s="1"/>
      <c r="I323" s="1"/>
      <c r="J323" s="1"/>
      <c r="K323" s="1"/>
      <c r="L323" s="1"/>
      <c r="M323" s="1"/>
      <c r="N323" s="1"/>
      <c r="O323" s="1"/>
      <c r="P323" s="1"/>
      <c r="Q323" s="1"/>
      <c r="R323" s="1">
        <v>1</v>
      </c>
      <c r="S323" s="1"/>
      <c r="T323" s="1" t="s">
        <v>1509</v>
      </c>
      <c r="U323" s="1" t="s">
        <v>1506</v>
      </c>
      <c r="V323" s="49">
        <v>837</v>
      </c>
      <c r="W323" s="49">
        <v>1</v>
      </c>
      <c r="X323" s="2">
        <v>26</v>
      </c>
    </row>
    <row r="324" spans="1:39" ht="13" x14ac:dyDescent="0.15">
      <c r="A324" s="1" t="s">
        <v>816</v>
      </c>
      <c r="B324" s="1" t="s">
        <v>817</v>
      </c>
      <c r="C324" s="4" t="s">
        <v>818</v>
      </c>
      <c r="D324" s="1" t="s">
        <v>14</v>
      </c>
      <c r="E324" s="1"/>
      <c r="F324" s="1" t="s">
        <v>1507</v>
      </c>
      <c r="G324" s="1"/>
      <c r="H324" s="1"/>
      <c r="I324" s="1"/>
      <c r="J324" s="1"/>
      <c r="K324" s="1"/>
      <c r="L324" s="1"/>
      <c r="M324" s="1"/>
      <c r="N324" s="1"/>
      <c r="O324" s="1"/>
      <c r="P324" s="1"/>
      <c r="Q324" s="1"/>
      <c r="R324" s="1">
        <v>1</v>
      </c>
      <c r="S324" s="1"/>
      <c r="T324" s="1" t="s">
        <v>1509</v>
      </c>
      <c r="U324" s="1" t="s">
        <v>1506</v>
      </c>
      <c r="V324" s="49">
        <v>141</v>
      </c>
      <c r="W324" s="49">
        <v>1</v>
      </c>
      <c r="X324" s="2">
        <v>65</v>
      </c>
    </row>
    <row r="325" spans="1:39" ht="13" x14ac:dyDescent="0.15">
      <c r="A325" s="1" t="s">
        <v>819</v>
      </c>
      <c r="B325" s="1" t="s">
        <v>820</v>
      </c>
      <c r="C325" s="4" t="s">
        <v>821</v>
      </c>
      <c r="D325" s="1" t="s">
        <v>14</v>
      </c>
      <c r="E325" s="1"/>
      <c r="F325" s="1" t="s">
        <v>1507</v>
      </c>
      <c r="G325" s="1"/>
      <c r="H325" s="1"/>
      <c r="I325" s="1"/>
      <c r="J325" s="1"/>
      <c r="K325" s="1"/>
      <c r="L325" s="1"/>
      <c r="M325" s="1"/>
      <c r="N325" s="1"/>
      <c r="O325" s="1"/>
      <c r="P325" s="1"/>
      <c r="Q325" s="1"/>
      <c r="R325" s="1">
        <v>1</v>
      </c>
      <c r="S325" s="1"/>
      <c r="T325" s="1" t="s">
        <v>1505</v>
      </c>
      <c r="U325" s="1" t="s">
        <v>1506</v>
      </c>
      <c r="V325" s="49">
        <v>465</v>
      </c>
      <c r="W325" s="49">
        <v>1</v>
      </c>
      <c r="X325" s="2">
        <v>65</v>
      </c>
    </row>
    <row r="326" spans="1:39" ht="13" x14ac:dyDescent="0.15">
      <c r="A326" s="1" t="s">
        <v>822</v>
      </c>
      <c r="B326" s="1" t="s">
        <v>823</v>
      </c>
      <c r="C326" s="4" t="s">
        <v>824</v>
      </c>
      <c r="D326" s="1" t="s">
        <v>14</v>
      </c>
      <c r="E326" s="1"/>
      <c r="F326" s="1" t="s">
        <v>1507</v>
      </c>
      <c r="G326" s="1"/>
      <c r="H326" s="1"/>
      <c r="I326" s="1"/>
      <c r="J326" s="1"/>
      <c r="K326" s="1"/>
      <c r="L326" s="1"/>
      <c r="M326" s="1"/>
      <c r="N326" s="1"/>
      <c r="O326" s="1"/>
      <c r="P326" s="1"/>
      <c r="Q326" s="1"/>
      <c r="R326" s="1">
        <v>0</v>
      </c>
      <c r="S326" s="1"/>
      <c r="T326" s="1" t="s">
        <v>1509</v>
      </c>
      <c r="U326" s="1" t="s">
        <v>1506</v>
      </c>
      <c r="V326" s="49">
        <v>109</v>
      </c>
      <c r="W326" s="49">
        <v>1</v>
      </c>
      <c r="X326" s="2">
        <v>64</v>
      </c>
    </row>
    <row r="327" spans="1:39" ht="13" x14ac:dyDescent="0.15">
      <c r="A327" s="1" t="s">
        <v>825</v>
      </c>
      <c r="B327" s="1" t="s">
        <v>826</v>
      </c>
      <c r="C327" s="4" t="s">
        <v>827</v>
      </c>
      <c r="D327" s="1" t="s">
        <v>14</v>
      </c>
      <c r="E327" s="1"/>
      <c r="F327" s="1" t="s">
        <v>1507</v>
      </c>
      <c r="G327" s="1"/>
      <c r="H327" s="1"/>
      <c r="I327" s="1"/>
      <c r="J327" s="1"/>
      <c r="K327" s="1"/>
      <c r="L327" s="1"/>
      <c r="M327" s="1"/>
      <c r="N327" s="1"/>
      <c r="O327" s="1"/>
      <c r="P327" s="1"/>
      <c r="Q327" s="1"/>
      <c r="R327" s="1">
        <v>1</v>
      </c>
      <c r="S327" s="1"/>
      <c r="T327" s="1" t="s">
        <v>1505</v>
      </c>
      <c r="U327" s="1" t="s">
        <v>1506</v>
      </c>
      <c r="V327" s="49">
        <v>729</v>
      </c>
      <c r="W327" s="49">
        <v>1</v>
      </c>
      <c r="X327" s="2">
        <v>65</v>
      </c>
    </row>
    <row r="328" spans="1:39" ht="13" x14ac:dyDescent="0.15">
      <c r="A328" s="1" t="s">
        <v>828</v>
      </c>
      <c r="B328" s="1" t="s">
        <v>829</v>
      </c>
      <c r="C328" s="4" t="s">
        <v>830</v>
      </c>
      <c r="D328" s="1" t="s">
        <v>14</v>
      </c>
      <c r="E328" s="1"/>
      <c r="F328" s="1" t="s">
        <v>1507</v>
      </c>
      <c r="G328" s="1"/>
      <c r="H328" s="1"/>
      <c r="I328" s="1"/>
      <c r="J328" s="1"/>
      <c r="K328" s="1"/>
      <c r="L328" s="1"/>
      <c r="M328" s="1"/>
      <c r="N328" s="1"/>
      <c r="O328" s="1"/>
      <c r="P328" s="1"/>
      <c r="Q328" s="1"/>
      <c r="R328" s="1">
        <v>1</v>
      </c>
      <c r="S328" s="1"/>
      <c r="T328" s="1" t="s">
        <v>1509</v>
      </c>
      <c r="U328" s="1" t="s">
        <v>1506</v>
      </c>
      <c r="V328" s="49">
        <v>512</v>
      </c>
      <c r="W328" s="49">
        <v>1</v>
      </c>
      <c r="X328" s="2">
        <v>52</v>
      </c>
    </row>
    <row r="329" spans="1:39" ht="13" x14ac:dyDescent="0.15">
      <c r="A329" s="1" t="s">
        <v>831</v>
      </c>
      <c r="B329" s="1" t="s">
        <v>832</v>
      </c>
      <c r="C329" s="4" t="s">
        <v>833</v>
      </c>
      <c r="D329" s="1" t="s">
        <v>14</v>
      </c>
      <c r="E329" s="1"/>
      <c r="F329" s="1" t="s">
        <v>1504</v>
      </c>
      <c r="G329" s="1"/>
      <c r="H329" s="1"/>
      <c r="I329" s="1"/>
      <c r="J329" s="1"/>
      <c r="K329" s="1"/>
      <c r="L329" s="1"/>
      <c r="M329" s="1"/>
      <c r="N329" s="1"/>
      <c r="O329" s="1"/>
      <c r="P329" s="1"/>
      <c r="Q329" s="1"/>
      <c r="R329" s="1">
        <v>1</v>
      </c>
      <c r="S329" s="1"/>
      <c r="T329" s="1" t="s">
        <v>1509</v>
      </c>
      <c r="U329" s="1" t="s">
        <v>1506</v>
      </c>
      <c r="V329" s="49">
        <v>961</v>
      </c>
      <c r="W329" s="49">
        <v>0</v>
      </c>
      <c r="X329" s="2">
        <v>55</v>
      </c>
    </row>
    <row r="330" spans="1:39" ht="13" x14ac:dyDescent="0.15">
      <c r="A330" s="1" t="s">
        <v>834</v>
      </c>
      <c r="B330" s="1" t="s">
        <v>835</v>
      </c>
      <c r="C330" s="4" t="s">
        <v>836</v>
      </c>
      <c r="D330" s="1" t="s">
        <v>14</v>
      </c>
      <c r="E330" s="1"/>
      <c r="F330" s="1" t="s">
        <v>1504</v>
      </c>
      <c r="G330" s="1"/>
      <c r="H330" s="1"/>
      <c r="I330" s="1"/>
      <c r="J330" s="1"/>
      <c r="K330" s="1"/>
      <c r="L330" s="1"/>
      <c r="M330" s="1"/>
      <c r="N330" s="1"/>
      <c r="O330" s="1"/>
      <c r="P330" s="1"/>
      <c r="Q330" s="1"/>
      <c r="R330" s="1">
        <v>1</v>
      </c>
      <c r="S330" s="1"/>
      <c r="T330" s="1" t="s">
        <v>1509</v>
      </c>
      <c r="U330" s="1" t="s">
        <v>1506</v>
      </c>
      <c r="V330" s="49">
        <v>799</v>
      </c>
      <c r="W330" s="49">
        <v>1</v>
      </c>
      <c r="X330" s="2">
        <v>53</v>
      </c>
    </row>
    <row r="331" spans="1:39" ht="13" x14ac:dyDescent="0.15">
      <c r="A331" s="1" t="s">
        <v>837</v>
      </c>
      <c r="B331" s="1" t="s">
        <v>838</v>
      </c>
      <c r="C331" s="4" t="s">
        <v>839</v>
      </c>
      <c r="D331" s="1" t="s">
        <v>14</v>
      </c>
      <c r="E331" s="1"/>
      <c r="F331" s="1" t="s">
        <v>1507</v>
      </c>
      <c r="G331" s="1"/>
      <c r="H331" s="1"/>
      <c r="I331" s="1"/>
      <c r="J331" s="1"/>
      <c r="K331" s="1"/>
      <c r="L331" s="1"/>
      <c r="M331" s="1"/>
      <c r="N331" s="1"/>
      <c r="O331" s="1"/>
      <c r="P331" s="1"/>
      <c r="Q331" s="1"/>
      <c r="R331" s="1">
        <v>1</v>
      </c>
      <c r="S331" s="1"/>
      <c r="T331" s="1" t="s">
        <v>1510</v>
      </c>
      <c r="U331" s="1" t="s">
        <v>1506</v>
      </c>
      <c r="V331" s="49">
        <v>86</v>
      </c>
      <c r="W331" s="49">
        <v>1</v>
      </c>
      <c r="X331" s="2">
        <v>78</v>
      </c>
    </row>
    <row r="332" spans="1:39" ht="13" x14ac:dyDescent="0.15">
      <c r="A332" s="1" t="s">
        <v>840</v>
      </c>
      <c r="B332" s="1" t="s">
        <v>841</v>
      </c>
      <c r="C332" s="4" t="s">
        <v>842</v>
      </c>
      <c r="D332" s="1" t="s">
        <v>14</v>
      </c>
      <c r="E332" s="1"/>
      <c r="F332" s="1" t="s">
        <v>1504</v>
      </c>
      <c r="G332" s="1"/>
      <c r="H332" s="1"/>
      <c r="I332" s="1"/>
      <c r="J332" s="1"/>
      <c r="K332" s="1"/>
      <c r="L332" s="1"/>
      <c r="M332" s="1"/>
      <c r="N332" s="1"/>
      <c r="O332" s="1"/>
      <c r="P332" s="1"/>
      <c r="Q332" s="1"/>
      <c r="R332" s="1">
        <v>1</v>
      </c>
      <c r="S332" s="1"/>
      <c r="T332" s="1" t="s">
        <v>1509</v>
      </c>
      <c r="U332" s="1" t="s">
        <v>1506</v>
      </c>
      <c r="V332" s="49">
        <v>361</v>
      </c>
      <c r="W332" s="49">
        <v>1</v>
      </c>
      <c r="X332" s="2">
        <v>76</v>
      </c>
    </row>
    <row r="333" spans="1:39" ht="13" x14ac:dyDescent="0.15">
      <c r="A333" s="1" t="s">
        <v>843</v>
      </c>
      <c r="B333" s="1" t="s">
        <v>844</v>
      </c>
      <c r="C333" s="4" t="s">
        <v>845</v>
      </c>
      <c r="D333" s="1" t="s">
        <v>14</v>
      </c>
      <c r="E333" s="1"/>
      <c r="F333" s="1" t="s">
        <v>1507</v>
      </c>
      <c r="G333" s="1"/>
      <c r="H333" s="1"/>
      <c r="I333" s="1"/>
      <c r="J333" s="1"/>
      <c r="K333" s="1"/>
      <c r="L333" s="1"/>
      <c r="M333" s="1"/>
      <c r="N333" s="1"/>
      <c r="O333" s="1"/>
      <c r="P333" s="1"/>
      <c r="Q333" s="1"/>
      <c r="R333" s="1">
        <v>0</v>
      </c>
      <c r="S333" s="1"/>
      <c r="T333" s="1" t="s">
        <v>1509</v>
      </c>
      <c r="U333" s="1" t="s">
        <v>1506</v>
      </c>
      <c r="V333" s="49">
        <v>446</v>
      </c>
      <c r="W333" s="49">
        <v>1</v>
      </c>
      <c r="X333" s="2">
        <v>61</v>
      </c>
    </row>
    <row r="334" spans="1:39" ht="13" x14ac:dyDescent="0.15">
      <c r="A334" s="1" t="s">
        <v>846</v>
      </c>
      <c r="B334" s="1" t="s">
        <v>847</v>
      </c>
      <c r="C334" s="4" t="s">
        <v>848</v>
      </c>
      <c r="D334" s="1" t="s">
        <v>14</v>
      </c>
      <c r="E334" s="1"/>
      <c r="F334" s="1" t="s">
        <v>1504</v>
      </c>
      <c r="G334" s="1"/>
      <c r="H334" s="1"/>
      <c r="I334" s="1"/>
      <c r="J334" s="1"/>
      <c r="K334" s="1"/>
      <c r="L334" s="1"/>
      <c r="M334" s="1"/>
      <c r="N334" s="1"/>
      <c r="O334" s="1"/>
      <c r="P334" s="1"/>
      <c r="Q334" s="1"/>
      <c r="R334" s="1">
        <v>0</v>
      </c>
      <c r="S334" s="1"/>
      <c r="T334" s="1" t="s">
        <v>1509</v>
      </c>
      <c r="U334" s="1" t="s">
        <v>1506</v>
      </c>
      <c r="V334" s="49">
        <v>150</v>
      </c>
      <c r="W334" s="49">
        <v>1</v>
      </c>
      <c r="X334" s="2">
        <v>72</v>
      </c>
    </row>
    <row r="335" spans="1:39" ht="13" x14ac:dyDescent="0.15">
      <c r="A335" s="1" t="s">
        <v>849</v>
      </c>
      <c r="B335" s="1" t="s">
        <v>850</v>
      </c>
      <c r="C335" s="4" t="s">
        <v>851</v>
      </c>
      <c r="D335" s="1" t="s">
        <v>14</v>
      </c>
      <c r="E335" s="1"/>
      <c r="F335" s="1" t="s">
        <v>1504</v>
      </c>
      <c r="G335" s="1"/>
      <c r="H335" s="1"/>
      <c r="I335" s="1"/>
      <c r="J335" s="1"/>
      <c r="K335" s="1"/>
      <c r="L335" s="1"/>
      <c r="M335" s="1"/>
      <c r="N335" s="1"/>
      <c r="O335" s="1"/>
      <c r="P335" s="1"/>
      <c r="Q335" s="1"/>
      <c r="R335" s="1">
        <v>0</v>
      </c>
      <c r="S335" s="1"/>
      <c r="T335" s="1" t="s">
        <v>1509</v>
      </c>
      <c r="U335" s="1" t="s">
        <v>1506</v>
      </c>
      <c r="V335" s="49">
        <v>1392</v>
      </c>
      <c r="W335" s="49">
        <v>0</v>
      </c>
      <c r="X335" s="2">
        <v>57</v>
      </c>
    </row>
    <row r="336" spans="1:39" ht="13" x14ac:dyDescent="0.15">
      <c r="A336" s="1" t="s">
        <v>852</v>
      </c>
      <c r="B336" s="1" t="s">
        <v>853</v>
      </c>
      <c r="C336" s="4" t="s">
        <v>854</v>
      </c>
      <c r="D336" s="1" t="s">
        <v>14</v>
      </c>
      <c r="E336" s="1"/>
      <c r="F336" s="1" t="s">
        <v>1504</v>
      </c>
      <c r="G336" s="1"/>
      <c r="H336" s="1"/>
      <c r="I336" s="1"/>
      <c r="J336" s="1"/>
      <c r="K336" s="1"/>
      <c r="L336" s="1"/>
      <c r="M336" s="1"/>
      <c r="N336" s="1"/>
      <c r="O336" s="1"/>
      <c r="P336" s="1"/>
      <c r="Q336" s="1"/>
      <c r="R336" s="1">
        <v>1</v>
      </c>
      <c r="S336" s="1"/>
      <c r="T336" s="1" t="s">
        <v>1509</v>
      </c>
      <c r="U336" s="1" t="s">
        <v>1506</v>
      </c>
      <c r="V336" s="49">
        <v>358</v>
      </c>
      <c r="W336" s="49">
        <v>0</v>
      </c>
      <c r="X336" s="2">
        <v>69</v>
      </c>
    </row>
    <row r="337" spans="1:24" ht="13" x14ac:dyDescent="0.15">
      <c r="A337" s="1" t="s">
        <v>855</v>
      </c>
      <c r="B337" s="1" t="s">
        <v>856</v>
      </c>
      <c r="C337" s="4" t="s">
        <v>857</v>
      </c>
      <c r="D337" s="1" t="s">
        <v>14</v>
      </c>
      <c r="E337" s="1"/>
      <c r="F337" s="1" t="s">
        <v>1504</v>
      </c>
      <c r="G337" s="1"/>
      <c r="H337" s="1"/>
      <c r="I337" s="1"/>
      <c r="J337" s="1"/>
      <c r="K337" s="1"/>
      <c r="L337" s="1"/>
      <c r="M337" s="1"/>
      <c r="N337" s="1"/>
      <c r="O337" s="1"/>
      <c r="P337" s="1"/>
      <c r="Q337" s="1"/>
      <c r="R337" s="1">
        <v>1</v>
      </c>
      <c r="S337" s="1"/>
      <c r="T337" s="1" t="s">
        <v>1509</v>
      </c>
      <c r="U337" s="1" t="s">
        <v>1506</v>
      </c>
      <c r="V337" s="49">
        <v>394</v>
      </c>
      <c r="W337" s="49">
        <v>1</v>
      </c>
      <c r="X337" s="2">
        <v>61</v>
      </c>
    </row>
    <row r="338" spans="1:24" ht="13" x14ac:dyDescent="0.15">
      <c r="A338" s="1" t="s">
        <v>858</v>
      </c>
      <c r="B338" s="1" t="s">
        <v>859</v>
      </c>
      <c r="C338" s="4" t="s">
        <v>860</v>
      </c>
      <c r="D338" s="1" t="s">
        <v>14</v>
      </c>
      <c r="E338" s="1"/>
      <c r="F338" s="1" t="s">
        <v>1507</v>
      </c>
      <c r="G338" s="1"/>
      <c r="H338" s="1"/>
      <c r="I338" s="1"/>
      <c r="J338" s="1"/>
      <c r="K338" s="1"/>
      <c r="L338" s="1"/>
      <c r="M338" s="1"/>
      <c r="N338" s="1"/>
      <c r="O338" s="1"/>
      <c r="P338" s="1"/>
      <c r="Q338" s="1"/>
      <c r="R338" s="1">
        <v>1</v>
      </c>
      <c r="S338" s="1"/>
      <c r="T338" s="1" t="s">
        <v>1509</v>
      </c>
      <c r="U338" s="1" t="s">
        <v>1506</v>
      </c>
      <c r="V338" s="49">
        <v>115</v>
      </c>
      <c r="W338" s="49">
        <v>1</v>
      </c>
      <c r="X338" s="2">
        <v>61</v>
      </c>
    </row>
    <row r="339" spans="1:24" ht="13" x14ac:dyDescent="0.15">
      <c r="A339" s="1" t="s">
        <v>861</v>
      </c>
      <c r="B339" s="1" t="s">
        <v>862</v>
      </c>
      <c r="C339" s="4" t="s">
        <v>863</v>
      </c>
      <c r="D339" s="1" t="s">
        <v>14</v>
      </c>
      <c r="E339" s="1"/>
      <c r="F339" s="1" t="s">
        <v>1504</v>
      </c>
      <c r="G339" s="1"/>
      <c r="H339" s="1"/>
      <c r="I339" s="1"/>
      <c r="J339" s="1"/>
      <c r="K339" s="1"/>
      <c r="L339" s="1"/>
      <c r="M339" s="1"/>
      <c r="N339" s="1"/>
      <c r="O339" s="1"/>
      <c r="P339" s="1"/>
      <c r="Q339" s="1"/>
      <c r="R339" s="1">
        <v>1</v>
      </c>
      <c r="S339" s="1"/>
      <c r="T339" s="1" t="s">
        <v>1505</v>
      </c>
      <c r="U339" s="1" t="s">
        <v>1506</v>
      </c>
      <c r="V339" s="49">
        <v>288</v>
      </c>
      <c r="W339" s="49">
        <v>0</v>
      </c>
      <c r="X339" s="2">
        <v>67</v>
      </c>
    </row>
    <row r="340" spans="1:24" ht="13" x14ac:dyDescent="0.15">
      <c r="A340" s="1" t="s">
        <v>864</v>
      </c>
      <c r="B340" s="1" t="s">
        <v>865</v>
      </c>
      <c r="C340" s="4" t="s">
        <v>866</v>
      </c>
      <c r="D340" s="1" t="s">
        <v>14</v>
      </c>
      <c r="E340" s="1"/>
      <c r="F340" s="1" t="s">
        <v>1507</v>
      </c>
      <c r="G340" s="1"/>
      <c r="H340" s="1"/>
      <c r="I340" s="1"/>
      <c r="J340" s="1"/>
      <c r="K340" s="1"/>
      <c r="L340" s="1"/>
      <c r="M340" s="1"/>
      <c r="N340" s="1"/>
      <c r="O340" s="1"/>
      <c r="P340" s="1"/>
      <c r="Q340" s="1"/>
      <c r="R340" s="1">
        <v>1</v>
      </c>
      <c r="S340" s="1"/>
      <c r="T340" s="1" t="s">
        <v>1509</v>
      </c>
      <c r="U340" s="1" t="s">
        <v>1683</v>
      </c>
      <c r="V340" s="49">
        <v>1035</v>
      </c>
      <c r="W340" s="49">
        <v>0</v>
      </c>
      <c r="X340" s="2">
        <v>27</v>
      </c>
    </row>
    <row r="341" spans="1:24" ht="13" x14ac:dyDescent="0.15">
      <c r="A341" s="1" t="s">
        <v>867</v>
      </c>
      <c r="B341" s="1" t="s">
        <v>868</v>
      </c>
      <c r="C341" s="4" t="s">
        <v>869</v>
      </c>
      <c r="D341" s="1" t="s">
        <v>14</v>
      </c>
      <c r="E341" s="1"/>
      <c r="F341" s="1" t="s">
        <v>1507</v>
      </c>
      <c r="G341" s="1"/>
      <c r="H341" s="1"/>
      <c r="I341" s="1"/>
      <c r="J341" s="1"/>
      <c r="K341" s="1"/>
      <c r="L341" s="1"/>
      <c r="M341" s="1"/>
      <c r="N341" s="1"/>
      <c r="O341" s="1"/>
      <c r="P341" s="1"/>
      <c r="Q341" s="1"/>
      <c r="R341" s="1">
        <v>1</v>
      </c>
      <c r="S341" s="1"/>
      <c r="T341" s="1" t="s">
        <v>1509</v>
      </c>
      <c r="U341" s="1" t="s">
        <v>1506</v>
      </c>
      <c r="V341" s="49">
        <v>902</v>
      </c>
      <c r="W341" s="49">
        <v>0</v>
      </c>
      <c r="X341" s="2">
        <v>60</v>
      </c>
    </row>
    <row r="342" spans="1:24" ht="13" x14ac:dyDescent="0.15">
      <c r="A342" s="1" t="s">
        <v>870</v>
      </c>
      <c r="B342" s="1" t="s">
        <v>871</v>
      </c>
      <c r="C342" s="4" t="s">
        <v>872</v>
      </c>
      <c r="D342" s="1" t="s">
        <v>14</v>
      </c>
      <c r="E342" s="1"/>
      <c r="F342" s="1" t="s">
        <v>1504</v>
      </c>
      <c r="G342" s="1"/>
      <c r="H342" s="1"/>
      <c r="I342" s="1"/>
      <c r="J342" s="1"/>
      <c r="K342" s="1"/>
      <c r="L342" s="1"/>
      <c r="M342" s="1"/>
      <c r="N342" s="1"/>
      <c r="O342" s="1"/>
      <c r="P342" s="1"/>
      <c r="Q342" s="1"/>
      <c r="R342" s="1">
        <v>1</v>
      </c>
      <c r="S342" s="1"/>
      <c r="T342" s="1" t="s">
        <v>1509</v>
      </c>
      <c r="U342" s="1" t="s">
        <v>1506</v>
      </c>
      <c r="V342" s="49">
        <v>1308</v>
      </c>
      <c r="W342" s="49">
        <v>1</v>
      </c>
      <c r="X342" s="2">
        <v>51</v>
      </c>
    </row>
    <row r="343" spans="1:24" ht="13" x14ac:dyDescent="0.15">
      <c r="A343" s="1" t="s">
        <v>873</v>
      </c>
      <c r="B343" s="1" t="s">
        <v>874</v>
      </c>
      <c r="C343" s="4" t="s">
        <v>875</v>
      </c>
      <c r="D343" s="1" t="s">
        <v>14</v>
      </c>
      <c r="E343" s="1"/>
      <c r="F343" s="1" t="s">
        <v>1507</v>
      </c>
      <c r="G343" s="1"/>
      <c r="H343" s="1"/>
      <c r="I343" s="1"/>
      <c r="J343" s="1"/>
      <c r="K343" s="1"/>
      <c r="L343" s="1"/>
      <c r="M343" s="1"/>
      <c r="N343" s="1"/>
      <c r="O343" s="1"/>
      <c r="P343" s="1"/>
      <c r="Q343" s="1"/>
      <c r="R343" s="1">
        <v>0</v>
      </c>
      <c r="S343" s="1"/>
      <c r="T343" s="1" t="s">
        <v>1509</v>
      </c>
      <c r="U343" s="1" t="s">
        <v>1506</v>
      </c>
      <c r="V343" s="49">
        <v>611</v>
      </c>
      <c r="W343" s="49">
        <v>1</v>
      </c>
      <c r="X343" s="2">
        <v>66</v>
      </c>
    </row>
    <row r="344" spans="1:24" ht="13" x14ac:dyDescent="0.15">
      <c r="A344" s="1" t="s">
        <v>876</v>
      </c>
      <c r="B344" s="1" t="s">
        <v>877</v>
      </c>
      <c r="C344" s="4" t="s">
        <v>878</v>
      </c>
      <c r="D344" s="1" t="s">
        <v>14</v>
      </c>
      <c r="E344" s="1"/>
      <c r="F344" s="1" t="s">
        <v>1504</v>
      </c>
      <c r="G344" s="1"/>
      <c r="H344" s="1"/>
      <c r="I344" s="1"/>
      <c r="J344" s="1"/>
      <c r="K344" s="1"/>
      <c r="L344" s="1"/>
      <c r="M344" s="1"/>
      <c r="N344" s="1"/>
      <c r="O344" s="1"/>
      <c r="P344" s="1"/>
      <c r="Q344" s="1"/>
      <c r="R344" s="1">
        <v>0</v>
      </c>
      <c r="S344" s="1"/>
      <c r="T344" s="1" t="s">
        <v>1505</v>
      </c>
      <c r="U344" s="1" t="s">
        <v>1506</v>
      </c>
      <c r="V344" s="49">
        <v>304</v>
      </c>
      <c r="W344" s="49">
        <v>0</v>
      </c>
      <c r="X344" s="2">
        <v>58</v>
      </c>
    </row>
    <row r="345" spans="1:24" ht="13" x14ac:dyDescent="0.15">
      <c r="A345" s="1" t="s">
        <v>879</v>
      </c>
      <c r="B345" s="1" t="s">
        <v>880</v>
      </c>
      <c r="C345" s="4" t="s">
        <v>881</v>
      </c>
      <c r="D345" s="1" t="s">
        <v>14</v>
      </c>
      <c r="E345" s="1"/>
      <c r="F345" s="1" t="s">
        <v>1504</v>
      </c>
      <c r="G345" s="1"/>
      <c r="H345" s="1"/>
      <c r="I345" s="1"/>
      <c r="J345" s="1"/>
      <c r="K345" s="1"/>
      <c r="L345" s="1"/>
      <c r="M345" s="1"/>
      <c r="N345" s="1"/>
      <c r="O345" s="1"/>
      <c r="P345" s="1"/>
      <c r="Q345" s="1"/>
      <c r="R345" s="1">
        <v>1</v>
      </c>
      <c r="S345" s="1"/>
      <c r="T345" s="1" t="s">
        <v>1505</v>
      </c>
      <c r="U345" s="1" t="s">
        <v>1506</v>
      </c>
      <c r="V345" s="49">
        <v>645</v>
      </c>
      <c r="W345" s="49">
        <v>0</v>
      </c>
      <c r="X345" s="2">
        <v>60</v>
      </c>
    </row>
    <row r="346" spans="1:24" ht="13" x14ac:dyDescent="0.15">
      <c r="A346" s="1" t="s">
        <v>882</v>
      </c>
      <c r="B346" s="1" t="s">
        <v>883</v>
      </c>
      <c r="C346" s="4" t="s">
        <v>884</v>
      </c>
      <c r="D346" s="1" t="s">
        <v>14</v>
      </c>
      <c r="E346" s="1"/>
      <c r="F346" s="1" t="s">
        <v>1507</v>
      </c>
      <c r="G346" s="1"/>
      <c r="H346" s="1"/>
      <c r="I346" s="1"/>
      <c r="J346" s="1"/>
      <c r="K346" s="1"/>
      <c r="L346" s="1"/>
      <c r="M346" s="1"/>
      <c r="N346" s="1"/>
      <c r="O346" s="1"/>
      <c r="P346" s="1"/>
      <c r="Q346" s="1"/>
      <c r="R346" s="1">
        <v>0</v>
      </c>
      <c r="S346" s="1"/>
      <c r="T346" s="1" t="s">
        <v>1505</v>
      </c>
      <c r="U346" s="1" t="s">
        <v>1506</v>
      </c>
      <c r="V346" s="49">
        <v>676</v>
      </c>
      <c r="W346" s="49">
        <v>1</v>
      </c>
      <c r="X346" s="2">
        <v>77</v>
      </c>
    </row>
    <row r="347" spans="1:24" ht="13" x14ac:dyDescent="0.15">
      <c r="A347" s="1" t="s">
        <v>885</v>
      </c>
      <c r="B347" s="1" t="s">
        <v>886</v>
      </c>
      <c r="C347" s="4" t="s">
        <v>887</v>
      </c>
      <c r="D347" s="1" t="s">
        <v>14</v>
      </c>
      <c r="E347" s="1"/>
      <c r="F347" s="1" t="s">
        <v>1504</v>
      </c>
      <c r="G347" s="1"/>
      <c r="H347" s="1"/>
      <c r="I347" s="1"/>
      <c r="J347" s="1"/>
      <c r="K347" s="1"/>
      <c r="L347" s="1"/>
      <c r="M347" s="1"/>
      <c r="N347" s="1"/>
      <c r="O347" s="1"/>
      <c r="P347" s="1"/>
      <c r="Q347" s="1"/>
      <c r="R347" s="1">
        <v>1</v>
      </c>
      <c r="S347" s="1"/>
      <c r="T347" s="1" t="s">
        <v>1505</v>
      </c>
      <c r="U347" s="1" t="s">
        <v>1506</v>
      </c>
      <c r="V347" s="49">
        <v>329</v>
      </c>
      <c r="W347" s="49">
        <v>1</v>
      </c>
      <c r="X347" s="2">
        <v>46</v>
      </c>
    </row>
    <row r="348" spans="1:24" ht="13" x14ac:dyDescent="0.15">
      <c r="A348" s="1" t="s">
        <v>888</v>
      </c>
      <c r="B348" s="1" t="s">
        <v>889</v>
      </c>
      <c r="C348" s="4" t="s">
        <v>890</v>
      </c>
      <c r="D348" s="1" t="s">
        <v>14</v>
      </c>
      <c r="E348" s="1"/>
      <c r="F348" s="1" t="s">
        <v>1507</v>
      </c>
      <c r="G348" s="1"/>
      <c r="H348" s="1"/>
      <c r="I348" s="1"/>
      <c r="J348" s="1"/>
      <c r="K348" s="1"/>
      <c r="L348" s="1"/>
      <c r="M348" s="1"/>
      <c r="N348" s="1"/>
      <c r="O348" s="1"/>
      <c r="P348" s="1"/>
      <c r="Q348" s="1"/>
      <c r="R348" s="1">
        <v>0</v>
      </c>
      <c r="S348" s="1"/>
      <c r="T348" s="1" t="s">
        <v>1510</v>
      </c>
      <c r="U348" s="1" t="s">
        <v>1506</v>
      </c>
      <c r="V348" s="49">
        <v>48</v>
      </c>
      <c r="W348" s="49">
        <v>1</v>
      </c>
      <c r="X348" s="2">
        <v>86</v>
      </c>
    </row>
    <row r="349" spans="1:24" ht="13" x14ac:dyDescent="0.15">
      <c r="A349" s="1" t="s">
        <v>891</v>
      </c>
      <c r="B349" s="1" t="s">
        <v>892</v>
      </c>
      <c r="C349" s="4" t="s">
        <v>893</v>
      </c>
      <c r="D349" s="1" t="s">
        <v>14</v>
      </c>
      <c r="E349" s="1"/>
      <c r="F349" s="1" t="s">
        <v>1507</v>
      </c>
      <c r="G349" s="1"/>
      <c r="H349" s="1"/>
      <c r="I349" s="1"/>
      <c r="J349" s="1"/>
      <c r="K349" s="1"/>
      <c r="L349" s="1"/>
      <c r="M349" s="1"/>
      <c r="N349" s="1"/>
      <c r="O349" s="1"/>
      <c r="P349" s="1"/>
      <c r="Q349" s="1"/>
      <c r="R349" s="1">
        <v>1</v>
      </c>
      <c r="S349" s="1"/>
      <c r="T349" s="1" t="s">
        <v>1509</v>
      </c>
      <c r="U349" s="1" t="s">
        <v>1506</v>
      </c>
      <c r="V349" s="49">
        <v>130</v>
      </c>
      <c r="W349" s="49">
        <v>1</v>
      </c>
      <c r="X349" s="2">
        <v>83</v>
      </c>
    </row>
    <row r="350" spans="1:24" ht="13" x14ac:dyDescent="0.15">
      <c r="A350" s="1" t="s">
        <v>894</v>
      </c>
      <c r="B350" s="1" t="s">
        <v>895</v>
      </c>
      <c r="C350" s="4" t="s">
        <v>896</v>
      </c>
      <c r="D350" s="1" t="s">
        <v>14</v>
      </c>
      <c r="E350" s="1"/>
      <c r="F350" s="1" t="s">
        <v>1504</v>
      </c>
      <c r="G350" s="1"/>
      <c r="H350" s="1"/>
      <c r="I350" s="1"/>
      <c r="J350" s="1"/>
      <c r="K350" s="1"/>
      <c r="L350" s="1"/>
      <c r="M350" s="1"/>
      <c r="N350" s="1"/>
      <c r="O350" s="1"/>
      <c r="P350" s="1"/>
      <c r="Q350" s="1"/>
      <c r="R350" s="1">
        <v>1</v>
      </c>
      <c r="S350" s="1"/>
      <c r="T350" s="1" t="s">
        <v>1509</v>
      </c>
      <c r="U350" s="1" t="s">
        <v>1506</v>
      </c>
      <c r="V350" s="49">
        <v>919</v>
      </c>
      <c r="W350" s="49">
        <v>1</v>
      </c>
      <c r="X350" s="2">
        <v>48</v>
      </c>
    </row>
    <row r="351" spans="1:24" ht="13" x14ac:dyDescent="0.15">
      <c r="A351" s="1" t="s">
        <v>897</v>
      </c>
      <c r="B351" s="1" t="s">
        <v>898</v>
      </c>
      <c r="C351" s="4" t="s">
        <v>899</v>
      </c>
      <c r="D351" s="1" t="s">
        <v>14</v>
      </c>
      <c r="E351" s="1"/>
      <c r="F351" s="1" t="s">
        <v>1504</v>
      </c>
      <c r="G351" s="1"/>
      <c r="H351" s="1"/>
      <c r="I351" s="1"/>
      <c r="J351" s="1"/>
      <c r="K351" s="1"/>
      <c r="L351" s="1"/>
      <c r="M351" s="1"/>
      <c r="N351" s="1"/>
      <c r="O351" s="1"/>
      <c r="P351" s="1"/>
      <c r="Q351" s="1"/>
      <c r="R351" s="1">
        <v>0</v>
      </c>
      <c r="S351" s="1"/>
      <c r="T351" s="1" t="s">
        <v>1509</v>
      </c>
      <c r="U351" s="1" t="s">
        <v>1506</v>
      </c>
      <c r="V351" s="49">
        <v>633</v>
      </c>
      <c r="W351" s="49">
        <v>1</v>
      </c>
      <c r="X351" s="2">
        <v>48</v>
      </c>
    </row>
    <row r="352" spans="1:24" ht="13" x14ac:dyDescent="0.15">
      <c r="A352" s="1" t="s">
        <v>900</v>
      </c>
      <c r="B352" s="1" t="s">
        <v>901</v>
      </c>
      <c r="C352" s="4" t="s">
        <v>902</v>
      </c>
      <c r="D352" s="1" t="s">
        <v>14</v>
      </c>
      <c r="E352" s="1"/>
      <c r="F352" s="1" t="s">
        <v>1504</v>
      </c>
      <c r="G352" s="1"/>
      <c r="H352" s="1"/>
      <c r="I352" s="1"/>
      <c r="J352" s="1"/>
      <c r="K352" s="1"/>
      <c r="L352" s="1"/>
      <c r="M352" s="1"/>
      <c r="N352" s="1"/>
      <c r="O352" s="1"/>
      <c r="P352" s="1"/>
      <c r="Q352" s="1"/>
      <c r="R352" s="1">
        <v>0</v>
      </c>
      <c r="S352" s="1"/>
      <c r="T352" s="1" t="s">
        <v>1509</v>
      </c>
      <c r="U352" s="1" t="s">
        <v>1506</v>
      </c>
      <c r="V352" s="49">
        <v>920</v>
      </c>
      <c r="W352" s="49">
        <v>1</v>
      </c>
      <c r="X352" s="2">
        <v>58</v>
      </c>
    </row>
    <row r="353" spans="1:24" ht="13" x14ac:dyDescent="0.15">
      <c r="A353" s="1" t="s">
        <v>903</v>
      </c>
      <c r="B353" s="1" t="s">
        <v>904</v>
      </c>
      <c r="C353" s="4" t="s">
        <v>905</v>
      </c>
      <c r="D353" s="1" t="s">
        <v>14</v>
      </c>
      <c r="E353" s="1"/>
      <c r="F353" s="1" t="s">
        <v>1507</v>
      </c>
      <c r="G353" s="1"/>
      <c r="H353" s="1"/>
      <c r="I353" s="1"/>
      <c r="J353" s="1"/>
      <c r="K353" s="1"/>
      <c r="L353" s="1"/>
      <c r="M353" s="1"/>
      <c r="N353" s="1"/>
      <c r="O353" s="1"/>
      <c r="P353" s="1"/>
      <c r="Q353" s="1"/>
      <c r="R353" s="1">
        <v>1</v>
      </c>
      <c r="S353" s="1"/>
      <c r="T353" s="1" t="s">
        <v>1509</v>
      </c>
      <c r="U353" s="1" t="s">
        <v>1506</v>
      </c>
      <c r="V353" s="49">
        <v>545</v>
      </c>
      <c r="W353" s="49">
        <v>1</v>
      </c>
      <c r="X353" s="2">
        <v>59</v>
      </c>
    </row>
    <row r="354" spans="1:24" ht="13" x14ac:dyDescent="0.15">
      <c r="A354" s="1" t="s">
        <v>906</v>
      </c>
      <c r="B354" s="1" t="s">
        <v>907</v>
      </c>
      <c r="C354" s="4" t="s">
        <v>908</v>
      </c>
      <c r="D354" s="1" t="s">
        <v>14</v>
      </c>
      <c r="E354" s="1"/>
      <c r="F354" s="1" t="s">
        <v>1507</v>
      </c>
      <c r="G354" s="1"/>
      <c r="H354" s="1"/>
      <c r="I354" s="1"/>
      <c r="J354" s="1"/>
      <c r="K354" s="1"/>
      <c r="L354" s="1"/>
      <c r="M354" s="1"/>
      <c r="N354" s="1"/>
      <c r="O354" s="1"/>
      <c r="P354" s="1"/>
      <c r="Q354" s="1"/>
      <c r="R354" s="1">
        <v>1</v>
      </c>
      <c r="S354" s="1"/>
      <c r="T354" s="1" t="s">
        <v>1505</v>
      </c>
      <c r="U354" s="1" t="s">
        <v>1684</v>
      </c>
      <c r="V354" s="49">
        <v>698</v>
      </c>
      <c r="W354" s="49">
        <v>0</v>
      </c>
      <c r="X354" s="2">
        <v>39</v>
      </c>
    </row>
    <row r="355" spans="1:24" ht="13" x14ac:dyDescent="0.15">
      <c r="A355" s="1" t="s">
        <v>909</v>
      </c>
      <c r="B355" s="1" t="s">
        <v>910</v>
      </c>
      <c r="C355" s="4" t="s">
        <v>911</v>
      </c>
      <c r="D355" s="1" t="s">
        <v>14</v>
      </c>
      <c r="E355" s="1"/>
      <c r="F355" s="1" t="s">
        <v>1507</v>
      </c>
      <c r="G355" s="1"/>
      <c r="H355" s="1"/>
      <c r="I355" s="1"/>
      <c r="J355" s="1"/>
      <c r="K355" s="1"/>
      <c r="L355" s="1"/>
      <c r="M355" s="1"/>
      <c r="N355" s="1"/>
      <c r="O355" s="1"/>
      <c r="P355" s="1"/>
      <c r="Q355" s="1"/>
      <c r="R355" s="1">
        <v>1</v>
      </c>
      <c r="S355" s="1"/>
      <c r="T355" s="1" t="s">
        <v>1509</v>
      </c>
      <c r="U355" s="1" t="s">
        <v>1506</v>
      </c>
      <c r="V355" s="49">
        <v>1163</v>
      </c>
      <c r="W355" s="49">
        <v>0</v>
      </c>
      <c r="X355" s="2">
        <v>76</v>
      </c>
    </row>
    <row r="356" spans="1:24" ht="13" x14ac:dyDescent="0.15">
      <c r="A356" s="1" t="s">
        <v>912</v>
      </c>
      <c r="B356" s="1" t="s">
        <v>913</v>
      </c>
      <c r="C356" s="4" t="s">
        <v>914</v>
      </c>
      <c r="D356" s="1" t="s">
        <v>14</v>
      </c>
      <c r="E356" s="1"/>
      <c r="F356" s="1" t="s">
        <v>1504</v>
      </c>
      <c r="G356" s="1"/>
      <c r="H356" s="1"/>
      <c r="I356" s="1"/>
      <c r="J356" s="1"/>
      <c r="K356" s="1"/>
      <c r="L356" s="1"/>
      <c r="M356" s="1"/>
      <c r="N356" s="1"/>
      <c r="O356" s="1"/>
      <c r="P356" s="1"/>
      <c r="Q356" s="1"/>
      <c r="R356" s="1">
        <v>1</v>
      </c>
      <c r="S356" s="1"/>
      <c r="T356" s="1" t="s">
        <v>1505</v>
      </c>
      <c r="U356" s="1" t="s">
        <v>1683</v>
      </c>
      <c r="V356" s="49">
        <v>1139</v>
      </c>
      <c r="W356" s="49">
        <v>0</v>
      </c>
      <c r="X356" s="2">
        <v>29</v>
      </c>
    </row>
    <row r="357" spans="1:24" ht="13" x14ac:dyDescent="0.15">
      <c r="A357" s="1" t="s">
        <v>915</v>
      </c>
      <c r="B357" s="1" t="s">
        <v>916</v>
      </c>
      <c r="C357" s="4" t="s">
        <v>917</v>
      </c>
      <c r="D357" s="1" t="s">
        <v>14</v>
      </c>
      <c r="E357" s="1"/>
      <c r="F357" s="1" t="s">
        <v>1504</v>
      </c>
      <c r="G357" s="1"/>
      <c r="H357" s="1"/>
      <c r="I357" s="1"/>
      <c r="J357" s="1"/>
      <c r="K357" s="1"/>
      <c r="L357" s="1"/>
      <c r="M357" s="1"/>
      <c r="N357" s="1"/>
      <c r="O357" s="1"/>
      <c r="P357" s="1"/>
      <c r="Q357" s="1"/>
      <c r="R357" s="1">
        <v>1</v>
      </c>
      <c r="S357" s="1"/>
      <c r="T357" s="1" t="s">
        <v>1509</v>
      </c>
      <c r="U357" s="1" t="s">
        <v>1506</v>
      </c>
      <c r="V357" s="49">
        <v>1142</v>
      </c>
      <c r="W357" s="49">
        <v>0</v>
      </c>
      <c r="X357" s="2">
        <v>35</v>
      </c>
    </row>
    <row r="358" spans="1:24" ht="13" x14ac:dyDescent="0.15">
      <c r="A358" s="1" t="s">
        <v>918</v>
      </c>
      <c r="B358" s="1" t="s">
        <v>919</v>
      </c>
      <c r="C358" s="4" t="s">
        <v>920</v>
      </c>
      <c r="D358" s="1" t="s">
        <v>14</v>
      </c>
      <c r="E358" s="1"/>
      <c r="F358" s="1" t="s">
        <v>1504</v>
      </c>
      <c r="G358" s="1"/>
      <c r="H358" s="1"/>
      <c r="I358" s="1"/>
      <c r="J358" s="1"/>
      <c r="K358" s="1"/>
      <c r="L358" s="1"/>
      <c r="M358" s="1"/>
      <c r="N358" s="1"/>
      <c r="O358" s="1"/>
      <c r="P358" s="1"/>
      <c r="Q358" s="1"/>
      <c r="R358" s="1">
        <v>1</v>
      </c>
      <c r="S358" s="1"/>
      <c r="T358" s="1" t="s">
        <v>1505</v>
      </c>
      <c r="U358" s="1" t="s">
        <v>1684</v>
      </c>
      <c r="V358" s="49">
        <v>376</v>
      </c>
      <c r="W358" s="49">
        <v>1</v>
      </c>
      <c r="X358" s="2">
        <v>26</v>
      </c>
    </row>
    <row r="359" spans="1:24" ht="13" x14ac:dyDescent="0.15">
      <c r="A359" s="1" t="s">
        <v>921</v>
      </c>
      <c r="B359" s="1" t="s">
        <v>922</v>
      </c>
      <c r="C359" s="4" t="s">
        <v>923</v>
      </c>
      <c r="D359" s="1" t="s">
        <v>14</v>
      </c>
      <c r="E359" s="1"/>
      <c r="F359" s="1" t="s">
        <v>1504</v>
      </c>
      <c r="G359" s="1"/>
      <c r="H359" s="1"/>
      <c r="I359" s="1"/>
      <c r="J359" s="1"/>
      <c r="K359" s="1"/>
      <c r="L359" s="1"/>
      <c r="M359" s="1"/>
      <c r="N359" s="1"/>
      <c r="O359" s="1"/>
      <c r="P359" s="1"/>
      <c r="Q359" s="1"/>
      <c r="R359" s="1">
        <v>1</v>
      </c>
      <c r="S359" s="1"/>
      <c r="T359" s="1" t="s">
        <v>1509</v>
      </c>
      <c r="U359" s="1" t="s">
        <v>1506</v>
      </c>
      <c r="V359" s="49">
        <v>1440</v>
      </c>
      <c r="W359" s="49">
        <v>0</v>
      </c>
      <c r="X359" s="2">
        <v>60</v>
      </c>
    </row>
    <row r="360" spans="1:24" ht="13" x14ac:dyDescent="0.15">
      <c r="A360" s="1" t="s">
        <v>924</v>
      </c>
      <c r="B360" s="1" t="s">
        <v>925</v>
      </c>
      <c r="C360" s="4" t="s">
        <v>926</v>
      </c>
      <c r="D360" s="1" t="s">
        <v>14</v>
      </c>
      <c r="E360" s="1"/>
      <c r="F360" s="1" t="s">
        <v>1504</v>
      </c>
      <c r="G360" s="1"/>
      <c r="H360" s="1"/>
      <c r="I360" s="1"/>
      <c r="J360" s="1"/>
      <c r="K360" s="1"/>
      <c r="L360" s="1"/>
      <c r="M360" s="1"/>
      <c r="N360" s="1"/>
      <c r="O360" s="1"/>
      <c r="P360" s="1"/>
      <c r="Q360" s="1"/>
      <c r="R360" s="1">
        <v>0</v>
      </c>
      <c r="S360" s="1"/>
      <c r="T360" s="1" t="s">
        <v>1505</v>
      </c>
      <c r="U360" s="1" t="s">
        <v>1684</v>
      </c>
      <c r="V360" s="49">
        <v>1299</v>
      </c>
      <c r="W360" s="49">
        <v>0</v>
      </c>
      <c r="X360" s="2">
        <v>17</v>
      </c>
    </row>
    <row r="361" spans="1:24" ht="13" x14ac:dyDescent="0.15">
      <c r="A361" s="1" t="s">
        <v>927</v>
      </c>
      <c r="B361" s="1" t="s">
        <v>928</v>
      </c>
      <c r="C361" s="4" t="s">
        <v>929</v>
      </c>
      <c r="D361" s="1" t="s">
        <v>14</v>
      </c>
      <c r="E361" s="1"/>
      <c r="F361" s="1" t="s">
        <v>1504</v>
      </c>
      <c r="G361" s="1"/>
      <c r="H361" s="1"/>
      <c r="I361" s="1"/>
      <c r="J361" s="1"/>
      <c r="K361" s="1"/>
      <c r="L361" s="1"/>
      <c r="M361" s="1"/>
      <c r="N361" s="1"/>
      <c r="O361" s="1"/>
      <c r="P361" s="1"/>
      <c r="Q361" s="1"/>
      <c r="R361" s="1">
        <v>1</v>
      </c>
      <c r="S361" s="1"/>
      <c r="T361" s="1" t="s">
        <v>1505</v>
      </c>
      <c r="U361" s="1" t="s">
        <v>1684</v>
      </c>
      <c r="V361" s="49">
        <v>482</v>
      </c>
      <c r="W361" s="49">
        <v>1</v>
      </c>
      <c r="X361" s="2">
        <v>58</v>
      </c>
    </row>
    <row r="362" spans="1:24" ht="13" x14ac:dyDescent="0.15">
      <c r="A362" s="1" t="s">
        <v>930</v>
      </c>
      <c r="B362" s="1" t="s">
        <v>931</v>
      </c>
      <c r="C362" s="4" t="s">
        <v>932</v>
      </c>
      <c r="D362" s="1" t="s">
        <v>14</v>
      </c>
      <c r="E362" s="1"/>
      <c r="F362" s="1" t="s">
        <v>1504</v>
      </c>
      <c r="G362" s="1"/>
      <c r="H362" s="1"/>
      <c r="I362" s="1"/>
      <c r="J362" s="1"/>
      <c r="K362" s="1"/>
      <c r="L362" s="1"/>
      <c r="M362" s="1"/>
      <c r="N362" s="1"/>
      <c r="O362" s="1"/>
      <c r="P362" s="1"/>
      <c r="Q362" s="1"/>
      <c r="R362" s="1">
        <v>0</v>
      </c>
      <c r="S362" s="1"/>
      <c r="T362" s="1" t="s">
        <v>1509</v>
      </c>
      <c r="U362" s="1" t="s">
        <v>1506</v>
      </c>
      <c r="V362" s="49">
        <v>418</v>
      </c>
      <c r="W362" s="49">
        <v>1</v>
      </c>
      <c r="X362" s="2">
        <v>49</v>
      </c>
    </row>
    <row r="363" spans="1:24" ht="13" x14ac:dyDescent="0.15">
      <c r="A363" s="1" t="s">
        <v>933</v>
      </c>
      <c r="B363" s="1" t="s">
        <v>934</v>
      </c>
      <c r="C363" s="4" t="s">
        <v>935</v>
      </c>
      <c r="D363" s="1" t="s">
        <v>14</v>
      </c>
      <c r="E363" s="1"/>
      <c r="F363" s="1" t="s">
        <v>1504</v>
      </c>
      <c r="G363" s="1"/>
      <c r="H363" s="1"/>
      <c r="I363" s="1"/>
      <c r="J363" s="1"/>
      <c r="K363" s="1"/>
      <c r="L363" s="1"/>
      <c r="M363" s="1"/>
      <c r="N363" s="1"/>
      <c r="O363" s="1"/>
      <c r="P363" s="1"/>
      <c r="Q363" s="1"/>
      <c r="R363" s="1">
        <v>1</v>
      </c>
      <c r="S363" s="1"/>
      <c r="T363" s="1" t="s">
        <v>1510</v>
      </c>
      <c r="U363" s="1" t="s">
        <v>1506</v>
      </c>
      <c r="V363" s="49">
        <v>418</v>
      </c>
      <c r="W363" s="49">
        <v>1</v>
      </c>
      <c r="X363" s="2">
        <v>42</v>
      </c>
    </row>
    <row r="364" spans="1:24" ht="13" x14ac:dyDescent="0.15">
      <c r="A364" s="1" t="s">
        <v>936</v>
      </c>
      <c r="B364" s="1" t="s">
        <v>937</v>
      </c>
      <c r="C364" s="4" t="s">
        <v>938</v>
      </c>
      <c r="D364" s="1" t="s">
        <v>14</v>
      </c>
      <c r="E364" s="1"/>
      <c r="F364" s="1" t="s">
        <v>1504</v>
      </c>
      <c r="G364" s="1"/>
      <c r="H364" s="1"/>
      <c r="I364" s="1"/>
      <c r="J364" s="1"/>
      <c r="K364" s="1"/>
      <c r="L364" s="1"/>
      <c r="M364" s="1"/>
      <c r="N364" s="1"/>
      <c r="O364" s="1"/>
      <c r="P364" s="1"/>
      <c r="Q364" s="1"/>
      <c r="R364" s="1">
        <v>0</v>
      </c>
      <c r="S364" s="1"/>
      <c r="T364" s="1" t="s">
        <v>1505</v>
      </c>
      <c r="U364" s="1" t="s">
        <v>1506</v>
      </c>
      <c r="V364" s="49">
        <v>1084</v>
      </c>
      <c r="W364" s="49">
        <v>1</v>
      </c>
      <c r="X364" s="2">
        <v>36</v>
      </c>
    </row>
    <row r="365" spans="1:24" ht="13" x14ac:dyDescent="0.15">
      <c r="A365" s="1" t="s">
        <v>939</v>
      </c>
      <c r="B365" s="1" t="s">
        <v>940</v>
      </c>
      <c r="C365" s="4" t="s">
        <v>941</v>
      </c>
      <c r="D365" s="1" t="s">
        <v>14</v>
      </c>
      <c r="E365" s="1"/>
      <c r="F365" s="1" t="s">
        <v>1507</v>
      </c>
      <c r="G365" s="1"/>
      <c r="H365" s="1"/>
      <c r="I365" s="1"/>
      <c r="J365" s="1"/>
      <c r="K365" s="1"/>
      <c r="L365" s="1"/>
      <c r="M365" s="1"/>
      <c r="N365" s="1"/>
      <c r="O365" s="1"/>
      <c r="P365" s="1"/>
      <c r="Q365" s="1"/>
      <c r="R365" s="1">
        <v>1</v>
      </c>
      <c r="S365" s="1"/>
      <c r="T365" s="1" t="s">
        <v>1509</v>
      </c>
      <c r="U365" s="1" t="s">
        <v>1506</v>
      </c>
      <c r="V365" s="49">
        <v>1167</v>
      </c>
      <c r="W365" s="49">
        <v>0</v>
      </c>
      <c r="X365" s="2">
        <v>56</v>
      </c>
    </row>
    <row r="366" spans="1:24" ht="13" x14ac:dyDescent="0.15">
      <c r="A366" s="1" t="s">
        <v>942</v>
      </c>
      <c r="B366" s="1" t="s">
        <v>943</v>
      </c>
      <c r="C366" s="4" t="s">
        <v>944</v>
      </c>
      <c r="D366" s="1" t="s">
        <v>14</v>
      </c>
      <c r="E366" s="1"/>
      <c r="F366" s="1" t="s">
        <v>1504</v>
      </c>
      <c r="G366" s="1"/>
      <c r="H366" s="1"/>
      <c r="I366" s="1"/>
      <c r="J366" s="1"/>
      <c r="K366" s="1"/>
      <c r="L366" s="1"/>
      <c r="M366" s="1"/>
      <c r="N366" s="1"/>
      <c r="O366" s="1"/>
      <c r="P366" s="1"/>
      <c r="Q366" s="1"/>
      <c r="R366" s="1">
        <v>0</v>
      </c>
      <c r="S366" s="1"/>
      <c r="T366" s="1" t="s">
        <v>1509</v>
      </c>
      <c r="U366" s="1" t="s">
        <v>1506</v>
      </c>
      <c r="V366" s="49">
        <v>421</v>
      </c>
      <c r="W366" s="49">
        <v>0</v>
      </c>
      <c r="X366" s="2">
        <v>81</v>
      </c>
    </row>
    <row r="367" spans="1:24" ht="13" x14ac:dyDescent="0.15">
      <c r="A367" s="1" t="s">
        <v>945</v>
      </c>
      <c r="B367" s="1" t="s">
        <v>946</v>
      </c>
      <c r="C367" s="4" t="s">
        <v>947</v>
      </c>
      <c r="D367" s="1" t="s">
        <v>14</v>
      </c>
      <c r="E367" s="1"/>
      <c r="F367" s="1" t="s">
        <v>1504</v>
      </c>
      <c r="G367" s="1"/>
      <c r="H367" s="1"/>
      <c r="I367" s="1"/>
      <c r="J367" s="1"/>
      <c r="K367" s="1"/>
      <c r="L367" s="1"/>
      <c r="M367" s="1"/>
      <c r="N367" s="1"/>
      <c r="O367" s="1"/>
      <c r="P367" s="1"/>
      <c r="Q367" s="1"/>
      <c r="R367" s="1">
        <v>1</v>
      </c>
      <c r="S367" s="1"/>
      <c r="T367" s="1" t="s">
        <v>1509</v>
      </c>
      <c r="U367" s="1" t="s">
        <v>1506</v>
      </c>
      <c r="V367" s="49">
        <v>809</v>
      </c>
      <c r="W367" s="49">
        <v>1</v>
      </c>
      <c r="X367" s="2">
        <v>71</v>
      </c>
    </row>
    <row r="368" spans="1:24" ht="13" x14ac:dyDescent="0.15">
      <c r="A368" s="1" t="s">
        <v>948</v>
      </c>
      <c r="B368" s="1" t="s">
        <v>949</v>
      </c>
      <c r="C368" s="4" t="s">
        <v>950</v>
      </c>
      <c r="D368" s="1" t="s">
        <v>14</v>
      </c>
      <c r="E368" s="1"/>
      <c r="F368" s="1" t="s">
        <v>1504</v>
      </c>
      <c r="G368" s="1"/>
      <c r="H368" s="1"/>
      <c r="I368" s="1"/>
      <c r="J368" s="1"/>
      <c r="K368" s="1"/>
      <c r="L368" s="1"/>
      <c r="M368" s="1"/>
      <c r="N368" s="1"/>
      <c r="O368" s="1"/>
      <c r="P368" s="1"/>
      <c r="Q368" s="1"/>
      <c r="R368" s="1">
        <v>1</v>
      </c>
      <c r="S368" s="1"/>
      <c r="T368" s="1" t="s">
        <v>1505</v>
      </c>
      <c r="U368" s="1" t="s">
        <v>1683</v>
      </c>
      <c r="V368" s="49">
        <v>1366</v>
      </c>
      <c r="W368" s="49">
        <v>0</v>
      </c>
      <c r="X368" s="2">
        <v>33</v>
      </c>
    </row>
    <row r="369" spans="1:39" ht="13" x14ac:dyDescent="0.15">
      <c r="A369" s="1" t="s">
        <v>951</v>
      </c>
      <c r="B369" s="1" t="s">
        <v>952</v>
      </c>
      <c r="C369" s="4" t="s">
        <v>953</v>
      </c>
      <c r="D369" s="1" t="s">
        <v>14</v>
      </c>
      <c r="E369" s="1"/>
      <c r="F369" s="1" t="s">
        <v>1504</v>
      </c>
      <c r="G369" s="1"/>
      <c r="H369" s="1"/>
      <c r="I369" s="1"/>
      <c r="J369" s="1"/>
      <c r="K369" s="1"/>
      <c r="L369" s="1"/>
      <c r="M369" s="1"/>
      <c r="N369" s="1"/>
      <c r="O369" s="1"/>
      <c r="P369" s="1"/>
      <c r="Q369" s="1"/>
      <c r="R369" s="1">
        <v>1</v>
      </c>
      <c r="S369" s="1"/>
      <c r="T369" s="1" t="s">
        <v>1509</v>
      </c>
      <c r="U369" s="1" t="s">
        <v>1506</v>
      </c>
      <c r="V369" s="49">
        <v>483</v>
      </c>
      <c r="W369" s="49">
        <v>0</v>
      </c>
      <c r="X369" s="2">
        <v>47</v>
      </c>
    </row>
    <row r="370" spans="1:39" ht="13" x14ac:dyDescent="0.15">
      <c r="A370" s="1" t="s">
        <v>954</v>
      </c>
      <c r="B370" s="1" t="s">
        <v>955</v>
      </c>
      <c r="C370" s="4" t="s">
        <v>956</v>
      </c>
      <c r="D370" s="1" t="s">
        <v>14</v>
      </c>
      <c r="E370" s="1"/>
      <c r="F370" s="1" t="s">
        <v>1504</v>
      </c>
      <c r="G370" s="1"/>
      <c r="H370" s="1"/>
      <c r="I370" s="1"/>
      <c r="J370" s="1"/>
      <c r="K370" s="1"/>
      <c r="L370" s="1"/>
      <c r="M370" s="1"/>
      <c r="N370" s="1"/>
      <c r="O370" s="1"/>
      <c r="P370" s="1"/>
      <c r="Q370" s="1"/>
      <c r="R370" s="1">
        <v>0</v>
      </c>
      <c r="S370" s="1"/>
      <c r="T370" s="1" t="s">
        <v>1509</v>
      </c>
      <c r="U370" s="1" t="s">
        <v>1506</v>
      </c>
      <c r="V370" s="49">
        <v>494</v>
      </c>
      <c r="W370" s="49">
        <v>1</v>
      </c>
      <c r="X370" s="2">
        <v>71</v>
      </c>
    </row>
    <row r="371" spans="1:39" ht="13" x14ac:dyDescent="0.15">
      <c r="A371" s="1" t="s">
        <v>957</v>
      </c>
      <c r="B371" s="1" t="s">
        <v>958</v>
      </c>
      <c r="C371" s="4" t="s">
        <v>959</v>
      </c>
      <c r="D371" s="1" t="s">
        <v>14</v>
      </c>
      <c r="E371" s="1"/>
      <c r="F371" s="1" t="s">
        <v>1504</v>
      </c>
      <c r="G371" s="1"/>
      <c r="H371" s="1"/>
      <c r="I371" s="1"/>
      <c r="J371" s="1"/>
      <c r="K371" s="1"/>
      <c r="L371" s="1"/>
      <c r="M371" s="1"/>
      <c r="N371" s="1"/>
      <c r="O371" s="1"/>
      <c r="P371" s="1"/>
      <c r="Q371" s="1"/>
      <c r="R371" s="1">
        <v>0</v>
      </c>
      <c r="S371" s="1"/>
      <c r="T371" s="1" t="s">
        <v>1509</v>
      </c>
      <c r="U371" s="1" t="s">
        <v>1506</v>
      </c>
      <c r="V371" s="49">
        <v>410</v>
      </c>
      <c r="W371" s="49">
        <v>0</v>
      </c>
      <c r="X371" s="2">
        <v>76</v>
      </c>
    </row>
    <row r="372" spans="1:39" ht="13" x14ac:dyDescent="0.15">
      <c r="A372" s="1" t="s">
        <v>960</v>
      </c>
      <c r="B372" s="1" t="s">
        <v>961</v>
      </c>
      <c r="C372" s="4" t="s">
        <v>962</v>
      </c>
      <c r="D372" s="1" t="s">
        <v>14</v>
      </c>
      <c r="E372" s="1"/>
      <c r="F372" s="1" t="s">
        <v>1504</v>
      </c>
      <c r="G372" s="1"/>
      <c r="H372" s="1"/>
      <c r="I372" s="1"/>
      <c r="J372" s="1"/>
      <c r="K372" s="1"/>
      <c r="L372" s="1"/>
      <c r="M372" s="1"/>
      <c r="N372" s="1"/>
      <c r="O372" s="1"/>
      <c r="P372" s="1"/>
      <c r="Q372" s="1"/>
      <c r="R372" s="1">
        <v>1</v>
      </c>
      <c r="S372" s="1"/>
      <c r="T372" s="1" t="s">
        <v>1509</v>
      </c>
      <c r="U372" s="1" t="s">
        <v>1506</v>
      </c>
      <c r="V372" s="49">
        <v>1296</v>
      </c>
      <c r="W372" s="49">
        <v>0</v>
      </c>
      <c r="X372" s="2">
        <v>53</v>
      </c>
    </row>
    <row r="373" spans="1:39" ht="13" x14ac:dyDescent="0.15">
      <c r="A373" s="1" t="s">
        <v>963</v>
      </c>
      <c r="B373" s="1" t="s">
        <v>964</v>
      </c>
      <c r="C373" s="4" t="s">
        <v>965</v>
      </c>
      <c r="D373" s="1" t="s">
        <v>14</v>
      </c>
      <c r="E373" s="1"/>
      <c r="F373" s="1" t="s">
        <v>1507</v>
      </c>
      <c r="G373" s="1"/>
      <c r="H373" s="1"/>
      <c r="I373" s="1"/>
      <c r="J373" s="1"/>
      <c r="K373" s="1"/>
      <c r="L373" s="1"/>
      <c r="M373" s="1"/>
      <c r="N373" s="1"/>
      <c r="O373" s="1"/>
      <c r="P373" s="1"/>
      <c r="Q373" s="1"/>
      <c r="R373" s="1">
        <v>1</v>
      </c>
      <c r="S373" s="1"/>
      <c r="T373" s="1" t="s">
        <v>1509</v>
      </c>
      <c r="U373" s="1" t="s">
        <v>1506</v>
      </c>
      <c r="V373" s="49">
        <v>868</v>
      </c>
      <c r="W373" s="49">
        <v>1</v>
      </c>
      <c r="X373" s="2">
        <v>36</v>
      </c>
    </row>
    <row r="374" spans="1:39" ht="13" x14ac:dyDescent="0.15">
      <c r="A374" s="1" t="s">
        <v>966</v>
      </c>
      <c r="B374" s="1" t="s">
        <v>967</v>
      </c>
      <c r="C374" s="4" t="s">
        <v>968</v>
      </c>
      <c r="D374" s="1" t="s">
        <v>14</v>
      </c>
      <c r="E374" s="1"/>
      <c r="F374" s="1" t="s">
        <v>1507</v>
      </c>
      <c r="G374" s="1"/>
      <c r="H374" s="1"/>
      <c r="I374" s="1"/>
      <c r="J374" s="1"/>
      <c r="K374" s="1"/>
      <c r="L374" s="1"/>
      <c r="M374" s="1"/>
      <c r="N374" s="1"/>
      <c r="O374" s="1"/>
      <c r="P374" s="1"/>
      <c r="Q374" s="1"/>
      <c r="R374" s="1">
        <v>1</v>
      </c>
      <c r="S374" s="1"/>
      <c r="T374" s="1" t="s">
        <v>1505</v>
      </c>
      <c r="U374" s="1" t="s">
        <v>1506</v>
      </c>
      <c r="V374" s="49">
        <v>416</v>
      </c>
      <c r="W374" s="49">
        <v>0</v>
      </c>
      <c r="X374" s="2">
        <v>62</v>
      </c>
    </row>
    <row r="375" spans="1:39" ht="13" x14ac:dyDescent="0.15">
      <c r="A375" s="1" t="s">
        <v>969</v>
      </c>
      <c r="B375" s="1" t="s">
        <v>970</v>
      </c>
      <c r="C375" s="4" t="s">
        <v>971</v>
      </c>
      <c r="D375" s="1" t="s">
        <v>14</v>
      </c>
      <c r="E375" s="1"/>
      <c r="F375" s="1" t="s">
        <v>1504</v>
      </c>
      <c r="G375" s="1"/>
      <c r="H375" s="1"/>
      <c r="I375" s="1"/>
      <c r="J375" s="1"/>
      <c r="K375" s="1"/>
      <c r="L375" s="1"/>
      <c r="M375" s="1"/>
      <c r="N375" s="1"/>
      <c r="O375" s="1"/>
      <c r="P375" s="1"/>
      <c r="Q375" s="1"/>
      <c r="R375" s="1">
        <v>1</v>
      </c>
      <c r="S375" s="1"/>
      <c r="T375" s="1" t="s">
        <v>1509</v>
      </c>
      <c r="U375" s="1" t="s">
        <v>1506</v>
      </c>
      <c r="V375" s="49">
        <v>72</v>
      </c>
      <c r="W375" s="49">
        <v>1</v>
      </c>
      <c r="X375" s="2">
        <v>80</v>
      </c>
    </row>
    <row r="376" spans="1:39" ht="13" x14ac:dyDescent="0.15">
      <c r="A376" s="1" t="s">
        <v>972</v>
      </c>
      <c r="B376" s="1" t="s">
        <v>973</v>
      </c>
      <c r="C376" s="4" t="s">
        <v>974</v>
      </c>
      <c r="D376" s="1" t="s">
        <v>14</v>
      </c>
      <c r="E376" s="1"/>
      <c r="F376" s="1" t="s">
        <v>1504</v>
      </c>
      <c r="G376" s="1"/>
      <c r="H376" s="1"/>
      <c r="I376" s="1"/>
      <c r="J376" s="1"/>
      <c r="K376" s="1"/>
      <c r="L376" s="1"/>
      <c r="M376" s="1"/>
      <c r="N376" s="1"/>
      <c r="O376" s="1"/>
      <c r="P376" s="1"/>
      <c r="Q376" s="1"/>
      <c r="R376" s="1">
        <v>1</v>
      </c>
      <c r="S376" s="1"/>
      <c r="T376" s="1" t="s">
        <v>1510</v>
      </c>
      <c r="U376" s="1" t="s">
        <v>1506</v>
      </c>
      <c r="V376" s="49">
        <v>91</v>
      </c>
      <c r="W376" s="49">
        <v>1</v>
      </c>
      <c r="X376" s="2">
        <v>81</v>
      </c>
    </row>
    <row r="377" spans="1:39" ht="13" x14ac:dyDescent="0.15">
      <c r="A377" s="1" t="s">
        <v>975</v>
      </c>
      <c r="B377" s="1" t="s">
        <v>976</v>
      </c>
      <c r="C377" s="4" t="s">
        <v>977</v>
      </c>
      <c r="D377" s="1" t="s">
        <v>14</v>
      </c>
      <c r="E377" s="1"/>
      <c r="F377" s="1" t="s">
        <v>1504</v>
      </c>
      <c r="G377" s="1"/>
      <c r="H377" s="1"/>
      <c r="I377" s="1"/>
      <c r="J377" s="1"/>
      <c r="K377" s="1"/>
      <c r="L377" s="1"/>
      <c r="M377" s="1"/>
      <c r="N377" s="1"/>
      <c r="O377" s="1"/>
      <c r="P377" s="1"/>
      <c r="Q377" s="1"/>
      <c r="R377" s="1">
        <v>1</v>
      </c>
      <c r="S377" s="1"/>
      <c r="T377" s="1" t="s">
        <v>1509</v>
      </c>
      <c r="U377" s="1" t="s">
        <v>1506</v>
      </c>
      <c r="V377" s="49">
        <v>39</v>
      </c>
      <c r="W377" s="49">
        <v>1</v>
      </c>
      <c r="X377" s="2">
        <v>76</v>
      </c>
    </row>
    <row r="378" spans="1:39" ht="13" x14ac:dyDescent="0.15">
      <c r="A378" s="1" t="s">
        <v>978</v>
      </c>
      <c r="B378" s="1" t="s">
        <v>979</v>
      </c>
      <c r="C378" s="4" t="s">
        <v>980</v>
      </c>
      <c r="D378" s="1" t="s">
        <v>14</v>
      </c>
      <c r="E378" s="1"/>
      <c r="F378" s="1" t="s">
        <v>1507</v>
      </c>
      <c r="G378" s="1"/>
      <c r="H378" s="1"/>
      <c r="I378" s="1"/>
      <c r="J378" s="1"/>
      <c r="K378" s="1"/>
      <c r="L378" s="1"/>
      <c r="M378" s="1"/>
      <c r="N378" s="1"/>
      <c r="O378" s="1"/>
      <c r="P378" s="1"/>
      <c r="Q378" s="1"/>
      <c r="R378" s="1">
        <v>0</v>
      </c>
      <c r="S378" s="1"/>
      <c r="T378" s="1" t="s">
        <v>1505</v>
      </c>
      <c r="U378" s="1" t="s">
        <v>1506</v>
      </c>
      <c r="V378" s="49">
        <v>203</v>
      </c>
      <c r="W378" s="49">
        <v>1</v>
      </c>
      <c r="X378" s="2">
        <v>89</v>
      </c>
    </row>
    <row r="379" spans="1:39" ht="13" x14ac:dyDescent="0.15">
      <c r="A379" s="43" t="s">
        <v>1685</v>
      </c>
      <c r="B379" s="43" t="s">
        <v>1686</v>
      </c>
      <c r="C379" s="59" t="s">
        <v>1687</v>
      </c>
      <c r="D379" s="43" t="s">
        <v>14</v>
      </c>
      <c r="E379" s="43"/>
      <c r="F379" s="43" t="s">
        <v>1504</v>
      </c>
      <c r="G379" s="43"/>
      <c r="H379" s="43"/>
      <c r="I379" s="43"/>
      <c r="J379" s="43"/>
      <c r="K379" s="43"/>
      <c r="L379" s="43"/>
      <c r="M379" s="43"/>
      <c r="N379" s="43"/>
      <c r="O379" s="43"/>
      <c r="P379" s="43"/>
      <c r="Q379" s="43"/>
      <c r="R379" s="43">
        <v>1</v>
      </c>
      <c r="S379" s="43"/>
      <c r="T379" s="43"/>
      <c r="U379" s="43" t="s">
        <v>1506</v>
      </c>
      <c r="V379" s="49"/>
      <c r="W379" s="49">
        <v>1</v>
      </c>
      <c r="X379" s="53">
        <v>79</v>
      </c>
      <c r="Y379" s="53"/>
      <c r="Z379" s="53"/>
      <c r="AA379" s="53"/>
      <c r="AB379" s="53"/>
      <c r="AC379" s="53"/>
      <c r="AD379" s="53"/>
      <c r="AE379" s="53"/>
      <c r="AF379" s="53"/>
      <c r="AG379" s="53"/>
      <c r="AH379" s="53"/>
      <c r="AI379" s="53"/>
      <c r="AJ379" s="53"/>
      <c r="AK379" s="53"/>
      <c r="AL379" s="53"/>
      <c r="AM379" s="53"/>
    </row>
    <row r="380" spans="1:39" ht="13" x14ac:dyDescent="0.15">
      <c r="A380" s="1" t="s">
        <v>981</v>
      </c>
      <c r="B380" s="1" t="s">
        <v>982</v>
      </c>
      <c r="C380" s="4" t="s">
        <v>983</v>
      </c>
      <c r="D380" s="1" t="s">
        <v>14</v>
      </c>
      <c r="E380" s="1"/>
      <c r="F380" s="1" t="s">
        <v>1507</v>
      </c>
      <c r="G380" s="1"/>
      <c r="H380" s="1"/>
      <c r="I380" s="1"/>
      <c r="J380" s="1"/>
      <c r="K380" s="1"/>
      <c r="L380" s="1"/>
      <c r="M380" s="1"/>
      <c r="N380" s="1"/>
      <c r="O380" s="1"/>
      <c r="P380" s="1"/>
      <c r="Q380" s="1"/>
      <c r="R380" s="1">
        <v>1</v>
      </c>
      <c r="S380" s="1"/>
      <c r="T380" s="1" t="s">
        <v>1509</v>
      </c>
      <c r="U380" s="1" t="s">
        <v>1506</v>
      </c>
      <c r="V380" s="49">
        <v>624</v>
      </c>
      <c r="W380" s="49">
        <v>1</v>
      </c>
      <c r="X380" s="2">
        <v>58</v>
      </c>
    </row>
    <row r="381" spans="1:39" ht="13" x14ac:dyDescent="0.15">
      <c r="A381" s="1" t="s">
        <v>984</v>
      </c>
      <c r="B381" s="1" t="s">
        <v>985</v>
      </c>
      <c r="C381" s="4" t="s">
        <v>986</v>
      </c>
      <c r="D381" s="1" t="s">
        <v>14</v>
      </c>
      <c r="E381" s="1"/>
      <c r="F381" s="1" t="s">
        <v>1504</v>
      </c>
      <c r="G381" s="1"/>
      <c r="H381" s="1"/>
      <c r="I381" s="1"/>
      <c r="J381" s="1"/>
      <c r="K381" s="1"/>
      <c r="L381" s="1"/>
      <c r="M381" s="1"/>
      <c r="N381" s="1"/>
      <c r="O381" s="1"/>
      <c r="P381" s="1"/>
      <c r="Q381" s="1"/>
      <c r="R381" s="1">
        <v>1</v>
      </c>
      <c r="S381" s="1"/>
      <c r="T381" s="1" t="s">
        <v>1509</v>
      </c>
      <c r="U381" s="1" t="s">
        <v>1506</v>
      </c>
      <c r="V381" s="49">
        <v>230</v>
      </c>
      <c r="W381" s="49">
        <v>1</v>
      </c>
      <c r="X381" s="2">
        <v>60</v>
      </c>
    </row>
    <row r="382" spans="1:39" ht="13" x14ac:dyDescent="0.15">
      <c r="A382" s="1" t="s">
        <v>987</v>
      </c>
      <c r="B382" s="1" t="s">
        <v>988</v>
      </c>
      <c r="C382" s="4" t="s">
        <v>989</v>
      </c>
      <c r="D382" s="1" t="s">
        <v>14</v>
      </c>
      <c r="E382" s="1"/>
      <c r="F382" s="1" t="s">
        <v>1504</v>
      </c>
      <c r="G382" s="1"/>
      <c r="H382" s="1"/>
      <c r="I382" s="1"/>
      <c r="J382" s="1"/>
      <c r="K382" s="1"/>
      <c r="L382" s="1"/>
      <c r="M382" s="1"/>
      <c r="N382" s="1"/>
      <c r="O382" s="1"/>
      <c r="P382" s="1"/>
      <c r="Q382" s="1"/>
      <c r="R382" s="1">
        <v>1</v>
      </c>
      <c r="S382" s="1"/>
      <c r="T382" s="1" t="s">
        <v>1505</v>
      </c>
      <c r="U382" s="1" t="s">
        <v>1506</v>
      </c>
      <c r="V382" s="49">
        <v>142</v>
      </c>
      <c r="W382" s="49">
        <v>1</v>
      </c>
      <c r="X382" s="2">
        <v>57</v>
      </c>
    </row>
    <row r="383" spans="1:39" ht="13" x14ac:dyDescent="0.15">
      <c r="A383" s="52" t="s">
        <v>1688</v>
      </c>
      <c r="B383" s="43" t="s">
        <v>1689</v>
      </c>
      <c r="C383" s="43" t="s">
        <v>1690</v>
      </c>
      <c r="D383" s="43" t="s">
        <v>1516</v>
      </c>
      <c r="E383" s="43">
        <v>64</v>
      </c>
      <c r="F383" s="43"/>
      <c r="G383" s="43"/>
      <c r="H383" s="43"/>
      <c r="I383" s="43"/>
      <c r="J383" s="43"/>
      <c r="K383" s="43"/>
      <c r="L383" s="43"/>
      <c r="M383" s="43"/>
      <c r="N383" s="43"/>
      <c r="O383" s="43"/>
      <c r="P383" s="43"/>
      <c r="Q383" s="43"/>
      <c r="R383" s="43">
        <v>0</v>
      </c>
      <c r="S383" s="43">
        <v>184</v>
      </c>
      <c r="T383" s="43" t="s">
        <v>1509</v>
      </c>
      <c r="U383" s="43"/>
      <c r="V383" s="49"/>
      <c r="W383" s="49"/>
      <c r="X383" s="53"/>
      <c r="Y383" s="53"/>
      <c r="Z383" s="53"/>
      <c r="AA383" s="53"/>
      <c r="AB383" s="53"/>
      <c r="AC383" s="53"/>
      <c r="AD383" s="53"/>
      <c r="AE383" s="53"/>
      <c r="AF383" s="53"/>
      <c r="AG383" s="53"/>
      <c r="AH383" s="53"/>
      <c r="AI383" s="53"/>
      <c r="AJ383" s="53"/>
      <c r="AK383" s="53"/>
      <c r="AL383" s="53"/>
      <c r="AM383" s="53"/>
    </row>
    <row r="384" spans="1:39" ht="13" x14ac:dyDescent="0.15">
      <c r="A384" s="52" t="s">
        <v>1691</v>
      </c>
      <c r="B384" s="43" t="s">
        <v>1692</v>
      </c>
      <c r="C384" s="43" t="s">
        <v>1693</v>
      </c>
      <c r="D384" s="43" t="s">
        <v>1516</v>
      </c>
      <c r="E384" s="43">
        <v>50</v>
      </c>
      <c r="F384" s="43"/>
      <c r="G384" s="43"/>
      <c r="H384" s="43"/>
      <c r="I384" s="43"/>
      <c r="J384" s="43"/>
      <c r="K384" s="43"/>
      <c r="L384" s="43"/>
      <c r="M384" s="43"/>
      <c r="N384" s="43"/>
      <c r="O384" s="43"/>
      <c r="P384" s="43"/>
      <c r="Q384" s="43"/>
      <c r="R384" s="43">
        <v>0</v>
      </c>
      <c r="S384" s="43">
        <v>145</v>
      </c>
      <c r="T384" s="43" t="s">
        <v>1509</v>
      </c>
      <c r="U384" s="43"/>
      <c r="V384" s="49"/>
      <c r="W384" s="49"/>
      <c r="X384" s="53"/>
      <c r="Y384" s="53"/>
      <c r="Z384" s="53"/>
      <c r="AA384" s="53"/>
      <c r="AB384" s="53"/>
      <c r="AC384" s="53"/>
      <c r="AD384" s="53"/>
      <c r="AE384" s="53"/>
      <c r="AF384" s="53"/>
      <c r="AG384" s="53"/>
      <c r="AH384" s="53"/>
      <c r="AI384" s="53"/>
      <c r="AJ384" s="53"/>
      <c r="AK384" s="53"/>
      <c r="AL384" s="53"/>
      <c r="AM384" s="53"/>
    </row>
    <row r="385" spans="1:39" ht="13" x14ac:dyDescent="0.15">
      <c r="A385" s="52" t="s">
        <v>1694</v>
      </c>
      <c r="B385" s="43" t="s">
        <v>1695</v>
      </c>
      <c r="C385" s="43" t="s">
        <v>1696</v>
      </c>
      <c r="D385" s="43" t="s">
        <v>1516</v>
      </c>
      <c r="E385" s="43">
        <v>64</v>
      </c>
      <c r="F385" s="43"/>
      <c r="G385" s="43"/>
      <c r="H385" s="43"/>
      <c r="I385" s="43"/>
      <c r="J385" s="43"/>
      <c r="K385" s="43"/>
      <c r="L385" s="43"/>
      <c r="M385" s="43"/>
      <c r="N385" s="43"/>
      <c r="O385" s="43"/>
      <c r="P385" s="43"/>
      <c r="Q385" s="43"/>
      <c r="R385" s="43">
        <v>0</v>
      </c>
      <c r="S385" s="43" t="s">
        <v>1481</v>
      </c>
      <c r="T385" s="43" t="s">
        <v>1509</v>
      </c>
      <c r="U385" s="43"/>
      <c r="V385" s="49"/>
      <c r="W385" s="49"/>
      <c r="X385" s="53"/>
      <c r="Y385" s="53"/>
      <c r="Z385" s="53"/>
      <c r="AA385" s="53"/>
      <c r="AB385" s="53"/>
      <c r="AC385" s="53"/>
      <c r="AD385" s="53"/>
      <c r="AE385" s="53"/>
      <c r="AF385" s="53"/>
      <c r="AG385" s="53"/>
      <c r="AH385" s="53"/>
      <c r="AI385" s="53"/>
      <c r="AJ385" s="53"/>
      <c r="AK385" s="53"/>
      <c r="AL385" s="53"/>
      <c r="AM385" s="53"/>
    </row>
    <row r="386" spans="1:39" ht="13" x14ac:dyDescent="0.15">
      <c r="A386" s="52" t="s">
        <v>1697</v>
      </c>
      <c r="B386" s="43" t="s">
        <v>1698</v>
      </c>
      <c r="C386" s="43" t="s">
        <v>1699</v>
      </c>
      <c r="D386" s="43" t="s">
        <v>1516</v>
      </c>
      <c r="E386" s="43">
        <v>59</v>
      </c>
      <c r="F386" s="43"/>
      <c r="G386" s="43"/>
      <c r="H386" s="43"/>
      <c r="I386" s="43"/>
      <c r="J386" s="43"/>
      <c r="K386" s="43"/>
      <c r="L386" s="43"/>
      <c r="M386" s="43"/>
      <c r="N386" s="43"/>
      <c r="O386" s="43"/>
      <c r="P386" s="43"/>
      <c r="Q386" s="43"/>
      <c r="R386" s="43">
        <v>1</v>
      </c>
      <c r="S386" s="43">
        <v>197</v>
      </c>
      <c r="T386" s="43" t="s">
        <v>1509</v>
      </c>
      <c r="U386" s="43"/>
      <c r="V386" s="49"/>
      <c r="W386" s="49"/>
      <c r="X386" s="53"/>
      <c r="Y386" s="53"/>
      <c r="Z386" s="53"/>
      <c r="AA386" s="53"/>
      <c r="AB386" s="53"/>
      <c r="AC386" s="53"/>
      <c r="AD386" s="53"/>
      <c r="AE386" s="53"/>
      <c r="AF386" s="53"/>
      <c r="AG386" s="53"/>
      <c r="AH386" s="53"/>
      <c r="AI386" s="53"/>
      <c r="AJ386" s="53"/>
      <c r="AK386" s="53"/>
      <c r="AL386" s="53"/>
      <c r="AM386" s="53"/>
    </row>
    <row r="387" spans="1:39" ht="13" x14ac:dyDescent="0.15">
      <c r="A387" s="52" t="s">
        <v>1700</v>
      </c>
      <c r="B387" s="43" t="s">
        <v>1701</v>
      </c>
      <c r="C387" s="43" t="s">
        <v>1702</v>
      </c>
      <c r="D387" s="43" t="s">
        <v>1516</v>
      </c>
      <c r="E387" s="43">
        <v>72</v>
      </c>
      <c r="F387" s="43"/>
      <c r="G387" s="43"/>
      <c r="H387" s="43"/>
      <c r="I387" s="43"/>
      <c r="J387" s="43"/>
      <c r="K387" s="43"/>
      <c r="L387" s="43"/>
      <c r="M387" s="43"/>
      <c r="N387" s="43"/>
      <c r="O387" s="43"/>
      <c r="P387" s="43"/>
      <c r="Q387" s="43"/>
      <c r="R387" s="43">
        <v>0</v>
      </c>
      <c r="S387" s="43">
        <v>633</v>
      </c>
      <c r="T387" s="43" t="s">
        <v>1509</v>
      </c>
      <c r="U387" s="43"/>
      <c r="V387" s="49"/>
      <c r="W387" s="49"/>
      <c r="X387" s="53"/>
      <c r="Y387" s="53"/>
      <c r="Z387" s="53"/>
      <c r="AA387" s="53"/>
      <c r="AB387" s="53"/>
      <c r="AC387" s="53"/>
      <c r="AD387" s="53"/>
      <c r="AE387" s="53"/>
      <c r="AF387" s="53"/>
      <c r="AG387" s="53"/>
      <c r="AH387" s="53"/>
      <c r="AI387" s="53"/>
      <c r="AJ387" s="53"/>
      <c r="AK387" s="53"/>
      <c r="AL387" s="53"/>
      <c r="AM387" s="53"/>
    </row>
    <row r="388" spans="1:39" ht="13" x14ac:dyDescent="0.15">
      <c r="A388" s="52" t="s">
        <v>1703</v>
      </c>
      <c r="B388" s="43" t="s">
        <v>1704</v>
      </c>
      <c r="C388" s="43" t="s">
        <v>1705</v>
      </c>
      <c r="D388" s="43" t="s">
        <v>1516</v>
      </c>
      <c r="E388" s="43">
        <v>49</v>
      </c>
      <c r="F388" s="43"/>
      <c r="G388" s="43"/>
      <c r="H388" s="43"/>
      <c r="I388" s="43"/>
      <c r="J388" s="43"/>
      <c r="K388" s="43"/>
      <c r="L388" s="43"/>
      <c r="M388" s="43"/>
      <c r="N388" s="43"/>
      <c r="O388" s="43"/>
      <c r="P388" s="43"/>
      <c r="Q388" s="43"/>
      <c r="R388" s="43">
        <v>0</v>
      </c>
      <c r="S388" s="43">
        <v>442</v>
      </c>
      <c r="T388" s="43" t="s">
        <v>1509</v>
      </c>
      <c r="U388" s="43"/>
      <c r="V388" s="49"/>
      <c r="W388" s="49"/>
      <c r="X388" s="53"/>
      <c r="Y388" s="53"/>
      <c r="Z388" s="53"/>
      <c r="AA388" s="53"/>
      <c r="AB388" s="53"/>
      <c r="AC388" s="53"/>
      <c r="AD388" s="53"/>
      <c r="AE388" s="53"/>
      <c r="AF388" s="53"/>
      <c r="AG388" s="53"/>
      <c r="AH388" s="53"/>
      <c r="AI388" s="53"/>
      <c r="AJ388" s="53"/>
      <c r="AK388" s="53"/>
      <c r="AL388" s="53"/>
      <c r="AM388" s="53"/>
    </row>
    <row r="389" spans="1:39" ht="13" x14ac:dyDescent="0.15">
      <c r="A389" s="52" t="s">
        <v>1706</v>
      </c>
      <c r="B389" s="43" t="s">
        <v>1707</v>
      </c>
      <c r="C389" s="43" t="s">
        <v>1708</v>
      </c>
      <c r="D389" s="43" t="s">
        <v>1516</v>
      </c>
      <c r="E389" s="43">
        <v>73</v>
      </c>
      <c r="F389" s="43"/>
      <c r="G389" s="43"/>
      <c r="H389" s="43"/>
      <c r="I389" s="43"/>
      <c r="J389" s="43"/>
      <c r="K389" s="43"/>
      <c r="L389" s="43"/>
      <c r="M389" s="43"/>
      <c r="N389" s="43"/>
      <c r="O389" s="43"/>
      <c r="P389" s="43"/>
      <c r="Q389" s="43"/>
      <c r="R389" s="43">
        <v>0</v>
      </c>
      <c r="S389" s="43">
        <v>351</v>
      </c>
      <c r="T389" s="43" t="s">
        <v>1509</v>
      </c>
      <c r="U389" s="43"/>
      <c r="V389" s="49"/>
      <c r="W389" s="49"/>
      <c r="X389" s="53"/>
      <c r="Y389" s="53"/>
      <c r="Z389" s="53"/>
      <c r="AA389" s="53"/>
      <c r="AB389" s="53"/>
      <c r="AC389" s="53"/>
      <c r="AD389" s="53"/>
      <c r="AE389" s="53"/>
      <c r="AF389" s="53"/>
      <c r="AG389" s="53"/>
      <c r="AH389" s="53"/>
      <c r="AI389" s="53"/>
      <c r="AJ389" s="53"/>
      <c r="AK389" s="53"/>
      <c r="AL389" s="53"/>
      <c r="AM389" s="53"/>
    </row>
    <row r="390" spans="1:39" ht="13" x14ac:dyDescent="0.15">
      <c r="A390" s="52" t="s">
        <v>1709</v>
      </c>
      <c r="B390" s="43" t="s">
        <v>1710</v>
      </c>
      <c r="C390" s="43" t="s">
        <v>1711</v>
      </c>
      <c r="D390" s="43" t="s">
        <v>1516</v>
      </c>
      <c r="E390" s="43">
        <v>57</v>
      </c>
      <c r="F390" s="43"/>
      <c r="G390" s="43"/>
      <c r="H390" s="43"/>
      <c r="I390" s="43"/>
      <c r="J390" s="43"/>
      <c r="K390" s="43"/>
      <c r="L390" s="43"/>
      <c r="M390" s="43"/>
      <c r="N390" s="43"/>
      <c r="O390" s="43"/>
      <c r="P390" s="43"/>
      <c r="Q390" s="43"/>
      <c r="R390" s="43">
        <v>0</v>
      </c>
      <c r="S390" s="43">
        <v>62</v>
      </c>
      <c r="T390" s="43" t="s">
        <v>1509</v>
      </c>
      <c r="U390" s="43"/>
      <c r="V390" s="49"/>
      <c r="W390" s="49"/>
      <c r="X390" s="53"/>
      <c r="Y390" s="53"/>
      <c r="Z390" s="53"/>
      <c r="AA390" s="53"/>
      <c r="AB390" s="53"/>
      <c r="AC390" s="53"/>
      <c r="AD390" s="53"/>
      <c r="AE390" s="53"/>
      <c r="AF390" s="53"/>
      <c r="AG390" s="53"/>
      <c r="AH390" s="53"/>
      <c r="AI390" s="53"/>
      <c r="AJ390" s="53"/>
      <c r="AK390" s="53"/>
      <c r="AL390" s="53"/>
      <c r="AM390" s="53"/>
    </row>
    <row r="391" spans="1:39" ht="13" x14ac:dyDescent="0.15">
      <c r="A391" s="52" t="s">
        <v>1712</v>
      </c>
      <c r="B391" s="43" t="s">
        <v>1713</v>
      </c>
      <c r="C391" s="43" t="s">
        <v>1714</v>
      </c>
      <c r="D391" s="43" t="s">
        <v>1516</v>
      </c>
      <c r="E391" s="43">
        <v>52</v>
      </c>
      <c r="F391" s="43"/>
      <c r="G391" s="43"/>
      <c r="H391" s="43"/>
      <c r="I391" s="43"/>
      <c r="J391" s="43"/>
      <c r="K391" s="43"/>
      <c r="L391" s="43"/>
      <c r="M391" s="43"/>
      <c r="N391" s="43"/>
      <c r="O391" s="43"/>
      <c r="P391" s="43"/>
      <c r="Q391" s="43"/>
      <c r="R391" s="43">
        <v>1</v>
      </c>
      <c r="S391" s="43" t="s">
        <v>1481</v>
      </c>
      <c r="T391" s="43" t="s">
        <v>1509</v>
      </c>
      <c r="U391" s="43"/>
      <c r="V391" s="49"/>
      <c r="W391" s="49"/>
      <c r="X391" s="53"/>
      <c r="Y391" s="53"/>
      <c r="Z391" s="53"/>
      <c r="AA391" s="53"/>
      <c r="AB391" s="53"/>
      <c r="AC391" s="53"/>
      <c r="AD391" s="53"/>
      <c r="AE391" s="53"/>
      <c r="AF391" s="53"/>
      <c r="AG391" s="53"/>
      <c r="AH391" s="53"/>
      <c r="AI391" s="53"/>
      <c r="AJ391" s="53"/>
      <c r="AK391" s="53"/>
      <c r="AL391" s="53"/>
      <c r="AM391" s="53"/>
    </row>
    <row r="392" spans="1:39" ht="13" x14ac:dyDescent="0.15">
      <c r="A392" s="52" t="s">
        <v>1715</v>
      </c>
      <c r="B392" s="43" t="s">
        <v>1716</v>
      </c>
      <c r="C392" s="43" t="s">
        <v>1717</v>
      </c>
      <c r="D392" s="43" t="s">
        <v>1516</v>
      </c>
      <c r="E392" s="43">
        <v>57</v>
      </c>
      <c r="F392" s="43"/>
      <c r="G392" s="43"/>
      <c r="H392" s="43"/>
      <c r="I392" s="43"/>
      <c r="J392" s="43"/>
      <c r="K392" s="43"/>
      <c r="L392" s="43"/>
      <c r="M392" s="43"/>
      <c r="N392" s="43"/>
      <c r="O392" s="43"/>
      <c r="P392" s="43"/>
      <c r="Q392" s="43"/>
      <c r="R392" s="43">
        <v>1</v>
      </c>
      <c r="S392" s="43">
        <v>1076</v>
      </c>
      <c r="T392" s="43" t="s">
        <v>1509</v>
      </c>
      <c r="U392" s="43"/>
      <c r="V392" s="49"/>
      <c r="W392" s="49"/>
      <c r="X392" s="53"/>
      <c r="Y392" s="53"/>
      <c r="Z392" s="53"/>
      <c r="AA392" s="53"/>
      <c r="AB392" s="53"/>
      <c r="AC392" s="53"/>
      <c r="AD392" s="53"/>
      <c r="AE392" s="53"/>
      <c r="AF392" s="53"/>
      <c r="AG392" s="53"/>
      <c r="AH392" s="53"/>
      <c r="AI392" s="53"/>
      <c r="AJ392" s="53"/>
      <c r="AK392" s="53"/>
      <c r="AL392" s="53"/>
      <c r="AM392" s="53"/>
    </row>
    <row r="393" spans="1:39" ht="13" x14ac:dyDescent="0.15">
      <c r="A393" s="52" t="s">
        <v>1718</v>
      </c>
      <c r="B393" s="43" t="s">
        <v>1719</v>
      </c>
      <c r="C393" s="43" t="s">
        <v>1720</v>
      </c>
      <c r="D393" s="43" t="s">
        <v>1516</v>
      </c>
      <c r="E393" s="43">
        <v>67</v>
      </c>
      <c r="F393" s="43"/>
      <c r="G393" s="43"/>
      <c r="H393" s="43"/>
      <c r="I393" s="43"/>
      <c r="J393" s="43"/>
      <c r="K393" s="43"/>
      <c r="L393" s="43"/>
      <c r="M393" s="43"/>
      <c r="N393" s="43"/>
      <c r="O393" s="43"/>
      <c r="P393" s="43"/>
      <c r="Q393" s="43"/>
      <c r="R393" s="43">
        <v>0</v>
      </c>
      <c r="S393" s="43">
        <v>615</v>
      </c>
      <c r="T393" s="43" t="s">
        <v>1509</v>
      </c>
      <c r="U393" s="43"/>
      <c r="V393" s="49"/>
      <c r="W393" s="49"/>
      <c r="X393" s="53"/>
      <c r="Y393" s="53"/>
      <c r="Z393" s="53"/>
      <c r="AA393" s="53"/>
      <c r="AB393" s="53"/>
      <c r="AC393" s="53"/>
      <c r="AD393" s="53"/>
      <c r="AE393" s="53"/>
      <c r="AF393" s="53"/>
      <c r="AG393" s="53"/>
      <c r="AH393" s="53"/>
      <c r="AI393" s="53"/>
      <c r="AJ393" s="53"/>
      <c r="AK393" s="53"/>
      <c r="AL393" s="53"/>
      <c r="AM393" s="53"/>
    </row>
    <row r="394" spans="1:39" ht="13" x14ac:dyDescent="0.15">
      <c r="A394" s="52" t="s">
        <v>1721</v>
      </c>
      <c r="B394" s="43" t="s">
        <v>1722</v>
      </c>
      <c r="C394" s="43" t="s">
        <v>1723</v>
      </c>
      <c r="D394" s="43" t="s">
        <v>1516</v>
      </c>
      <c r="E394" s="43">
        <v>60</v>
      </c>
      <c r="F394" s="43"/>
      <c r="G394" s="43"/>
      <c r="H394" s="43"/>
      <c r="I394" s="43"/>
      <c r="J394" s="43"/>
      <c r="K394" s="43"/>
      <c r="L394" s="43"/>
      <c r="M394" s="43"/>
      <c r="N394" s="43"/>
      <c r="O394" s="43"/>
      <c r="P394" s="43"/>
      <c r="Q394" s="43"/>
      <c r="R394" s="43">
        <v>1</v>
      </c>
      <c r="S394" s="43" t="s">
        <v>1481</v>
      </c>
      <c r="T394" s="43" t="s">
        <v>1509</v>
      </c>
      <c r="U394" s="43"/>
      <c r="V394" s="49"/>
      <c r="W394" s="49"/>
      <c r="X394" s="53"/>
      <c r="Y394" s="53"/>
      <c r="Z394" s="53"/>
      <c r="AA394" s="53"/>
      <c r="AB394" s="53"/>
      <c r="AC394" s="53"/>
      <c r="AD394" s="53"/>
      <c r="AE394" s="53"/>
      <c r="AF394" s="53"/>
      <c r="AG394" s="53"/>
      <c r="AH394" s="53"/>
      <c r="AI394" s="53"/>
      <c r="AJ394" s="53"/>
      <c r="AK394" s="53"/>
      <c r="AL394" s="53"/>
      <c r="AM394" s="53"/>
    </row>
    <row r="395" spans="1:39" ht="13" x14ac:dyDescent="0.15">
      <c r="A395" s="52" t="s">
        <v>1724</v>
      </c>
      <c r="B395" s="43" t="s">
        <v>1725</v>
      </c>
      <c r="C395" s="43" t="s">
        <v>1726</v>
      </c>
      <c r="D395" s="43" t="s">
        <v>1516</v>
      </c>
      <c r="E395" s="43">
        <v>43</v>
      </c>
      <c r="F395" s="43"/>
      <c r="G395" s="43"/>
      <c r="H395" s="43"/>
      <c r="I395" s="43"/>
      <c r="J395" s="43"/>
      <c r="K395" s="43"/>
      <c r="L395" s="43"/>
      <c r="M395" s="43"/>
      <c r="N395" s="43"/>
      <c r="O395" s="43"/>
      <c r="P395" s="43"/>
      <c r="Q395" s="43"/>
      <c r="R395" s="43">
        <v>0</v>
      </c>
      <c r="S395" s="43">
        <v>363</v>
      </c>
      <c r="T395" s="43" t="s">
        <v>1509</v>
      </c>
      <c r="U395" s="43"/>
      <c r="V395" s="49"/>
      <c r="W395" s="49"/>
      <c r="X395" s="53"/>
      <c r="Y395" s="53"/>
      <c r="Z395" s="53"/>
      <c r="AA395" s="53"/>
      <c r="AB395" s="53"/>
      <c r="AC395" s="53"/>
      <c r="AD395" s="53"/>
      <c r="AE395" s="53"/>
      <c r="AF395" s="53"/>
      <c r="AG395" s="53"/>
      <c r="AH395" s="53"/>
      <c r="AI395" s="53"/>
      <c r="AJ395" s="53"/>
      <c r="AK395" s="53"/>
      <c r="AL395" s="53"/>
      <c r="AM395" s="53"/>
    </row>
    <row r="396" spans="1:39" ht="13" x14ac:dyDescent="0.15">
      <c r="A396" s="52" t="s">
        <v>1727</v>
      </c>
      <c r="B396" s="43" t="s">
        <v>1728</v>
      </c>
      <c r="C396" s="43" t="s">
        <v>1729</v>
      </c>
      <c r="D396" s="43" t="s">
        <v>1516</v>
      </c>
      <c r="E396" s="43">
        <v>61</v>
      </c>
      <c r="F396" s="43"/>
      <c r="G396" s="43"/>
      <c r="H396" s="43"/>
      <c r="I396" s="43"/>
      <c r="J396" s="43"/>
      <c r="K396" s="43"/>
      <c r="L396" s="43"/>
      <c r="M396" s="43"/>
      <c r="N396" s="43"/>
      <c r="O396" s="43"/>
      <c r="P396" s="43"/>
      <c r="Q396" s="43"/>
      <c r="R396" s="43">
        <v>0</v>
      </c>
      <c r="S396" s="43">
        <v>80</v>
      </c>
      <c r="T396" s="43" t="s">
        <v>1505</v>
      </c>
      <c r="U396" s="43"/>
      <c r="V396" s="49"/>
      <c r="W396" s="49"/>
      <c r="X396" s="53"/>
      <c r="Y396" s="53"/>
      <c r="Z396" s="53"/>
      <c r="AA396" s="53"/>
      <c r="AB396" s="53"/>
      <c r="AC396" s="53"/>
      <c r="AD396" s="53"/>
      <c r="AE396" s="53"/>
      <c r="AF396" s="53"/>
      <c r="AG396" s="53"/>
      <c r="AH396" s="53"/>
      <c r="AI396" s="53"/>
      <c r="AJ396" s="53"/>
      <c r="AK396" s="53"/>
      <c r="AL396" s="53"/>
      <c r="AM396" s="53"/>
    </row>
    <row r="397" spans="1:39" ht="13" x14ac:dyDescent="0.15">
      <c r="A397" s="52" t="s">
        <v>1730</v>
      </c>
      <c r="B397" s="43" t="s">
        <v>1731</v>
      </c>
      <c r="C397" s="43" t="s">
        <v>1732</v>
      </c>
      <c r="D397" s="43" t="s">
        <v>1516</v>
      </c>
      <c r="E397" s="43">
        <v>36</v>
      </c>
      <c r="F397" s="43"/>
      <c r="G397" s="43"/>
      <c r="H397" s="43"/>
      <c r="I397" s="43"/>
      <c r="J397" s="43"/>
      <c r="K397" s="43"/>
      <c r="L397" s="43"/>
      <c r="M397" s="43"/>
      <c r="N397" s="43"/>
      <c r="O397" s="43"/>
      <c r="P397" s="43"/>
      <c r="Q397" s="43"/>
      <c r="R397" s="43">
        <v>1</v>
      </c>
      <c r="S397" s="43" t="s">
        <v>1481</v>
      </c>
      <c r="T397" s="43" t="s">
        <v>1509</v>
      </c>
      <c r="U397" s="43"/>
      <c r="V397" s="49"/>
      <c r="W397" s="49"/>
      <c r="X397" s="53"/>
      <c r="Y397" s="53"/>
      <c r="Z397" s="53"/>
      <c r="AA397" s="53"/>
      <c r="AB397" s="53"/>
      <c r="AC397" s="53"/>
      <c r="AD397" s="53"/>
      <c r="AE397" s="53"/>
      <c r="AF397" s="53"/>
      <c r="AG397" s="53"/>
      <c r="AH397" s="53"/>
      <c r="AI397" s="53"/>
      <c r="AJ397" s="53"/>
      <c r="AK397" s="53"/>
      <c r="AL397" s="53"/>
      <c r="AM397" s="53"/>
    </row>
    <row r="398" spans="1:39" ht="13" x14ac:dyDescent="0.15">
      <c r="A398" s="52" t="s">
        <v>1733</v>
      </c>
      <c r="B398" s="43" t="s">
        <v>1734</v>
      </c>
      <c r="C398" s="43" t="s">
        <v>1735</v>
      </c>
      <c r="D398" s="43" t="s">
        <v>1516</v>
      </c>
      <c r="E398" s="43">
        <v>54</v>
      </c>
      <c r="F398" s="43"/>
      <c r="G398" s="43"/>
      <c r="H398" s="43"/>
      <c r="I398" s="43"/>
      <c r="J398" s="43"/>
      <c r="K398" s="43"/>
      <c r="L398" s="43"/>
      <c r="M398" s="43"/>
      <c r="N398" s="43"/>
      <c r="O398" s="43"/>
      <c r="P398" s="43"/>
      <c r="Q398" s="43"/>
      <c r="R398" s="43">
        <v>1</v>
      </c>
      <c r="S398" s="43" t="s">
        <v>1481</v>
      </c>
      <c r="T398" s="43" t="s">
        <v>1509</v>
      </c>
      <c r="U398" s="43"/>
      <c r="V398" s="49"/>
      <c r="W398" s="49"/>
      <c r="X398" s="53"/>
      <c r="Y398" s="53"/>
      <c r="Z398" s="53"/>
      <c r="AA398" s="53"/>
      <c r="AB398" s="53"/>
      <c r="AC398" s="53"/>
      <c r="AD398" s="53"/>
      <c r="AE398" s="53"/>
      <c r="AF398" s="53"/>
      <c r="AG398" s="53"/>
      <c r="AH398" s="53"/>
      <c r="AI398" s="53"/>
      <c r="AJ398" s="53"/>
      <c r="AK398" s="53"/>
      <c r="AL398" s="53"/>
      <c r="AM398" s="53"/>
    </row>
    <row r="399" spans="1:39" ht="13" x14ac:dyDescent="0.15">
      <c r="A399" s="52" t="s">
        <v>1736</v>
      </c>
      <c r="B399" s="43" t="s">
        <v>1737</v>
      </c>
      <c r="C399" s="43" t="s">
        <v>1738</v>
      </c>
      <c r="D399" s="43" t="s">
        <v>1516</v>
      </c>
      <c r="E399" s="43">
        <v>56</v>
      </c>
      <c r="F399" s="43"/>
      <c r="G399" s="43"/>
      <c r="H399" s="43"/>
      <c r="I399" s="43"/>
      <c r="J399" s="43"/>
      <c r="K399" s="43"/>
      <c r="L399" s="43"/>
      <c r="M399" s="43"/>
      <c r="N399" s="43"/>
      <c r="O399" s="43"/>
      <c r="P399" s="43"/>
      <c r="Q399" s="43"/>
      <c r="R399" s="43">
        <v>1</v>
      </c>
      <c r="S399" s="43" t="s">
        <v>1481</v>
      </c>
      <c r="T399" s="43" t="s">
        <v>1509</v>
      </c>
      <c r="U399" s="43"/>
      <c r="V399" s="49"/>
      <c r="W399" s="49"/>
      <c r="X399" s="53"/>
      <c r="Y399" s="53"/>
      <c r="Z399" s="53"/>
      <c r="AA399" s="53"/>
      <c r="AB399" s="53"/>
      <c r="AC399" s="53"/>
      <c r="AD399" s="53"/>
      <c r="AE399" s="53"/>
      <c r="AF399" s="53"/>
      <c r="AG399" s="53"/>
      <c r="AH399" s="53"/>
      <c r="AI399" s="53"/>
      <c r="AJ399" s="53"/>
      <c r="AK399" s="53"/>
      <c r="AL399" s="53"/>
      <c r="AM399" s="53"/>
    </row>
    <row r="400" spans="1:39" ht="13" x14ac:dyDescent="0.15">
      <c r="A400" s="52" t="s">
        <v>1739</v>
      </c>
      <c r="B400" s="43" t="s">
        <v>1740</v>
      </c>
      <c r="C400" s="43" t="s">
        <v>1741</v>
      </c>
      <c r="D400" s="43" t="s">
        <v>1516</v>
      </c>
      <c r="E400" s="43">
        <v>44</v>
      </c>
      <c r="F400" s="43"/>
      <c r="G400" s="43"/>
      <c r="H400" s="43"/>
      <c r="I400" s="43"/>
      <c r="J400" s="43"/>
      <c r="K400" s="43"/>
      <c r="L400" s="43"/>
      <c r="M400" s="43"/>
      <c r="N400" s="43"/>
      <c r="O400" s="43"/>
      <c r="P400" s="43"/>
      <c r="Q400" s="43"/>
      <c r="R400" s="43">
        <v>1</v>
      </c>
      <c r="S400" s="43" t="s">
        <v>1481</v>
      </c>
      <c r="T400" s="43" t="s">
        <v>1509</v>
      </c>
      <c r="U400" s="43"/>
      <c r="V400" s="49"/>
      <c r="W400" s="49"/>
      <c r="X400" s="53"/>
      <c r="Y400" s="53"/>
      <c r="Z400" s="53"/>
      <c r="AA400" s="53"/>
      <c r="AB400" s="53"/>
      <c r="AC400" s="53"/>
      <c r="AD400" s="53"/>
      <c r="AE400" s="53"/>
      <c r="AF400" s="53"/>
      <c r="AG400" s="53"/>
      <c r="AH400" s="53"/>
      <c r="AI400" s="53"/>
      <c r="AJ400" s="53"/>
      <c r="AK400" s="53"/>
      <c r="AL400" s="53"/>
      <c r="AM400" s="53"/>
    </row>
    <row r="401" spans="1:39" ht="13" x14ac:dyDescent="0.15">
      <c r="A401" s="52" t="s">
        <v>1742</v>
      </c>
      <c r="B401" s="43" t="s">
        <v>1743</v>
      </c>
      <c r="C401" s="43" t="s">
        <v>1744</v>
      </c>
      <c r="D401" s="43" t="s">
        <v>1516</v>
      </c>
      <c r="E401" s="43">
        <v>66</v>
      </c>
      <c r="F401" s="43"/>
      <c r="G401" s="43"/>
      <c r="H401" s="43"/>
      <c r="I401" s="43"/>
      <c r="J401" s="43"/>
      <c r="K401" s="43"/>
      <c r="L401" s="43"/>
      <c r="M401" s="43"/>
      <c r="N401" s="43"/>
      <c r="O401" s="43"/>
      <c r="P401" s="43"/>
      <c r="Q401" s="43"/>
      <c r="R401" s="43">
        <v>0</v>
      </c>
      <c r="S401" s="43">
        <v>105</v>
      </c>
      <c r="T401" s="43" t="s">
        <v>1509</v>
      </c>
      <c r="U401" s="43"/>
      <c r="V401" s="49"/>
      <c r="W401" s="49"/>
      <c r="X401" s="53"/>
      <c r="Y401" s="53"/>
      <c r="Z401" s="53"/>
      <c r="AA401" s="53"/>
      <c r="AB401" s="53"/>
      <c r="AC401" s="53"/>
      <c r="AD401" s="53"/>
      <c r="AE401" s="53"/>
      <c r="AF401" s="53"/>
      <c r="AG401" s="53"/>
      <c r="AH401" s="53"/>
      <c r="AI401" s="53"/>
      <c r="AJ401" s="53"/>
      <c r="AK401" s="53"/>
      <c r="AL401" s="53"/>
      <c r="AM401" s="53"/>
    </row>
    <row r="402" spans="1:39" ht="13" x14ac:dyDescent="0.15">
      <c r="A402" s="52" t="s">
        <v>1745</v>
      </c>
      <c r="B402" s="43" t="s">
        <v>1746</v>
      </c>
      <c r="C402" s="43" t="s">
        <v>1747</v>
      </c>
      <c r="D402" s="43" t="s">
        <v>1516</v>
      </c>
      <c r="E402" s="43">
        <v>51</v>
      </c>
      <c r="F402" s="43"/>
      <c r="G402" s="43"/>
      <c r="H402" s="43"/>
      <c r="I402" s="43"/>
      <c r="J402" s="43"/>
      <c r="K402" s="43"/>
      <c r="L402" s="43"/>
      <c r="M402" s="43"/>
      <c r="N402" s="43"/>
      <c r="O402" s="43"/>
      <c r="P402" s="43"/>
      <c r="Q402" s="43"/>
      <c r="R402" s="43">
        <v>0</v>
      </c>
      <c r="S402" s="43">
        <v>456</v>
      </c>
      <c r="T402" s="43" t="s">
        <v>1509</v>
      </c>
      <c r="U402" s="43"/>
      <c r="V402" s="49"/>
      <c r="W402" s="49"/>
      <c r="X402" s="53"/>
      <c r="Y402" s="53"/>
      <c r="Z402" s="53"/>
      <c r="AA402" s="53"/>
      <c r="AB402" s="53"/>
      <c r="AC402" s="53"/>
      <c r="AD402" s="53"/>
      <c r="AE402" s="53"/>
      <c r="AF402" s="53"/>
      <c r="AG402" s="53"/>
      <c r="AH402" s="53"/>
      <c r="AI402" s="53"/>
      <c r="AJ402" s="53"/>
      <c r="AK402" s="53"/>
      <c r="AL402" s="53"/>
      <c r="AM402" s="53"/>
    </row>
    <row r="403" spans="1:39" ht="13" x14ac:dyDescent="0.15">
      <c r="A403" s="52" t="s">
        <v>1748</v>
      </c>
      <c r="B403" s="43" t="s">
        <v>1749</v>
      </c>
      <c r="C403" s="43" t="s">
        <v>1750</v>
      </c>
      <c r="D403" s="43" t="s">
        <v>1516</v>
      </c>
      <c r="E403" s="43">
        <v>50</v>
      </c>
      <c r="F403" s="43"/>
      <c r="G403" s="43"/>
      <c r="H403" s="43"/>
      <c r="I403" s="43"/>
      <c r="J403" s="43"/>
      <c r="K403" s="43"/>
      <c r="L403" s="43"/>
      <c r="M403" s="43"/>
      <c r="N403" s="43"/>
      <c r="O403" s="43"/>
      <c r="P403" s="43"/>
      <c r="Q403" s="43"/>
      <c r="R403" s="43">
        <v>0</v>
      </c>
      <c r="S403" s="43">
        <v>540</v>
      </c>
      <c r="T403" s="43" t="s">
        <v>1509</v>
      </c>
      <c r="U403" s="43"/>
      <c r="V403" s="49"/>
      <c r="W403" s="49"/>
      <c r="X403" s="53"/>
      <c r="Y403" s="53"/>
      <c r="Z403" s="53"/>
      <c r="AA403" s="53"/>
      <c r="AB403" s="53"/>
      <c r="AC403" s="53"/>
      <c r="AD403" s="53"/>
      <c r="AE403" s="53"/>
      <c r="AF403" s="53"/>
      <c r="AG403" s="53"/>
      <c r="AH403" s="53"/>
      <c r="AI403" s="53"/>
      <c r="AJ403" s="53"/>
      <c r="AK403" s="53"/>
      <c r="AL403" s="53"/>
      <c r="AM403" s="53"/>
    </row>
    <row r="404" spans="1:39" ht="13" x14ac:dyDescent="0.15">
      <c r="A404" s="52" t="s">
        <v>1751</v>
      </c>
      <c r="B404" s="43" t="s">
        <v>1752</v>
      </c>
      <c r="C404" s="43" t="s">
        <v>1753</v>
      </c>
      <c r="D404" s="43" t="s">
        <v>1516</v>
      </c>
      <c r="E404" s="43">
        <v>64</v>
      </c>
      <c r="F404" s="43"/>
      <c r="G404" s="43"/>
      <c r="H404" s="43"/>
      <c r="I404" s="43"/>
      <c r="J404" s="43"/>
      <c r="K404" s="43"/>
      <c r="L404" s="43"/>
      <c r="M404" s="43"/>
      <c r="N404" s="43"/>
      <c r="O404" s="43"/>
      <c r="P404" s="43"/>
      <c r="Q404" s="43"/>
      <c r="R404" s="43">
        <v>1</v>
      </c>
      <c r="S404" s="43">
        <v>311</v>
      </c>
      <c r="T404" s="43" t="s">
        <v>1505</v>
      </c>
      <c r="U404" s="43"/>
      <c r="V404" s="49"/>
      <c r="W404" s="49"/>
      <c r="X404" s="53"/>
      <c r="Y404" s="53"/>
      <c r="Z404" s="53"/>
      <c r="AA404" s="53"/>
      <c r="AB404" s="53"/>
      <c r="AC404" s="53"/>
      <c r="AD404" s="53"/>
      <c r="AE404" s="53"/>
      <c r="AF404" s="53"/>
      <c r="AG404" s="53"/>
      <c r="AH404" s="53"/>
      <c r="AI404" s="53"/>
      <c r="AJ404" s="53"/>
      <c r="AK404" s="53"/>
      <c r="AL404" s="53"/>
      <c r="AM404" s="53"/>
    </row>
    <row r="405" spans="1:39" ht="13" x14ac:dyDescent="0.15">
      <c r="A405" s="52" t="s">
        <v>1754</v>
      </c>
      <c r="B405" s="43" t="s">
        <v>1755</v>
      </c>
      <c r="C405" s="43" t="s">
        <v>1756</v>
      </c>
      <c r="D405" s="43" t="s">
        <v>1516</v>
      </c>
      <c r="E405" s="43">
        <v>59</v>
      </c>
      <c r="F405" s="43"/>
      <c r="G405" s="43"/>
      <c r="H405" s="43"/>
      <c r="I405" s="43"/>
      <c r="J405" s="43"/>
      <c r="K405" s="43"/>
      <c r="L405" s="43"/>
      <c r="M405" s="43"/>
      <c r="N405" s="43"/>
      <c r="O405" s="43"/>
      <c r="P405" s="43"/>
      <c r="Q405" s="43"/>
      <c r="R405" s="43">
        <v>0</v>
      </c>
      <c r="S405" s="43">
        <v>250</v>
      </c>
      <c r="T405" s="43" t="s">
        <v>1509</v>
      </c>
      <c r="U405" s="43"/>
      <c r="V405" s="49"/>
      <c r="W405" s="49"/>
      <c r="X405" s="53"/>
      <c r="Y405" s="53"/>
      <c r="Z405" s="53"/>
      <c r="AA405" s="53"/>
      <c r="AB405" s="53"/>
      <c r="AC405" s="53"/>
      <c r="AD405" s="53"/>
      <c r="AE405" s="53"/>
      <c r="AF405" s="53"/>
      <c r="AG405" s="53"/>
      <c r="AH405" s="53"/>
      <c r="AI405" s="53"/>
      <c r="AJ405" s="53"/>
      <c r="AK405" s="53"/>
      <c r="AL405" s="53"/>
      <c r="AM405" s="53"/>
    </row>
    <row r="406" spans="1:39" ht="13" x14ac:dyDescent="0.15">
      <c r="A406" s="52" t="s">
        <v>1757</v>
      </c>
      <c r="B406" s="43" t="s">
        <v>1758</v>
      </c>
      <c r="C406" s="43" t="s">
        <v>1759</v>
      </c>
      <c r="D406" s="43" t="s">
        <v>1516</v>
      </c>
      <c r="E406" s="43">
        <v>59</v>
      </c>
      <c r="F406" s="43"/>
      <c r="G406" s="43"/>
      <c r="H406" s="43"/>
      <c r="I406" s="43"/>
      <c r="J406" s="43"/>
      <c r="K406" s="43"/>
      <c r="L406" s="43"/>
      <c r="M406" s="43"/>
      <c r="N406" s="43"/>
      <c r="O406" s="43"/>
      <c r="P406" s="43"/>
      <c r="Q406" s="43"/>
      <c r="R406" s="43">
        <v>1</v>
      </c>
      <c r="S406" s="43">
        <v>759</v>
      </c>
      <c r="T406" s="43" t="s">
        <v>1505</v>
      </c>
      <c r="U406" s="43"/>
      <c r="V406" s="49"/>
      <c r="W406" s="49"/>
      <c r="X406" s="53"/>
      <c r="Y406" s="53"/>
      <c r="Z406" s="53"/>
      <c r="AA406" s="53"/>
      <c r="AB406" s="53"/>
      <c r="AC406" s="53"/>
      <c r="AD406" s="53"/>
      <c r="AE406" s="53"/>
      <c r="AF406" s="53"/>
      <c r="AG406" s="53"/>
      <c r="AH406" s="53"/>
      <c r="AI406" s="53"/>
      <c r="AJ406" s="53"/>
      <c r="AK406" s="53"/>
      <c r="AL406" s="53"/>
      <c r="AM406" s="53"/>
    </row>
    <row r="407" spans="1:39" ht="13" x14ac:dyDescent="0.15">
      <c r="A407" s="52" t="s">
        <v>1760</v>
      </c>
      <c r="B407" s="43" t="s">
        <v>1761</v>
      </c>
      <c r="C407" s="43" t="s">
        <v>1762</v>
      </c>
      <c r="D407" s="43" t="s">
        <v>1516</v>
      </c>
      <c r="E407" s="43">
        <v>36</v>
      </c>
      <c r="F407" s="43"/>
      <c r="G407" s="43"/>
      <c r="H407" s="43"/>
      <c r="I407" s="43"/>
      <c r="J407" s="43"/>
      <c r="K407" s="43"/>
      <c r="L407" s="43"/>
      <c r="M407" s="43"/>
      <c r="N407" s="43"/>
      <c r="O407" s="43"/>
      <c r="P407" s="43"/>
      <c r="Q407" s="43"/>
      <c r="R407" s="43">
        <v>1</v>
      </c>
      <c r="S407" s="43">
        <v>903</v>
      </c>
      <c r="T407" s="43" t="s">
        <v>1505</v>
      </c>
      <c r="U407" s="43"/>
      <c r="V407" s="49"/>
      <c r="W407" s="49"/>
      <c r="X407" s="53"/>
      <c r="Y407" s="53"/>
      <c r="Z407" s="53"/>
      <c r="AA407" s="53"/>
      <c r="AB407" s="53"/>
      <c r="AC407" s="53"/>
      <c r="AD407" s="53"/>
      <c r="AE407" s="53"/>
      <c r="AF407" s="53"/>
      <c r="AG407" s="53"/>
      <c r="AH407" s="53"/>
      <c r="AI407" s="53"/>
      <c r="AJ407" s="53"/>
      <c r="AK407" s="53"/>
      <c r="AL407" s="53"/>
      <c r="AM407" s="53"/>
    </row>
    <row r="408" spans="1:39" ht="13" x14ac:dyDescent="0.15">
      <c r="A408" s="52" t="s">
        <v>1763</v>
      </c>
      <c r="B408" s="43" t="s">
        <v>1764</v>
      </c>
      <c r="C408" s="43" t="s">
        <v>1765</v>
      </c>
      <c r="D408" s="43" t="s">
        <v>1516</v>
      </c>
      <c r="E408" s="43">
        <v>73</v>
      </c>
      <c r="F408" s="43"/>
      <c r="G408" s="43"/>
      <c r="H408" s="43"/>
      <c r="I408" s="43"/>
      <c r="J408" s="43"/>
      <c r="K408" s="43"/>
      <c r="L408" s="43"/>
      <c r="M408" s="43"/>
      <c r="N408" s="43"/>
      <c r="O408" s="43"/>
      <c r="P408" s="43"/>
      <c r="Q408" s="43"/>
      <c r="R408" s="43">
        <v>0</v>
      </c>
      <c r="S408" s="43">
        <v>260</v>
      </c>
      <c r="T408" s="43" t="s">
        <v>1509</v>
      </c>
      <c r="U408" s="43"/>
      <c r="V408" s="49"/>
      <c r="W408" s="49"/>
      <c r="X408" s="53"/>
      <c r="Y408" s="53"/>
      <c r="Z408" s="53"/>
      <c r="AA408" s="53"/>
      <c r="AB408" s="53"/>
      <c r="AC408" s="53"/>
      <c r="AD408" s="53"/>
      <c r="AE408" s="53"/>
      <c r="AF408" s="53"/>
      <c r="AG408" s="53"/>
      <c r="AH408" s="53"/>
      <c r="AI408" s="53"/>
      <c r="AJ408" s="53"/>
      <c r="AK408" s="53"/>
      <c r="AL408" s="53"/>
      <c r="AM408" s="53"/>
    </row>
    <row r="409" spans="1:39" ht="13" x14ac:dyDescent="0.15">
      <c r="A409" s="52" t="s">
        <v>1766</v>
      </c>
      <c r="B409" s="43" t="s">
        <v>1767</v>
      </c>
      <c r="C409" s="43" t="s">
        <v>1768</v>
      </c>
      <c r="D409" s="43" t="s">
        <v>1516</v>
      </c>
      <c r="E409" s="43">
        <v>26</v>
      </c>
      <c r="F409" s="43"/>
      <c r="G409" s="43"/>
      <c r="H409" s="43"/>
      <c r="I409" s="43"/>
      <c r="J409" s="43"/>
      <c r="K409" s="43"/>
      <c r="L409" s="43"/>
      <c r="M409" s="43"/>
      <c r="N409" s="43"/>
      <c r="O409" s="43"/>
      <c r="P409" s="43"/>
      <c r="Q409" s="43"/>
      <c r="R409" s="43">
        <v>1</v>
      </c>
      <c r="S409" s="43" t="s">
        <v>1481</v>
      </c>
      <c r="T409" s="43" t="s">
        <v>1509</v>
      </c>
      <c r="U409" s="43"/>
      <c r="V409" s="49"/>
      <c r="W409" s="49"/>
      <c r="X409" s="53"/>
      <c r="Y409" s="53"/>
      <c r="Z409" s="53"/>
      <c r="AA409" s="53"/>
      <c r="AB409" s="53"/>
      <c r="AC409" s="53"/>
      <c r="AD409" s="53"/>
      <c r="AE409" s="53"/>
      <c r="AF409" s="53"/>
      <c r="AG409" s="53"/>
      <c r="AH409" s="53"/>
      <c r="AI409" s="53"/>
      <c r="AJ409" s="53"/>
      <c r="AK409" s="53"/>
      <c r="AL409" s="53"/>
      <c r="AM409" s="53"/>
    </row>
    <row r="410" spans="1:39" ht="13" x14ac:dyDescent="0.15">
      <c r="A410" s="52" t="s">
        <v>1769</v>
      </c>
      <c r="B410" s="43" t="s">
        <v>1770</v>
      </c>
      <c r="C410" s="43" t="s">
        <v>1771</v>
      </c>
      <c r="D410" s="43" t="s">
        <v>1516</v>
      </c>
      <c r="E410" s="43">
        <v>52</v>
      </c>
      <c r="F410" s="43"/>
      <c r="G410" s="43"/>
      <c r="H410" s="43"/>
      <c r="I410" s="43"/>
      <c r="J410" s="43"/>
      <c r="K410" s="43"/>
      <c r="L410" s="43"/>
      <c r="M410" s="43"/>
      <c r="N410" s="43"/>
      <c r="O410" s="43"/>
      <c r="P410" s="43"/>
      <c r="Q410" s="43"/>
      <c r="R410" s="43">
        <v>1</v>
      </c>
      <c r="S410" s="43" t="s">
        <v>1481</v>
      </c>
      <c r="T410" s="43" t="s">
        <v>1509</v>
      </c>
      <c r="U410" s="43"/>
      <c r="V410" s="49"/>
      <c r="W410" s="49"/>
      <c r="X410" s="53"/>
      <c r="Y410" s="53"/>
      <c r="Z410" s="53"/>
      <c r="AA410" s="53"/>
      <c r="AB410" s="53"/>
      <c r="AC410" s="53"/>
      <c r="AD410" s="53"/>
      <c r="AE410" s="53"/>
      <c r="AF410" s="53"/>
      <c r="AG410" s="53"/>
      <c r="AH410" s="53"/>
      <c r="AI410" s="53"/>
      <c r="AJ410" s="53"/>
      <c r="AK410" s="53"/>
      <c r="AL410" s="53"/>
      <c r="AM410" s="53"/>
    </row>
    <row r="411" spans="1:39" ht="13" x14ac:dyDescent="0.15">
      <c r="A411" s="52" t="s">
        <v>1772</v>
      </c>
      <c r="B411" s="43" t="s">
        <v>1773</v>
      </c>
      <c r="C411" s="43" t="s">
        <v>1774</v>
      </c>
      <c r="D411" s="43" t="s">
        <v>1516</v>
      </c>
      <c r="E411" s="43">
        <v>64</v>
      </c>
      <c r="F411" s="43"/>
      <c r="G411" s="43"/>
      <c r="H411" s="43"/>
      <c r="I411" s="43"/>
      <c r="J411" s="43"/>
      <c r="K411" s="43"/>
      <c r="L411" s="43"/>
      <c r="M411" s="43"/>
      <c r="N411" s="43"/>
      <c r="O411" s="43"/>
      <c r="P411" s="43"/>
      <c r="Q411" s="43"/>
      <c r="R411" s="43">
        <v>1</v>
      </c>
      <c r="S411" s="43">
        <v>1096</v>
      </c>
      <c r="T411" s="43" t="s">
        <v>1509</v>
      </c>
      <c r="U411" s="43"/>
      <c r="V411" s="49"/>
      <c r="W411" s="49"/>
      <c r="X411" s="53"/>
      <c r="Y411" s="53"/>
      <c r="Z411" s="53"/>
      <c r="AA411" s="53"/>
      <c r="AB411" s="53"/>
      <c r="AC411" s="53"/>
      <c r="AD411" s="53"/>
      <c r="AE411" s="53"/>
      <c r="AF411" s="53"/>
      <c r="AG411" s="53"/>
      <c r="AH411" s="53"/>
      <c r="AI411" s="53"/>
      <c r="AJ411" s="53"/>
      <c r="AK411" s="53"/>
      <c r="AL411" s="53"/>
      <c r="AM411" s="53"/>
    </row>
    <row r="412" spans="1:39" ht="13" x14ac:dyDescent="0.15">
      <c r="A412" s="1" t="s">
        <v>990</v>
      </c>
      <c r="B412" s="1" t="s">
        <v>991</v>
      </c>
      <c r="C412" s="4" t="s">
        <v>992</v>
      </c>
      <c r="D412" s="1" t="s">
        <v>14</v>
      </c>
      <c r="E412" s="1"/>
      <c r="F412" s="1" t="s">
        <v>1504</v>
      </c>
      <c r="G412" s="1"/>
      <c r="H412" s="1"/>
      <c r="I412" s="1"/>
      <c r="J412" s="1"/>
      <c r="K412" s="1"/>
      <c r="L412" s="1"/>
      <c r="M412" s="1"/>
      <c r="N412" s="1"/>
      <c r="O412" s="1"/>
      <c r="P412" s="1"/>
      <c r="Q412" s="1"/>
      <c r="R412" s="1">
        <v>0</v>
      </c>
      <c r="S412" s="1"/>
      <c r="T412" s="1" t="s">
        <v>1509</v>
      </c>
      <c r="U412" s="1" t="s">
        <v>1506</v>
      </c>
      <c r="V412" s="49">
        <v>126</v>
      </c>
      <c r="W412" s="49">
        <v>0</v>
      </c>
      <c r="X412" s="2">
        <v>74</v>
      </c>
    </row>
    <row r="413" spans="1:39" ht="13" x14ac:dyDescent="0.15">
      <c r="A413" s="1" t="s">
        <v>993</v>
      </c>
      <c r="B413" s="1" t="s">
        <v>994</v>
      </c>
      <c r="C413" s="4" t="s">
        <v>995</v>
      </c>
      <c r="D413" s="1" t="s">
        <v>14</v>
      </c>
      <c r="E413" s="1"/>
      <c r="F413" s="1" t="s">
        <v>1507</v>
      </c>
      <c r="G413" s="1"/>
      <c r="H413" s="1"/>
      <c r="I413" s="1"/>
      <c r="J413" s="1"/>
      <c r="K413" s="1"/>
      <c r="L413" s="1"/>
      <c r="M413" s="1"/>
      <c r="N413" s="1"/>
      <c r="O413" s="1"/>
      <c r="P413" s="1"/>
      <c r="Q413" s="1"/>
      <c r="R413" s="1">
        <v>1</v>
      </c>
      <c r="S413" s="1"/>
      <c r="T413" s="1" t="s">
        <v>1510</v>
      </c>
      <c r="U413" s="1" t="s">
        <v>1506</v>
      </c>
      <c r="V413" s="49">
        <v>10</v>
      </c>
      <c r="W413" s="49">
        <v>0</v>
      </c>
      <c r="X413" s="2">
        <v>75</v>
      </c>
    </row>
    <row r="414" spans="1:39" ht="13" x14ac:dyDescent="0.15">
      <c r="A414" s="1" t="s">
        <v>996</v>
      </c>
      <c r="B414" s="1" t="s">
        <v>997</v>
      </c>
      <c r="C414" s="4" t="s">
        <v>998</v>
      </c>
      <c r="D414" s="1" t="s">
        <v>14</v>
      </c>
      <c r="E414" s="1"/>
      <c r="F414" s="1" t="s">
        <v>1504</v>
      </c>
      <c r="G414" s="1"/>
      <c r="H414" s="1"/>
      <c r="I414" s="1"/>
      <c r="J414" s="1"/>
      <c r="K414" s="1"/>
      <c r="L414" s="1"/>
      <c r="M414" s="1"/>
      <c r="N414" s="1"/>
      <c r="O414" s="1"/>
      <c r="P414" s="1"/>
      <c r="Q414" s="1"/>
      <c r="R414" s="1">
        <v>1</v>
      </c>
      <c r="S414" s="1"/>
      <c r="T414" s="1" t="s">
        <v>1509</v>
      </c>
      <c r="U414" s="1" t="s">
        <v>1775</v>
      </c>
      <c r="V414" s="49">
        <v>112</v>
      </c>
      <c r="W414" s="49">
        <v>0</v>
      </c>
      <c r="X414" s="2">
        <v>34</v>
      </c>
    </row>
    <row r="415" spans="1:39" ht="13" x14ac:dyDescent="0.15">
      <c r="A415" s="1" t="s">
        <v>999</v>
      </c>
      <c r="B415" s="1" t="s">
        <v>1000</v>
      </c>
      <c r="C415" s="4" t="s">
        <v>1001</v>
      </c>
      <c r="D415" s="1" t="s">
        <v>14</v>
      </c>
      <c r="E415" s="1"/>
      <c r="F415" s="1" t="s">
        <v>1507</v>
      </c>
      <c r="G415" s="1"/>
      <c r="H415" s="1"/>
      <c r="I415" s="1"/>
      <c r="J415" s="1"/>
      <c r="K415" s="1"/>
      <c r="L415" s="1"/>
      <c r="M415" s="1"/>
      <c r="N415" s="1"/>
      <c r="O415" s="1"/>
      <c r="P415" s="1"/>
      <c r="Q415" s="1"/>
      <c r="R415" s="1">
        <v>0</v>
      </c>
      <c r="S415" s="1"/>
      <c r="T415" s="1" t="s">
        <v>1509</v>
      </c>
      <c r="U415" s="1" t="s">
        <v>1506</v>
      </c>
      <c r="V415" s="49">
        <v>262</v>
      </c>
      <c r="W415" s="49">
        <v>0</v>
      </c>
      <c r="X415" s="2">
        <v>63</v>
      </c>
    </row>
    <row r="416" spans="1:39" ht="13" x14ac:dyDescent="0.15">
      <c r="A416" s="1" t="s">
        <v>1002</v>
      </c>
      <c r="B416" s="1" t="s">
        <v>1003</v>
      </c>
      <c r="C416" s="4" t="s">
        <v>1004</v>
      </c>
      <c r="D416" s="1" t="s">
        <v>14</v>
      </c>
      <c r="E416" s="1"/>
      <c r="F416" s="1" t="s">
        <v>1504</v>
      </c>
      <c r="G416" s="1"/>
      <c r="H416" s="1"/>
      <c r="I416" s="1"/>
      <c r="J416" s="1"/>
      <c r="K416" s="1"/>
      <c r="L416" s="1"/>
      <c r="M416" s="1"/>
      <c r="N416" s="1"/>
      <c r="O416" s="1"/>
      <c r="P416" s="1"/>
      <c r="Q416" s="1"/>
      <c r="R416" s="1">
        <v>1</v>
      </c>
      <c r="S416" s="1"/>
      <c r="T416" s="1" t="s">
        <v>1510</v>
      </c>
      <c r="U416" s="1" t="s">
        <v>1506</v>
      </c>
      <c r="V416" s="49">
        <v>96</v>
      </c>
      <c r="W416" s="49">
        <v>1</v>
      </c>
      <c r="X416" s="2">
        <v>75</v>
      </c>
    </row>
    <row r="417" spans="1:24" ht="13" x14ac:dyDescent="0.15">
      <c r="A417" s="1" t="s">
        <v>1005</v>
      </c>
      <c r="B417" s="1" t="s">
        <v>1006</v>
      </c>
      <c r="C417" s="4" t="s">
        <v>1007</v>
      </c>
      <c r="D417" s="1" t="s">
        <v>14</v>
      </c>
      <c r="E417" s="1"/>
      <c r="F417" s="1" t="s">
        <v>1504</v>
      </c>
      <c r="G417" s="1"/>
      <c r="H417" s="1"/>
      <c r="I417" s="1"/>
      <c r="J417" s="1"/>
      <c r="K417" s="1"/>
      <c r="L417" s="1"/>
      <c r="M417" s="1"/>
      <c r="N417" s="1"/>
      <c r="O417" s="1"/>
      <c r="P417" s="1"/>
      <c r="Q417" s="1"/>
      <c r="R417" s="1">
        <v>1</v>
      </c>
      <c r="S417" s="1"/>
      <c r="T417" s="1" t="s">
        <v>1505</v>
      </c>
      <c r="U417" s="1" t="s">
        <v>1506</v>
      </c>
      <c r="V417" s="49">
        <v>169</v>
      </c>
      <c r="W417" s="49">
        <v>1</v>
      </c>
      <c r="X417" s="2">
        <v>75</v>
      </c>
    </row>
    <row r="418" spans="1:24" ht="13" x14ac:dyDescent="0.15">
      <c r="A418" s="1" t="s">
        <v>1008</v>
      </c>
      <c r="B418" s="1" t="s">
        <v>1009</v>
      </c>
      <c r="C418" s="4" t="s">
        <v>1010</v>
      </c>
      <c r="D418" s="1" t="s">
        <v>14</v>
      </c>
      <c r="E418" s="1"/>
      <c r="F418" s="1" t="s">
        <v>1504</v>
      </c>
      <c r="G418" s="1"/>
      <c r="H418" s="1"/>
      <c r="I418" s="1"/>
      <c r="J418" s="1"/>
      <c r="K418" s="1"/>
      <c r="L418" s="1"/>
      <c r="M418" s="1"/>
      <c r="N418" s="1"/>
      <c r="O418" s="1"/>
      <c r="P418" s="1"/>
      <c r="Q418" s="1"/>
      <c r="R418" s="1">
        <v>1</v>
      </c>
      <c r="S418" s="1"/>
      <c r="T418" s="1" t="s">
        <v>1505</v>
      </c>
      <c r="U418" s="1" t="s">
        <v>1506</v>
      </c>
      <c r="V418" s="49">
        <v>249</v>
      </c>
      <c r="W418" s="49">
        <v>0</v>
      </c>
      <c r="X418" s="2">
        <v>65</v>
      </c>
    </row>
    <row r="419" spans="1:24" ht="13" x14ac:dyDescent="0.15">
      <c r="A419" s="1" t="s">
        <v>1011</v>
      </c>
      <c r="B419" s="1" t="s">
        <v>1012</v>
      </c>
      <c r="C419" s="4" t="s">
        <v>1013</v>
      </c>
      <c r="D419" s="1" t="s">
        <v>14</v>
      </c>
      <c r="E419" s="1"/>
      <c r="F419" s="1" t="s">
        <v>1504</v>
      </c>
      <c r="G419" s="1"/>
      <c r="H419" s="1"/>
      <c r="I419" s="1"/>
      <c r="J419" s="1"/>
      <c r="K419" s="1"/>
      <c r="L419" s="1"/>
      <c r="M419" s="1"/>
      <c r="N419" s="1"/>
      <c r="O419" s="1"/>
      <c r="P419" s="1"/>
      <c r="Q419" s="1"/>
      <c r="R419" s="1">
        <v>1</v>
      </c>
      <c r="S419" s="1"/>
      <c r="T419" s="1" t="s">
        <v>1505</v>
      </c>
      <c r="U419" s="1" t="s">
        <v>1506</v>
      </c>
      <c r="V419" s="49">
        <v>657</v>
      </c>
      <c r="W419" s="49">
        <v>1</v>
      </c>
      <c r="X419" s="2">
        <v>52</v>
      </c>
    </row>
    <row r="420" spans="1:24" ht="13" x14ac:dyDescent="0.15">
      <c r="A420" s="1" t="s">
        <v>1014</v>
      </c>
      <c r="B420" s="1" t="s">
        <v>1015</v>
      </c>
      <c r="C420" s="4" t="s">
        <v>1016</v>
      </c>
      <c r="D420" s="1" t="s">
        <v>14</v>
      </c>
      <c r="E420" s="1"/>
      <c r="F420" s="1" t="s">
        <v>1507</v>
      </c>
      <c r="G420" s="1"/>
      <c r="H420" s="1"/>
      <c r="I420" s="1"/>
      <c r="J420" s="1"/>
      <c r="K420" s="1"/>
      <c r="L420" s="1"/>
      <c r="M420" s="1"/>
      <c r="N420" s="1"/>
      <c r="O420" s="1"/>
      <c r="P420" s="1"/>
      <c r="Q420" s="1"/>
      <c r="R420" s="1">
        <v>1</v>
      </c>
      <c r="S420" s="1"/>
      <c r="T420" s="1" t="s">
        <v>1509</v>
      </c>
      <c r="U420" s="1" t="s">
        <v>1506</v>
      </c>
      <c r="V420" s="49">
        <v>92</v>
      </c>
      <c r="W420" s="49">
        <v>0</v>
      </c>
      <c r="X420" s="2">
        <v>68</v>
      </c>
    </row>
    <row r="421" spans="1:24" ht="13" x14ac:dyDescent="0.15">
      <c r="A421" s="1" t="s">
        <v>1017</v>
      </c>
      <c r="B421" s="1" t="s">
        <v>1018</v>
      </c>
      <c r="C421" s="4" t="s">
        <v>1019</v>
      </c>
      <c r="D421" s="1" t="s">
        <v>14</v>
      </c>
      <c r="E421" s="1"/>
      <c r="F421" s="1" t="s">
        <v>1504</v>
      </c>
      <c r="G421" s="1"/>
      <c r="H421" s="1"/>
      <c r="I421" s="1"/>
      <c r="J421" s="1"/>
      <c r="K421" s="1"/>
      <c r="L421" s="1"/>
      <c r="M421" s="1"/>
      <c r="N421" s="1"/>
      <c r="O421" s="1"/>
      <c r="P421" s="1"/>
      <c r="Q421" s="1"/>
      <c r="R421" s="1">
        <v>1</v>
      </c>
      <c r="S421" s="1"/>
      <c r="T421" s="1" t="s">
        <v>1505</v>
      </c>
      <c r="U421" s="1" t="s">
        <v>1684</v>
      </c>
      <c r="V421" s="49">
        <v>21</v>
      </c>
      <c r="W421" s="49">
        <v>0</v>
      </c>
      <c r="X421" s="2">
        <v>36</v>
      </c>
    </row>
    <row r="422" spans="1:24" ht="13" x14ac:dyDescent="0.15">
      <c r="A422" s="1" t="s">
        <v>1020</v>
      </c>
      <c r="B422" s="1" t="s">
        <v>1021</v>
      </c>
      <c r="C422" s="4" t="s">
        <v>1022</v>
      </c>
      <c r="D422" s="1" t="s">
        <v>14</v>
      </c>
      <c r="E422" s="1"/>
      <c r="F422" s="1" t="s">
        <v>1507</v>
      </c>
      <c r="G422" s="1"/>
      <c r="H422" s="1"/>
      <c r="I422" s="1"/>
      <c r="J422" s="1"/>
      <c r="K422" s="1"/>
      <c r="L422" s="1"/>
      <c r="M422" s="1"/>
      <c r="N422" s="1"/>
      <c r="O422" s="1"/>
      <c r="P422" s="1"/>
      <c r="Q422" s="1"/>
      <c r="R422" s="1">
        <v>1</v>
      </c>
      <c r="S422" s="1"/>
      <c r="T422" s="1" t="s">
        <v>1510</v>
      </c>
      <c r="U422" s="1" t="s">
        <v>1506</v>
      </c>
      <c r="V422" s="49">
        <v>38</v>
      </c>
      <c r="W422" s="49">
        <v>1</v>
      </c>
      <c r="X422" s="2">
        <v>76</v>
      </c>
    </row>
    <row r="423" spans="1:24" ht="13" x14ac:dyDescent="0.15">
      <c r="A423" s="1" t="s">
        <v>1023</v>
      </c>
      <c r="B423" s="1" t="s">
        <v>1024</v>
      </c>
      <c r="C423" s="4" t="s">
        <v>1025</v>
      </c>
      <c r="D423" s="1" t="s">
        <v>14</v>
      </c>
      <c r="E423" s="1"/>
      <c r="F423" s="1" t="s">
        <v>1504</v>
      </c>
      <c r="G423" s="1"/>
      <c r="H423" s="1"/>
      <c r="I423" s="1"/>
      <c r="J423" s="1"/>
      <c r="K423" s="1"/>
      <c r="L423" s="1"/>
      <c r="M423" s="1"/>
      <c r="N423" s="1"/>
      <c r="O423" s="1"/>
      <c r="P423" s="1"/>
      <c r="Q423" s="1"/>
      <c r="R423" s="1">
        <v>1</v>
      </c>
      <c r="S423" s="1"/>
      <c r="T423" s="1" t="s">
        <v>1509</v>
      </c>
      <c r="U423" s="1" t="s">
        <v>1506</v>
      </c>
      <c r="V423" s="49">
        <v>518</v>
      </c>
      <c r="W423" s="49">
        <v>0</v>
      </c>
      <c r="X423" s="2">
        <v>80</v>
      </c>
    </row>
    <row r="424" spans="1:24" ht="13" x14ac:dyDescent="0.15">
      <c r="A424" s="1" t="s">
        <v>1026</v>
      </c>
      <c r="B424" s="1" t="s">
        <v>1027</v>
      </c>
      <c r="C424" s="4" t="s">
        <v>1028</v>
      </c>
      <c r="D424" s="1" t="s">
        <v>14</v>
      </c>
      <c r="E424" s="1"/>
      <c r="F424" s="1" t="s">
        <v>1504</v>
      </c>
      <c r="G424" s="1"/>
      <c r="H424" s="1"/>
      <c r="I424" s="1"/>
      <c r="J424" s="1"/>
      <c r="K424" s="1"/>
      <c r="L424" s="1"/>
      <c r="M424" s="1"/>
      <c r="N424" s="1"/>
      <c r="O424" s="1"/>
      <c r="P424" s="1"/>
      <c r="Q424" s="1"/>
      <c r="R424" s="1">
        <v>0</v>
      </c>
      <c r="S424" s="1"/>
      <c r="T424" s="1" t="s">
        <v>1509</v>
      </c>
      <c r="U424" s="1" t="s">
        <v>1506</v>
      </c>
      <c r="V424" s="49">
        <v>483</v>
      </c>
      <c r="W424" s="49">
        <v>0</v>
      </c>
      <c r="X424" s="2">
        <v>57</v>
      </c>
    </row>
    <row r="425" spans="1:24" ht="13" x14ac:dyDescent="0.15">
      <c r="A425" s="1" t="s">
        <v>1029</v>
      </c>
      <c r="B425" s="1" t="s">
        <v>1030</v>
      </c>
      <c r="C425" s="4" t="s">
        <v>1031</v>
      </c>
      <c r="D425" s="1" t="s">
        <v>14</v>
      </c>
      <c r="E425" s="1"/>
      <c r="F425" s="1" t="s">
        <v>1504</v>
      </c>
      <c r="G425" s="1"/>
      <c r="H425" s="1"/>
      <c r="I425" s="1"/>
      <c r="J425" s="1"/>
      <c r="K425" s="1"/>
      <c r="L425" s="1"/>
      <c r="M425" s="1"/>
      <c r="N425" s="1"/>
      <c r="O425" s="1"/>
      <c r="P425" s="1"/>
      <c r="Q425" s="1"/>
      <c r="R425" s="1">
        <v>1</v>
      </c>
      <c r="S425" s="1"/>
      <c r="T425" s="1" t="s">
        <v>1509</v>
      </c>
      <c r="U425" s="1" t="s">
        <v>1506</v>
      </c>
      <c r="V425" s="49">
        <v>84</v>
      </c>
      <c r="W425" s="49">
        <v>1</v>
      </c>
      <c r="X425" s="2">
        <v>83</v>
      </c>
    </row>
    <row r="426" spans="1:24" ht="13" x14ac:dyDescent="0.15">
      <c r="A426" s="1" t="s">
        <v>1032</v>
      </c>
      <c r="B426" s="1" t="s">
        <v>1033</v>
      </c>
      <c r="C426" s="4" t="s">
        <v>1034</v>
      </c>
      <c r="D426" s="1" t="s">
        <v>14</v>
      </c>
      <c r="E426" s="1"/>
      <c r="F426" s="1" t="s">
        <v>1504</v>
      </c>
      <c r="G426" s="1"/>
      <c r="H426" s="1"/>
      <c r="I426" s="1"/>
      <c r="J426" s="1"/>
      <c r="K426" s="1"/>
      <c r="L426" s="1"/>
      <c r="M426" s="1"/>
      <c r="N426" s="1"/>
      <c r="O426" s="1"/>
      <c r="P426" s="1"/>
      <c r="Q426" s="1"/>
      <c r="R426" s="1">
        <v>0</v>
      </c>
      <c r="S426" s="1"/>
      <c r="T426" s="1" t="s">
        <v>1505</v>
      </c>
      <c r="U426" s="1" t="s">
        <v>1506</v>
      </c>
      <c r="V426" s="49">
        <v>475</v>
      </c>
      <c r="W426" s="49">
        <v>1</v>
      </c>
      <c r="X426" s="2">
        <v>67</v>
      </c>
    </row>
    <row r="427" spans="1:24" ht="13" x14ac:dyDescent="0.15">
      <c r="A427" s="1" t="s">
        <v>1035</v>
      </c>
      <c r="B427" s="1" t="s">
        <v>1036</v>
      </c>
      <c r="C427" s="4" t="s">
        <v>1037</v>
      </c>
      <c r="D427" s="1" t="s">
        <v>14</v>
      </c>
      <c r="E427" s="1"/>
      <c r="F427" s="1" t="s">
        <v>1507</v>
      </c>
      <c r="G427" s="1"/>
      <c r="H427" s="1"/>
      <c r="I427" s="1"/>
      <c r="J427" s="1"/>
      <c r="K427" s="1"/>
      <c r="L427" s="1"/>
      <c r="M427" s="1"/>
      <c r="N427" s="1"/>
      <c r="O427" s="1"/>
      <c r="P427" s="1"/>
      <c r="Q427" s="1"/>
      <c r="R427" s="1">
        <v>0</v>
      </c>
      <c r="S427" s="1"/>
      <c r="T427" s="1" t="s">
        <v>1509</v>
      </c>
      <c r="U427" s="1" t="s">
        <v>1506</v>
      </c>
      <c r="V427" s="49">
        <v>204</v>
      </c>
      <c r="W427" s="49">
        <v>0</v>
      </c>
      <c r="X427" s="2">
        <v>73</v>
      </c>
    </row>
    <row r="428" spans="1:24" ht="13" x14ac:dyDescent="0.15">
      <c r="A428" s="1" t="s">
        <v>1038</v>
      </c>
      <c r="B428" s="1" t="s">
        <v>1039</v>
      </c>
      <c r="C428" s="4" t="s">
        <v>1040</v>
      </c>
      <c r="D428" s="1" t="s">
        <v>14</v>
      </c>
      <c r="E428" s="1"/>
      <c r="F428" s="1" t="s">
        <v>1504</v>
      </c>
      <c r="G428" s="1"/>
      <c r="H428" s="1"/>
      <c r="I428" s="1"/>
      <c r="J428" s="1"/>
      <c r="K428" s="1"/>
      <c r="L428" s="1"/>
      <c r="M428" s="1"/>
      <c r="N428" s="1"/>
      <c r="O428" s="1"/>
      <c r="P428" s="1"/>
      <c r="Q428" s="1"/>
      <c r="R428" s="1">
        <v>1</v>
      </c>
      <c r="S428" s="1"/>
      <c r="T428" s="1" t="s">
        <v>1510</v>
      </c>
      <c r="U428" s="1" t="s">
        <v>1506</v>
      </c>
      <c r="V428" s="49">
        <v>55</v>
      </c>
      <c r="W428" s="49">
        <v>0</v>
      </c>
      <c r="X428" s="2">
        <v>71</v>
      </c>
    </row>
    <row r="429" spans="1:24" ht="13" x14ac:dyDescent="0.15">
      <c r="A429" s="1" t="s">
        <v>1041</v>
      </c>
      <c r="B429" s="1" t="s">
        <v>1042</v>
      </c>
      <c r="C429" s="4" t="s">
        <v>1043</v>
      </c>
      <c r="D429" s="1" t="s">
        <v>14</v>
      </c>
      <c r="E429" s="1"/>
      <c r="F429" s="1" t="s">
        <v>1507</v>
      </c>
      <c r="G429" s="1"/>
      <c r="H429" s="1"/>
      <c r="I429" s="1"/>
      <c r="J429" s="1"/>
      <c r="K429" s="1"/>
      <c r="L429" s="1"/>
      <c r="M429" s="1"/>
      <c r="N429" s="1"/>
      <c r="O429" s="1"/>
      <c r="P429" s="1"/>
      <c r="Q429" s="1"/>
      <c r="R429" s="1">
        <v>1</v>
      </c>
      <c r="S429" s="1"/>
      <c r="T429" s="1" t="s">
        <v>1509</v>
      </c>
      <c r="U429" s="1" t="s">
        <v>1506</v>
      </c>
      <c r="V429" s="49">
        <v>316</v>
      </c>
      <c r="W429" s="49">
        <v>0</v>
      </c>
      <c r="X429" s="2">
        <v>55</v>
      </c>
    </row>
    <row r="430" spans="1:24" ht="13" x14ac:dyDescent="0.15">
      <c r="A430" s="1" t="s">
        <v>1044</v>
      </c>
      <c r="B430" s="1" t="s">
        <v>1045</v>
      </c>
      <c r="C430" s="4" t="s">
        <v>1046</v>
      </c>
      <c r="D430" s="1" t="s">
        <v>14</v>
      </c>
      <c r="E430" s="1"/>
      <c r="F430" s="1" t="s">
        <v>1507</v>
      </c>
      <c r="G430" s="1"/>
      <c r="H430" s="1"/>
      <c r="I430" s="1"/>
      <c r="J430" s="1"/>
      <c r="K430" s="1"/>
      <c r="L430" s="1"/>
      <c r="M430" s="1"/>
      <c r="N430" s="1"/>
      <c r="O430" s="1"/>
      <c r="P430" s="1"/>
      <c r="Q430" s="1"/>
      <c r="R430" s="1">
        <v>0</v>
      </c>
      <c r="S430" s="1"/>
      <c r="T430" s="1" t="s">
        <v>1510</v>
      </c>
      <c r="U430" s="1" t="s">
        <v>1506</v>
      </c>
      <c r="V430" s="49">
        <v>375</v>
      </c>
      <c r="W430" s="49">
        <v>0</v>
      </c>
      <c r="X430" s="2">
        <v>54</v>
      </c>
    </row>
    <row r="431" spans="1:24" ht="13" x14ac:dyDescent="0.15">
      <c r="A431" s="1" t="s">
        <v>1047</v>
      </c>
      <c r="B431" s="1" t="s">
        <v>1048</v>
      </c>
      <c r="C431" s="4" t="s">
        <v>1049</v>
      </c>
      <c r="D431" s="1" t="s">
        <v>14</v>
      </c>
      <c r="E431" s="1"/>
      <c r="F431" s="1" t="s">
        <v>1504</v>
      </c>
      <c r="G431" s="1"/>
      <c r="H431" s="1"/>
      <c r="I431" s="1"/>
      <c r="J431" s="1"/>
      <c r="K431" s="1"/>
      <c r="L431" s="1"/>
      <c r="M431" s="1"/>
      <c r="N431" s="1"/>
      <c r="O431" s="1"/>
      <c r="P431" s="1"/>
      <c r="Q431" s="1"/>
      <c r="R431" s="1">
        <v>0</v>
      </c>
      <c r="S431" s="1"/>
      <c r="T431" s="1" t="s">
        <v>1505</v>
      </c>
      <c r="U431" s="1" t="s">
        <v>1506</v>
      </c>
      <c r="V431" s="49">
        <v>134</v>
      </c>
      <c r="W431" s="49">
        <v>1</v>
      </c>
      <c r="X431" s="2">
        <v>67</v>
      </c>
    </row>
    <row r="432" spans="1:24" ht="13" x14ac:dyDescent="0.15">
      <c r="A432" s="1" t="s">
        <v>1050</v>
      </c>
      <c r="B432" s="1" t="s">
        <v>1051</v>
      </c>
      <c r="C432" s="4" t="s">
        <v>1052</v>
      </c>
      <c r="D432" s="1" t="s">
        <v>14</v>
      </c>
      <c r="E432" s="1"/>
      <c r="F432" s="1" t="s">
        <v>1504</v>
      </c>
      <c r="G432" s="1"/>
      <c r="H432" s="1"/>
      <c r="I432" s="1"/>
      <c r="J432" s="1"/>
      <c r="K432" s="1"/>
      <c r="L432" s="1"/>
      <c r="M432" s="1"/>
      <c r="N432" s="1"/>
      <c r="O432" s="1"/>
      <c r="P432" s="1"/>
      <c r="Q432" s="1"/>
      <c r="R432" s="1">
        <v>1</v>
      </c>
      <c r="S432" s="1"/>
      <c r="T432" s="1" t="s">
        <v>1509</v>
      </c>
      <c r="U432" s="1" t="s">
        <v>1506</v>
      </c>
      <c r="V432" s="49">
        <v>334</v>
      </c>
      <c r="W432" s="49">
        <v>1</v>
      </c>
      <c r="X432" s="2">
        <v>68</v>
      </c>
    </row>
    <row r="433" spans="1:24" ht="13" x14ac:dyDescent="0.15">
      <c r="A433" s="1" t="s">
        <v>1053</v>
      </c>
      <c r="B433" s="1" t="s">
        <v>1054</v>
      </c>
      <c r="C433" s="4" t="s">
        <v>1055</v>
      </c>
      <c r="D433" s="1" t="s">
        <v>14</v>
      </c>
      <c r="E433" s="1"/>
      <c r="F433" s="1" t="s">
        <v>1504</v>
      </c>
      <c r="G433" s="1"/>
      <c r="H433" s="1"/>
      <c r="I433" s="1"/>
      <c r="J433" s="1"/>
      <c r="K433" s="1"/>
      <c r="L433" s="1"/>
      <c r="M433" s="1"/>
      <c r="N433" s="1"/>
      <c r="O433" s="1"/>
      <c r="P433" s="1"/>
      <c r="Q433" s="1"/>
      <c r="R433" s="1">
        <v>1</v>
      </c>
      <c r="S433" s="1"/>
      <c r="T433" s="1" t="s">
        <v>1509</v>
      </c>
      <c r="U433" s="1" t="s">
        <v>1506</v>
      </c>
      <c r="V433" s="49">
        <v>205</v>
      </c>
      <c r="W433" s="49">
        <v>1</v>
      </c>
      <c r="X433" s="2">
        <v>65</v>
      </c>
    </row>
    <row r="434" spans="1:24" ht="13" x14ac:dyDescent="0.15">
      <c r="A434" s="1" t="s">
        <v>1056</v>
      </c>
      <c r="B434" s="1" t="s">
        <v>1057</v>
      </c>
      <c r="C434" s="4" t="s">
        <v>1058</v>
      </c>
      <c r="D434" s="1" t="s">
        <v>14</v>
      </c>
      <c r="E434" s="1"/>
      <c r="F434" s="1" t="s">
        <v>1504</v>
      </c>
      <c r="G434" s="1"/>
      <c r="H434" s="1"/>
      <c r="I434" s="1"/>
      <c r="J434" s="1"/>
      <c r="K434" s="1"/>
      <c r="L434" s="1"/>
      <c r="M434" s="1"/>
      <c r="N434" s="1"/>
      <c r="O434" s="1"/>
      <c r="P434" s="1"/>
      <c r="Q434" s="1"/>
      <c r="R434" s="1">
        <v>1</v>
      </c>
      <c r="S434" s="1"/>
      <c r="T434" s="1" t="s">
        <v>1505</v>
      </c>
      <c r="U434" s="1" t="s">
        <v>1506</v>
      </c>
      <c r="V434" s="49">
        <v>680</v>
      </c>
      <c r="W434" s="49">
        <v>0</v>
      </c>
      <c r="X434" s="2">
        <v>47</v>
      </c>
    </row>
    <row r="435" spans="1:24" ht="13" x14ac:dyDescent="0.15">
      <c r="A435" s="1" t="s">
        <v>1059</v>
      </c>
      <c r="B435" s="1" t="s">
        <v>1060</v>
      </c>
      <c r="C435" s="4" t="s">
        <v>1061</v>
      </c>
      <c r="D435" s="1" t="s">
        <v>14</v>
      </c>
      <c r="E435" s="1"/>
      <c r="F435" s="1" t="s">
        <v>1507</v>
      </c>
      <c r="G435" s="1"/>
      <c r="H435" s="1"/>
      <c r="I435" s="1"/>
      <c r="J435" s="1"/>
      <c r="K435" s="1"/>
      <c r="L435" s="1"/>
      <c r="M435" s="1"/>
      <c r="N435" s="1"/>
      <c r="O435" s="1"/>
      <c r="P435" s="1"/>
      <c r="Q435" s="1"/>
      <c r="R435" s="1">
        <v>0</v>
      </c>
      <c r="S435" s="1"/>
      <c r="T435" s="1" t="s">
        <v>1510</v>
      </c>
      <c r="U435" s="1" t="s">
        <v>1506</v>
      </c>
      <c r="V435" s="49">
        <v>37</v>
      </c>
      <c r="W435" s="49">
        <v>0</v>
      </c>
      <c r="X435" s="2">
        <v>62</v>
      </c>
    </row>
    <row r="436" spans="1:24" ht="13" x14ac:dyDescent="0.15">
      <c r="A436" s="1" t="s">
        <v>1062</v>
      </c>
      <c r="B436" s="1" t="s">
        <v>1063</v>
      </c>
      <c r="C436" s="4" t="s">
        <v>1064</v>
      </c>
      <c r="D436" s="1" t="s">
        <v>14</v>
      </c>
      <c r="E436" s="1"/>
      <c r="F436" s="1" t="s">
        <v>1504</v>
      </c>
      <c r="G436" s="1"/>
      <c r="H436" s="1"/>
      <c r="I436" s="1"/>
      <c r="J436" s="1"/>
      <c r="K436" s="1"/>
      <c r="L436" s="1"/>
      <c r="M436" s="1"/>
      <c r="N436" s="1"/>
      <c r="O436" s="1"/>
      <c r="P436" s="1"/>
      <c r="Q436" s="1"/>
      <c r="R436" s="1">
        <v>1</v>
      </c>
      <c r="S436" s="1"/>
      <c r="T436" s="1" t="s">
        <v>1509</v>
      </c>
      <c r="U436" s="1" t="s">
        <v>1506</v>
      </c>
      <c r="V436" s="49">
        <v>306</v>
      </c>
      <c r="W436" s="49">
        <v>0</v>
      </c>
      <c r="X436" s="2">
        <v>62</v>
      </c>
    </row>
    <row r="437" spans="1:24" ht="13" x14ac:dyDescent="0.15">
      <c r="A437" s="1" t="s">
        <v>1065</v>
      </c>
      <c r="B437" s="1" t="s">
        <v>1066</v>
      </c>
      <c r="C437" s="4" t="s">
        <v>1067</v>
      </c>
      <c r="D437" s="1" t="s">
        <v>14</v>
      </c>
      <c r="E437" s="1"/>
      <c r="F437" s="1" t="s">
        <v>1504</v>
      </c>
      <c r="G437" s="1"/>
      <c r="H437" s="1"/>
      <c r="I437" s="1"/>
      <c r="J437" s="1"/>
      <c r="K437" s="1"/>
      <c r="L437" s="1"/>
      <c r="M437" s="1"/>
      <c r="N437" s="1"/>
      <c r="O437" s="1"/>
      <c r="P437" s="1"/>
      <c r="Q437" s="1"/>
      <c r="R437" s="1">
        <v>0</v>
      </c>
      <c r="S437" s="1"/>
      <c r="T437" s="1" t="s">
        <v>1509</v>
      </c>
      <c r="U437" s="1" t="s">
        <v>1506</v>
      </c>
      <c r="V437" s="49">
        <v>422</v>
      </c>
      <c r="W437" s="49">
        <v>1</v>
      </c>
      <c r="X437" s="2">
        <v>42</v>
      </c>
    </row>
    <row r="438" spans="1:24" ht="13" x14ac:dyDescent="0.15">
      <c r="A438" s="1" t="s">
        <v>1068</v>
      </c>
      <c r="B438" s="1" t="s">
        <v>1069</v>
      </c>
      <c r="C438" s="4" t="s">
        <v>1070</v>
      </c>
      <c r="D438" s="1" t="s">
        <v>14</v>
      </c>
      <c r="E438" s="1"/>
      <c r="F438" s="1" t="s">
        <v>1507</v>
      </c>
      <c r="G438" s="1"/>
      <c r="H438" s="1"/>
      <c r="I438" s="1"/>
      <c r="J438" s="1"/>
      <c r="K438" s="1"/>
      <c r="L438" s="1"/>
      <c r="M438" s="1"/>
      <c r="N438" s="1"/>
      <c r="O438" s="1"/>
      <c r="P438" s="1"/>
      <c r="Q438" s="1"/>
      <c r="R438" s="1">
        <v>1</v>
      </c>
      <c r="S438" s="1"/>
      <c r="T438" s="1" t="s">
        <v>1510</v>
      </c>
      <c r="U438" s="1" t="s">
        <v>1506</v>
      </c>
      <c r="V438" s="49">
        <v>28</v>
      </c>
      <c r="W438" s="49">
        <v>1</v>
      </c>
      <c r="X438" s="2">
        <v>71</v>
      </c>
    </row>
    <row r="439" spans="1:24" ht="13" x14ac:dyDescent="0.15">
      <c r="A439" s="1" t="s">
        <v>1071</v>
      </c>
      <c r="B439" s="1" t="s">
        <v>1072</v>
      </c>
      <c r="C439" s="4" t="s">
        <v>1073</v>
      </c>
      <c r="D439" s="1" t="s">
        <v>14</v>
      </c>
      <c r="E439" s="1"/>
      <c r="F439" s="1" t="s">
        <v>1507</v>
      </c>
      <c r="G439" s="1"/>
      <c r="H439" s="1"/>
      <c r="I439" s="1"/>
      <c r="J439" s="1"/>
      <c r="K439" s="1"/>
      <c r="L439" s="1"/>
      <c r="M439" s="1"/>
      <c r="N439" s="1"/>
      <c r="O439" s="1"/>
      <c r="P439" s="1"/>
      <c r="Q439" s="1"/>
      <c r="R439" s="1">
        <v>1</v>
      </c>
      <c r="S439" s="1"/>
      <c r="T439" s="1" t="s">
        <v>1509</v>
      </c>
      <c r="U439" s="1" t="s">
        <v>1506</v>
      </c>
      <c r="V439" s="49">
        <v>624</v>
      </c>
      <c r="W439" s="49">
        <v>1</v>
      </c>
      <c r="X439" s="2">
        <v>58</v>
      </c>
    </row>
    <row r="440" spans="1:24" ht="13" x14ac:dyDescent="0.15">
      <c r="A440" s="1" t="s">
        <v>1074</v>
      </c>
      <c r="B440" s="1" t="s">
        <v>1075</v>
      </c>
      <c r="C440" s="4" t="s">
        <v>1076</v>
      </c>
      <c r="D440" s="1" t="s">
        <v>14</v>
      </c>
      <c r="E440" s="1"/>
      <c r="F440" s="1" t="s">
        <v>1507</v>
      </c>
      <c r="G440" s="1"/>
      <c r="H440" s="1"/>
      <c r="I440" s="1"/>
      <c r="J440" s="1"/>
      <c r="K440" s="1"/>
      <c r="L440" s="1"/>
      <c r="M440" s="1"/>
      <c r="N440" s="1"/>
      <c r="O440" s="1"/>
      <c r="P440" s="1"/>
      <c r="Q440" s="1"/>
      <c r="R440" s="1">
        <v>1</v>
      </c>
      <c r="S440" s="1"/>
      <c r="T440" s="1" t="s">
        <v>1509</v>
      </c>
      <c r="U440" s="1" t="s">
        <v>1506</v>
      </c>
      <c r="V440" s="49">
        <v>150</v>
      </c>
      <c r="W440" s="49">
        <v>0</v>
      </c>
      <c r="X440" s="2">
        <v>58</v>
      </c>
    </row>
    <row r="441" spans="1:24" ht="13" x14ac:dyDescent="0.15">
      <c r="A441" s="1" t="s">
        <v>1077</v>
      </c>
      <c r="B441" s="1" t="s">
        <v>1078</v>
      </c>
      <c r="C441" s="4" t="s">
        <v>1079</v>
      </c>
      <c r="D441" s="1" t="s">
        <v>14</v>
      </c>
      <c r="E441" s="1"/>
      <c r="F441" s="1" t="s">
        <v>1504</v>
      </c>
      <c r="G441" s="1"/>
      <c r="H441" s="1"/>
      <c r="I441" s="1"/>
      <c r="J441" s="1"/>
      <c r="K441" s="1"/>
      <c r="L441" s="1"/>
      <c r="M441" s="1"/>
      <c r="N441" s="1"/>
      <c r="O441" s="1"/>
      <c r="P441" s="1"/>
      <c r="Q441" s="1"/>
      <c r="R441" s="1">
        <v>0</v>
      </c>
      <c r="S441" s="1"/>
      <c r="T441" s="1" t="s">
        <v>1505</v>
      </c>
      <c r="U441" s="1" t="s">
        <v>1506</v>
      </c>
      <c r="V441" s="49">
        <v>78</v>
      </c>
      <c r="W441" s="49">
        <v>0</v>
      </c>
      <c r="X441" s="2">
        <v>78</v>
      </c>
    </row>
    <row r="442" spans="1:24" ht="13" x14ac:dyDescent="0.15">
      <c r="A442" s="1" t="s">
        <v>1080</v>
      </c>
      <c r="B442" s="1" t="s">
        <v>1081</v>
      </c>
      <c r="C442" s="4" t="s">
        <v>1082</v>
      </c>
      <c r="D442" s="1" t="s">
        <v>14</v>
      </c>
      <c r="E442" s="1"/>
      <c r="F442" s="1" t="s">
        <v>1504</v>
      </c>
      <c r="G442" s="1"/>
      <c r="H442" s="1"/>
      <c r="I442" s="1"/>
      <c r="J442" s="1"/>
      <c r="K442" s="1"/>
      <c r="L442" s="1"/>
      <c r="M442" s="1"/>
      <c r="N442" s="1"/>
      <c r="O442" s="1"/>
      <c r="P442" s="1"/>
      <c r="Q442" s="1"/>
      <c r="R442" s="1">
        <v>0</v>
      </c>
      <c r="S442" s="1"/>
      <c r="T442" s="1" t="s">
        <v>1509</v>
      </c>
      <c r="U442" s="1" t="s">
        <v>1506</v>
      </c>
      <c r="V442" s="49">
        <v>406</v>
      </c>
      <c r="W442" s="49">
        <v>1</v>
      </c>
      <c r="X442" s="2">
        <v>79</v>
      </c>
    </row>
    <row r="443" spans="1:24" ht="13" x14ac:dyDescent="0.15">
      <c r="A443" s="1" t="s">
        <v>1083</v>
      </c>
      <c r="B443" s="1" t="s">
        <v>1084</v>
      </c>
      <c r="C443" s="4" t="s">
        <v>1085</v>
      </c>
      <c r="D443" s="1" t="s">
        <v>14</v>
      </c>
      <c r="E443" s="1"/>
      <c r="F443" s="1" t="s">
        <v>1507</v>
      </c>
      <c r="G443" s="1"/>
      <c r="H443" s="1"/>
      <c r="I443" s="1"/>
      <c r="J443" s="1"/>
      <c r="K443" s="1"/>
      <c r="L443" s="1"/>
      <c r="M443" s="1"/>
      <c r="N443" s="1"/>
      <c r="O443" s="1"/>
      <c r="P443" s="1"/>
      <c r="Q443" s="1"/>
      <c r="R443" s="1">
        <v>0</v>
      </c>
      <c r="S443" s="1"/>
      <c r="T443" s="1" t="s">
        <v>1509</v>
      </c>
      <c r="U443" s="1" t="s">
        <v>1506</v>
      </c>
      <c r="V443" s="49">
        <v>35</v>
      </c>
      <c r="W443" s="49">
        <v>0</v>
      </c>
      <c r="X443" s="2">
        <v>61</v>
      </c>
    </row>
    <row r="444" spans="1:24" ht="13" x14ac:dyDescent="0.15">
      <c r="A444" s="1" t="s">
        <v>1086</v>
      </c>
      <c r="B444" s="1" t="s">
        <v>1087</v>
      </c>
      <c r="C444" s="4" t="s">
        <v>1088</v>
      </c>
      <c r="D444" s="1" t="s">
        <v>14</v>
      </c>
      <c r="E444" s="1"/>
      <c r="F444" s="1" t="s">
        <v>1504</v>
      </c>
      <c r="G444" s="1"/>
      <c r="H444" s="1"/>
      <c r="I444" s="1"/>
      <c r="J444" s="1"/>
      <c r="K444" s="1"/>
      <c r="L444" s="1"/>
      <c r="M444" s="1"/>
      <c r="N444" s="1"/>
      <c r="O444" s="1"/>
      <c r="P444" s="1"/>
      <c r="Q444" s="1"/>
      <c r="R444" s="1">
        <v>1</v>
      </c>
      <c r="S444" s="1"/>
      <c r="T444" s="1" t="s">
        <v>1509</v>
      </c>
      <c r="U444" s="1" t="s">
        <v>1506</v>
      </c>
      <c r="V444" s="49">
        <v>142</v>
      </c>
      <c r="W444" s="49">
        <v>0</v>
      </c>
      <c r="X444" s="2">
        <v>77</v>
      </c>
    </row>
    <row r="445" spans="1:24" ht="13" x14ac:dyDescent="0.15">
      <c r="A445" s="1" t="s">
        <v>1089</v>
      </c>
      <c r="B445" s="1" t="s">
        <v>1090</v>
      </c>
      <c r="C445" s="4" t="s">
        <v>1091</v>
      </c>
      <c r="D445" s="1" t="s">
        <v>14</v>
      </c>
      <c r="E445" s="1"/>
      <c r="F445" s="1" t="s">
        <v>1507</v>
      </c>
      <c r="G445" s="1"/>
      <c r="H445" s="1"/>
      <c r="I445" s="1"/>
      <c r="J445" s="1"/>
      <c r="K445" s="1"/>
      <c r="L445" s="1"/>
      <c r="M445" s="1"/>
      <c r="N445" s="1"/>
      <c r="O445" s="1"/>
      <c r="P445" s="1"/>
      <c r="Q445" s="1"/>
      <c r="R445" s="1">
        <v>0</v>
      </c>
      <c r="S445" s="1"/>
      <c r="T445" s="1" t="s">
        <v>1509</v>
      </c>
      <c r="U445" s="1" t="s">
        <v>1506</v>
      </c>
      <c r="V445" s="49">
        <v>303</v>
      </c>
      <c r="W445" s="49">
        <v>1</v>
      </c>
      <c r="X445" s="2">
        <v>80</v>
      </c>
    </row>
    <row r="446" spans="1:24" ht="13" x14ac:dyDescent="0.15">
      <c r="A446" s="1" t="s">
        <v>1092</v>
      </c>
      <c r="B446" s="1" t="s">
        <v>1093</v>
      </c>
      <c r="C446" s="4" t="s">
        <v>1094</v>
      </c>
      <c r="D446" s="1" t="s">
        <v>14</v>
      </c>
      <c r="E446" s="1"/>
      <c r="F446" s="1" t="s">
        <v>1504</v>
      </c>
      <c r="G446" s="1"/>
      <c r="H446" s="1"/>
      <c r="I446" s="1"/>
      <c r="J446" s="1"/>
      <c r="K446" s="1"/>
      <c r="L446" s="1"/>
      <c r="M446" s="1"/>
      <c r="N446" s="1"/>
      <c r="O446" s="1"/>
      <c r="P446" s="1"/>
      <c r="Q446" s="1"/>
      <c r="R446" s="1">
        <v>1</v>
      </c>
      <c r="S446" s="1"/>
      <c r="T446" s="1" t="s">
        <v>1510</v>
      </c>
      <c r="U446" s="1" t="s">
        <v>1506</v>
      </c>
      <c r="V446" s="49">
        <v>70</v>
      </c>
      <c r="W446" s="49">
        <v>1</v>
      </c>
      <c r="X446" s="2">
        <v>71</v>
      </c>
    </row>
    <row r="447" spans="1:24" ht="13" x14ac:dyDescent="0.15">
      <c r="A447" s="1" t="s">
        <v>1095</v>
      </c>
      <c r="B447" s="1" t="s">
        <v>1096</v>
      </c>
      <c r="C447" s="4" t="s">
        <v>1097</v>
      </c>
      <c r="D447" s="1" t="s">
        <v>14</v>
      </c>
      <c r="E447" s="1"/>
      <c r="F447" s="1" t="s">
        <v>1504</v>
      </c>
      <c r="G447" s="1"/>
      <c r="H447" s="1"/>
      <c r="I447" s="1"/>
      <c r="J447" s="1"/>
      <c r="K447" s="1"/>
      <c r="L447" s="1"/>
      <c r="M447" s="1"/>
      <c r="N447" s="1"/>
      <c r="O447" s="1"/>
      <c r="P447" s="1"/>
      <c r="Q447" s="1"/>
      <c r="R447" s="1">
        <v>0</v>
      </c>
      <c r="S447" s="1"/>
      <c r="T447" s="1" t="s">
        <v>1509</v>
      </c>
      <c r="U447" s="1" t="s">
        <v>1506</v>
      </c>
      <c r="V447" s="49">
        <v>504</v>
      </c>
      <c r="W447" s="49">
        <v>0</v>
      </c>
      <c r="X447" s="2">
        <v>42</v>
      </c>
    </row>
    <row r="448" spans="1:24" ht="13" x14ac:dyDescent="0.15">
      <c r="A448" s="1" t="s">
        <v>1098</v>
      </c>
      <c r="B448" s="1" t="s">
        <v>1099</v>
      </c>
      <c r="C448" s="4" t="s">
        <v>1100</v>
      </c>
      <c r="D448" s="1" t="s">
        <v>14</v>
      </c>
      <c r="E448" s="1"/>
      <c r="F448" s="1" t="s">
        <v>1507</v>
      </c>
      <c r="G448" s="1"/>
      <c r="H448" s="1"/>
      <c r="I448" s="1"/>
      <c r="J448" s="1"/>
      <c r="K448" s="1"/>
      <c r="L448" s="1"/>
      <c r="M448" s="1"/>
      <c r="N448" s="1"/>
      <c r="O448" s="1"/>
      <c r="P448" s="1"/>
      <c r="Q448" s="1"/>
      <c r="R448" s="1">
        <v>1</v>
      </c>
      <c r="S448" s="1"/>
      <c r="T448" s="1" t="s">
        <v>1509</v>
      </c>
      <c r="U448" s="1" t="s">
        <v>1506</v>
      </c>
      <c r="V448" s="49">
        <v>292</v>
      </c>
      <c r="W448" s="49">
        <v>0</v>
      </c>
      <c r="X448" s="2">
        <v>31</v>
      </c>
    </row>
    <row r="449" spans="1:24" ht="13" x14ac:dyDescent="0.15">
      <c r="A449" s="1" t="s">
        <v>1101</v>
      </c>
      <c r="B449" s="1" t="s">
        <v>1102</v>
      </c>
      <c r="C449" s="4" t="s">
        <v>1103</v>
      </c>
      <c r="D449" s="1" t="s">
        <v>14</v>
      </c>
      <c r="E449" s="1"/>
      <c r="F449" s="1" t="s">
        <v>1507</v>
      </c>
      <c r="G449" s="1"/>
      <c r="H449" s="1"/>
      <c r="I449" s="1"/>
      <c r="J449" s="1"/>
      <c r="K449" s="1"/>
      <c r="L449" s="1"/>
      <c r="M449" s="1"/>
      <c r="N449" s="1"/>
      <c r="O449" s="1"/>
      <c r="P449" s="1"/>
      <c r="Q449" s="1"/>
      <c r="R449" s="1">
        <v>0</v>
      </c>
      <c r="S449" s="1"/>
      <c r="T449" s="1" t="s">
        <v>1509</v>
      </c>
      <c r="U449" s="1" t="s">
        <v>1506</v>
      </c>
      <c r="V449" s="49">
        <v>45</v>
      </c>
      <c r="W449" s="49">
        <v>1</v>
      </c>
      <c r="X449" s="2">
        <v>82</v>
      </c>
    </row>
    <row r="450" spans="1:24" ht="13" x14ac:dyDescent="0.15">
      <c r="A450" s="1" t="s">
        <v>1104</v>
      </c>
      <c r="B450" s="1" t="s">
        <v>1105</v>
      </c>
      <c r="C450" s="4" t="s">
        <v>1106</v>
      </c>
      <c r="D450" s="1" t="s">
        <v>14</v>
      </c>
      <c r="E450" s="1"/>
      <c r="F450" s="1" t="s">
        <v>1504</v>
      </c>
      <c r="G450" s="1"/>
      <c r="H450" s="1"/>
      <c r="I450" s="1"/>
      <c r="J450" s="1"/>
      <c r="K450" s="1"/>
      <c r="L450" s="1"/>
      <c r="M450" s="1"/>
      <c r="N450" s="1"/>
      <c r="O450" s="1"/>
      <c r="P450" s="1"/>
      <c r="Q450" s="1"/>
      <c r="R450" s="1">
        <v>1</v>
      </c>
      <c r="S450" s="1"/>
      <c r="T450" s="1" t="s">
        <v>1509</v>
      </c>
      <c r="U450" s="1" t="s">
        <v>1506</v>
      </c>
      <c r="V450" s="49">
        <v>373</v>
      </c>
      <c r="W450" s="49">
        <v>0</v>
      </c>
      <c r="X450" s="2">
        <v>70</v>
      </c>
    </row>
    <row r="451" spans="1:24" ht="13" x14ac:dyDescent="0.15">
      <c r="A451" s="1" t="s">
        <v>1107</v>
      </c>
      <c r="B451" s="1" t="s">
        <v>1108</v>
      </c>
      <c r="C451" s="4" t="s">
        <v>1109</v>
      </c>
      <c r="D451" s="1" t="s">
        <v>14</v>
      </c>
      <c r="E451" s="1"/>
      <c r="F451" s="1" t="s">
        <v>1504</v>
      </c>
      <c r="G451" s="1"/>
      <c r="H451" s="1"/>
      <c r="I451" s="1"/>
      <c r="J451" s="1"/>
      <c r="K451" s="1"/>
      <c r="L451" s="1"/>
      <c r="M451" s="1"/>
      <c r="N451" s="1"/>
      <c r="O451" s="1"/>
      <c r="P451" s="1"/>
      <c r="Q451" s="1"/>
      <c r="R451" s="1">
        <v>1</v>
      </c>
      <c r="S451" s="1"/>
      <c r="T451" s="1" t="s">
        <v>1509</v>
      </c>
      <c r="U451" s="1" t="s">
        <v>1684</v>
      </c>
      <c r="V451" s="49">
        <v>222</v>
      </c>
      <c r="W451" s="49">
        <v>0</v>
      </c>
      <c r="X451" s="2">
        <v>51</v>
      </c>
    </row>
    <row r="452" spans="1:24" ht="13" x14ac:dyDescent="0.15">
      <c r="A452" s="1" t="s">
        <v>1110</v>
      </c>
      <c r="B452" s="1" t="s">
        <v>1111</v>
      </c>
      <c r="C452" s="4" t="s">
        <v>1112</v>
      </c>
      <c r="D452" s="1" t="s">
        <v>14</v>
      </c>
      <c r="E452" s="1"/>
      <c r="F452" s="1" t="s">
        <v>1504</v>
      </c>
      <c r="G452" s="1"/>
      <c r="H452" s="1"/>
      <c r="I452" s="1"/>
      <c r="J452" s="1"/>
      <c r="K452" s="1"/>
      <c r="L452" s="1"/>
      <c r="M452" s="1"/>
      <c r="N452" s="1"/>
      <c r="O452" s="1"/>
      <c r="P452" s="1"/>
      <c r="Q452" s="1"/>
      <c r="R452" s="1">
        <v>0</v>
      </c>
      <c r="S452" s="1"/>
      <c r="T452" s="1" t="s">
        <v>1509</v>
      </c>
      <c r="U452" s="1" t="s">
        <v>1506</v>
      </c>
      <c r="V452" s="49">
        <v>369</v>
      </c>
      <c r="W452" s="49">
        <v>0</v>
      </c>
      <c r="X452" s="2">
        <v>32</v>
      </c>
    </row>
    <row r="453" spans="1:24" ht="13" x14ac:dyDescent="0.15">
      <c r="A453" s="1" t="s">
        <v>1113</v>
      </c>
      <c r="B453" s="1" t="s">
        <v>1114</v>
      </c>
      <c r="C453" s="4" t="s">
        <v>1115</v>
      </c>
      <c r="D453" s="1" t="s">
        <v>14</v>
      </c>
      <c r="E453" s="1"/>
      <c r="F453" s="1" t="s">
        <v>1504</v>
      </c>
      <c r="G453" s="1"/>
      <c r="H453" s="1"/>
      <c r="I453" s="1"/>
      <c r="J453" s="1"/>
      <c r="K453" s="1"/>
      <c r="L453" s="1"/>
      <c r="M453" s="1"/>
      <c r="N453" s="1"/>
      <c r="O453" s="1"/>
      <c r="P453" s="1"/>
      <c r="Q453" s="1"/>
      <c r="R453" s="1">
        <v>1</v>
      </c>
      <c r="S453" s="1"/>
      <c r="T453" s="1" t="s">
        <v>1509</v>
      </c>
      <c r="U453" s="1" t="s">
        <v>1506</v>
      </c>
      <c r="V453" s="49">
        <v>605</v>
      </c>
      <c r="W453" s="49">
        <v>1</v>
      </c>
      <c r="X453" s="2">
        <v>54</v>
      </c>
    </row>
    <row r="454" spans="1:24" ht="13" x14ac:dyDescent="0.15">
      <c r="A454" s="1" t="s">
        <v>1116</v>
      </c>
      <c r="B454" s="1" t="s">
        <v>1117</v>
      </c>
      <c r="C454" s="4" t="s">
        <v>1118</v>
      </c>
      <c r="D454" s="1" t="s">
        <v>14</v>
      </c>
      <c r="E454" s="1"/>
      <c r="F454" s="1" t="s">
        <v>1507</v>
      </c>
      <c r="G454" s="1"/>
      <c r="H454" s="1"/>
      <c r="I454" s="1"/>
      <c r="J454" s="1"/>
      <c r="K454" s="1"/>
      <c r="L454" s="1"/>
      <c r="M454" s="1"/>
      <c r="N454" s="1"/>
      <c r="O454" s="1"/>
      <c r="P454" s="1"/>
      <c r="Q454" s="1"/>
      <c r="R454" s="1">
        <v>1</v>
      </c>
      <c r="S454" s="1"/>
      <c r="T454" s="1" t="s">
        <v>1509</v>
      </c>
      <c r="U454" s="1" t="s">
        <v>1506</v>
      </c>
      <c r="V454" s="49">
        <v>267</v>
      </c>
      <c r="W454" s="49">
        <v>0</v>
      </c>
      <c r="X454" s="2">
        <v>68</v>
      </c>
    </row>
    <row r="455" spans="1:24" ht="13" x14ac:dyDescent="0.15">
      <c r="A455" s="1" t="s">
        <v>1119</v>
      </c>
      <c r="B455" s="1" t="s">
        <v>1120</v>
      </c>
      <c r="C455" s="4" t="s">
        <v>1121</v>
      </c>
      <c r="D455" s="1" t="s">
        <v>14</v>
      </c>
      <c r="E455" s="1"/>
      <c r="F455" s="1" t="s">
        <v>1507</v>
      </c>
      <c r="G455" s="1"/>
      <c r="H455" s="1"/>
      <c r="I455" s="1"/>
      <c r="J455" s="1"/>
      <c r="K455" s="1"/>
      <c r="L455" s="1"/>
      <c r="M455" s="1"/>
      <c r="N455" s="1"/>
      <c r="O455" s="1"/>
      <c r="P455" s="1"/>
      <c r="Q455" s="1"/>
      <c r="R455" s="1">
        <v>1</v>
      </c>
      <c r="S455" s="1"/>
      <c r="T455" s="1" t="s">
        <v>1509</v>
      </c>
      <c r="U455" s="1" t="s">
        <v>1506</v>
      </c>
      <c r="V455" s="49">
        <v>156</v>
      </c>
      <c r="W455" s="49">
        <v>0</v>
      </c>
      <c r="X455" s="2">
        <v>65</v>
      </c>
    </row>
    <row r="456" spans="1:24" ht="13" x14ac:dyDescent="0.15">
      <c r="A456" s="1" t="s">
        <v>1122</v>
      </c>
      <c r="B456" s="1" t="s">
        <v>1123</v>
      </c>
      <c r="C456" s="4" t="s">
        <v>1124</v>
      </c>
      <c r="D456" s="1" t="s">
        <v>14</v>
      </c>
      <c r="E456" s="1"/>
      <c r="F456" s="1" t="s">
        <v>1504</v>
      </c>
      <c r="G456" s="1"/>
      <c r="H456" s="1"/>
      <c r="I456" s="1"/>
      <c r="J456" s="1"/>
      <c r="K456" s="1"/>
      <c r="L456" s="1"/>
      <c r="M456" s="1"/>
      <c r="N456" s="1"/>
      <c r="O456" s="1"/>
      <c r="P456" s="1"/>
      <c r="Q456" s="1"/>
      <c r="R456" s="1">
        <v>0</v>
      </c>
      <c r="S456" s="1"/>
      <c r="T456" s="1" t="s">
        <v>1509</v>
      </c>
      <c r="U456" s="1" t="s">
        <v>1506</v>
      </c>
      <c r="V456" s="49">
        <v>114</v>
      </c>
      <c r="W456" s="49">
        <v>0</v>
      </c>
      <c r="X456" s="2">
        <v>74</v>
      </c>
    </row>
    <row r="457" spans="1:24" ht="13" x14ac:dyDescent="0.15">
      <c r="A457" s="1" t="s">
        <v>1125</v>
      </c>
      <c r="B457" s="1" t="s">
        <v>1126</v>
      </c>
      <c r="C457" s="4" t="s">
        <v>1127</v>
      </c>
      <c r="D457" s="1" t="s">
        <v>14</v>
      </c>
      <c r="E457" s="1"/>
      <c r="F457" s="1" t="s">
        <v>1504</v>
      </c>
      <c r="G457" s="1"/>
      <c r="H457" s="1"/>
      <c r="I457" s="1"/>
      <c r="J457" s="1"/>
      <c r="K457" s="1"/>
      <c r="L457" s="1"/>
      <c r="M457" s="1"/>
      <c r="N457" s="1"/>
      <c r="O457" s="1"/>
      <c r="P457" s="1"/>
      <c r="Q457" s="1"/>
      <c r="R457" s="1">
        <v>0</v>
      </c>
      <c r="S457" s="1"/>
      <c r="T457" s="1" t="s">
        <v>1509</v>
      </c>
      <c r="U457" s="1" t="s">
        <v>1506</v>
      </c>
      <c r="V457" s="49">
        <v>512</v>
      </c>
      <c r="W457" s="49">
        <v>0</v>
      </c>
      <c r="X457" s="2">
        <v>43</v>
      </c>
    </row>
    <row r="458" spans="1:24" ht="13" x14ac:dyDescent="0.15">
      <c r="A458" s="1" t="s">
        <v>1128</v>
      </c>
      <c r="B458" s="1" t="s">
        <v>1129</v>
      </c>
      <c r="C458" s="4" t="s">
        <v>1130</v>
      </c>
      <c r="D458" s="1" t="s">
        <v>14</v>
      </c>
      <c r="E458" s="1"/>
      <c r="F458" s="1" t="s">
        <v>1507</v>
      </c>
      <c r="G458" s="1"/>
      <c r="H458" s="1"/>
      <c r="I458" s="1"/>
      <c r="J458" s="1"/>
      <c r="K458" s="1"/>
      <c r="L458" s="1"/>
      <c r="M458" s="1"/>
      <c r="N458" s="1"/>
      <c r="O458" s="1"/>
      <c r="P458" s="1"/>
      <c r="Q458" s="1"/>
      <c r="R458" s="1">
        <v>0</v>
      </c>
      <c r="S458" s="1"/>
      <c r="T458" s="1" t="s">
        <v>1510</v>
      </c>
      <c r="U458" s="1" t="s">
        <v>1506</v>
      </c>
      <c r="V458" s="49">
        <v>287</v>
      </c>
      <c r="W458" s="49">
        <v>1</v>
      </c>
      <c r="X458" s="2">
        <v>72</v>
      </c>
    </row>
    <row r="459" spans="1:24" ht="13" x14ac:dyDescent="0.15">
      <c r="A459" s="1" t="s">
        <v>1131</v>
      </c>
      <c r="B459" s="1" t="s">
        <v>1132</v>
      </c>
      <c r="C459" s="4" t="s">
        <v>1133</v>
      </c>
      <c r="D459" s="1" t="s">
        <v>14</v>
      </c>
      <c r="E459" s="1"/>
      <c r="F459" s="1" t="s">
        <v>1504</v>
      </c>
      <c r="G459" s="1"/>
      <c r="H459" s="1"/>
      <c r="I459" s="1"/>
      <c r="J459" s="1"/>
      <c r="K459" s="1"/>
      <c r="L459" s="1"/>
      <c r="M459" s="1"/>
      <c r="N459" s="1"/>
      <c r="O459" s="1"/>
      <c r="P459" s="1"/>
      <c r="Q459" s="1"/>
      <c r="R459" s="1">
        <v>1</v>
      </c>
      <c r="S459" s="1"/>
      <c r="T459" s="1" t="s">
        <v>1505</v>
      </c>
      <c r="U459" s="1" t="s">
        <v>1506</v>
      </c>
      <c r="V459" s="49">
        <v>285</v>
      </c>
      <c r="W459" s="49">
        <v>0</v>
      </c>
      <c r="X459" s="2">
        <v>64</v>
      </c>
    </row>
    <row r="460" spans="1:24" ht="13" x14ac:dyDescent="0.15">
      <c r="A460" s="1" t="s">
        <v>1134</v>
      </c>
      <c r="B460" s="1" t="s">
        <v>1135</v>
      </c>
      <c r="C460" s="4" t="s">
        <v>1136</v>
      </c>
      <c r="D460" s="1" t="s">
        <v>14</v>
      </c>
      <c r="E460" s="1"/>
      <c r="F460" s="1" t="s">
        <v>1504</v>
      </c>
      <c r="G460" s="1"/>
      <c r="H460" s="1"/>
      <c r="I460" s="1"/>
      <c r="J460" s="1"/>
      <c r="K460" s="1"/>
      <c r="L460" s="1"/>
      <c r="M460" s="1"/>
      <c r="N460" s="1"/>
      <c r="O460" s="1"/>
      <c r="P460" s="1"/>
      <c r="Q460" s="1"/>
      <c r="R460" s="1">
        <v>1</v>
      </c>
      <c r="S460" s="1"/>
      <c r="T460" s="1" t="s">
        <v>1509</v>
      </c>
      <c r="U460" s="1" t="s">
        <v>1506</v>
      </c>
      <c r="V460" s="49">
        <v>307</v>
      </c>
      <c r="W460" s="49">
        <v>0</v>
      </c>
      <c r="X460" s="2">
        <v>77</v>
      </c>
    </row>
    <row r="461" spans="1:24" ht="13" x14ac:dyDescent="0.15">
      <c r="A461" s="1" t="s">
        <v>1137</v>
      </c>
      <c r="B461" s="1" t="s">
        <v>1138</v>
      </c>
      <c r="C461" s="4" t="s">
        <v>1139</v>
      </c>
      <c r="D461" s="1" t="s">
        <v>14</v>
      </c>
      <c r="E461" s="1"/>
      <c r="F461" s="1" t="s">
        <v>1504</v>
      </c>
      <c r="G461" s="1"/>
      <c r="H461" s="1"/>
      <c r="I461" s="1"/>
      <c r="J461" s="1"/>
      <c r="K461" s="1"/>
      <c r="L461" s="1"/>
      <c r="M461" s="1"/>
      <c r="N461" s="1"/>
      <c r="O461" s="1"/>
      <c r="P461" s="1"/>
      <c r="Q461" s="1"/>
      <c r="R461" s="1">
        <v>1</v>
      </c>
      <c r="S461" s="1"/>
      <c r="T461" s="1" t="s">
        <v>1505</v>
      </c>
      <c r="U461" s="1" t="s">
        <v>1506</v>
      </c>
      <c r="V461" s="49">
        <v>602</v>
      </c>
      <c r="W461" s="49">
        <v>0</v>
      </c>
      <c r="X461" s="2">
        <v>52</v>
      </c>
    </row>
    <row r="462" spans="1:24" ht="13" x14ac:dyDescent="0.15">
      <c r="A462" s="1" t="s">
        <v>1140</v>
      </c>
      <c r="B462" s="1" t="s">
        <v>1141</v>
      </c>
      <c r="C462" s="4" t="s">
        <v>1142</v>
      </c>
      <c r="D462" s="1" t="s">
        <v>14</v>
      </c>
      <c r="E462" s="1"/>
      <c r="F462" s="1" t="s">
        <v>1504</v>
      </c>
      <c r="G462" s="1"/>
      <c r="H462" s="1"/>
      <c r="I462" s="1"/>
      <c r="J462" s="1"/>
      <c r="K462" s="1"/>
      <c r="L462" s="1"/>
      <c r="M462" s="1"/>
      <c r="N462" s="1"/>
      <c r="O462" s="1"/>
      <c r="P462" s="1"/>
      <c r="Q462" s="1"/>
      <c r="R462" s="1">
        <v>1</v>
      </c>
      <c r="S462" s="1"/>
      <c r="T462" s="1" t="s">
        <v>1509</v>
      </c>
      <c r="U462" s="1" t="s">
        <v>1506</v>
      </c>
      <c r="V462" s="49">
        <v>252</v>
      </c>
      <c r="W462" s="49">
        <v>0</v>
      </c>
      <c r="X462" s="2">
        <v>62</v>
      </c>
    </row>
    <row r="463" spans="1:24" ht="13" x14ac:dyDescent="0.15">
      <c r="A463" s="1" t="s">
        <v>1143</v>
      </c>
      <c r="B463" s="1" t="s">
        <v>1144</v>
      </c>
      <c r="C463" s="4" t="s">
        <v>1145</v>
      </c>
      <c r="D463" s="1" t="s">
        <v>14</v>
      </c>
      <c r="E463" s="1"/>
      <c r="F463" s="1" t="s">
        <v>1504</v>
      </c>
      <c r="G463" s="1"/>
      <c r="H463" s="1"/>
      <c r="I463" s="1"/>
      <c r="J463" s="1"/>
      <c r="K463" s="1"/>
      <c r="L463" s="1"/>
      <c r="M463" s="1"/>
      <c r="N463" s="1"/>
      <c r="O463" s="1"/>
      <c r="P463" s="1"/>
      <c r="Q463" s="1"/>
      <c r="R463" s="1">
        <v>1</v>
      </c>
      <c r="S463" s="1"/>
      <c r="T463" s="1" t="s">
        <v>1509</v>
      </c>
      <c r="U463" s="1" t="s">
        <v>1506</v>
      </c>
      <c r="V463" s="49">
        <v>54</v>
      </c>
      <c r="W463" s="49">
        <v>1</v>
      </c>
      <c r="X463" s="2">
        <v>94</v>
      </c>
    </row>
    <row r="464" spans="1:24" ht="13" x14ac:dyDescent="0.15">
      <c r="A464" s="1" t="s">
        <v>1146</v>
      </c>
      <c r="B464" s="1" t="s">
        <v>1147</v>
      </c>
      <c r="C464" s="4" t="s">
        <v>1148</v>
      </c>
      <c r="D464" s="1" t="s">
        <v>14</v>
      </c>
      <c r="E464" s="1"/>
      <c r="F464" s="1" t="s">
        <v>1504</v>
      </c>
      <c r="G464" s="1"/>
      <c r="H464" s="1"/>
      <c r="I464" s="1"/>
      <c r="J464" s="1"/>
      <c r="K464" s="1"/>
      <c r="L464" s="1"/>
      <c r="M464" s="1"/>
      <c r="N464" s="1"/>
      <c r="O464" s="1"/>
      <c r="P464" s="1"/>
      <c r="Q464" s="1"/>
      <c r="R464" s="1">
        <v>1</v>
      </c>
      <c r="S464" s="1"/>
      <c r="T464" s="1" t="s">
        <v>1505</v>
      </c>
      <c r="U464" s="1" t="s">
        <v>1776</v>
      </c>
      <c r="V464" s="49">
        <v>15</v>
      </c>
      <c r="W464" s="49">
        <v>0</v>
      </c>
      <c r="X464" s="2">
        <v>37</v>
      </c>
    </row>
    <row r="465" spans="1:24" ht="13" x14ac:dyDescent="0.15">
      <c r="A465" s="1" t="s">
        <v>1149</v>
      </c>
      <c r="B465" s="1" t="s">
        <v>1150</v>
      </c>
      <c r="C465" s="4" t="s">
        <v>1151</v>
      </c>
      <c r="D465" s="1" t="s">
        <v>14</v>
      </c>
      <c r="E465" s="1"/>
      <c r="F465" s="1" t="s">
        <v>1504</v>
      </c>
      <c r="G465" s="1"/>
      <c r="H465" s="1"/>
      <c r="I465" s="1"/>
      <c r="J465" s="1"/>
      <c r="K465" s="1"/>
      <c r="L465" s="1"/>
      <c r="M465" s="1"/>
      <c r="N465" s="1"/>
      <c r="O465" s="1"/>
      <c r="P465" s="1"/>
      <c r="Q465" s="1"/>
      <c r="R465" s="1">
        <v>0</v>
      </c>
      <c r="S465" s="1"/>
      <c r="T465" s="1" t="s">
        <v>1509</v>
      </c>
      <c r="U465" s="1" t="s">
        <v>1506</v>
      </c>
      <c r="V465" s="49">
        <v>300</v>
      </c>
      <c r="W465" s="49">
        <v>1</v>
      </c>
      <c r="X465" s="2">
        <v>60</v>
      </c>
    </row>
    <row r="466" spans="1:24" ht="13" x14ac:dyDescent="0.15">
      <c r="A466" s="1" t="s">
        <v>1152</v>
      </c>
      <c r="B466" s="1" t="s">
        <v>1153</v>
      </c>
      <c r="C466" s="4" t="s">
        <v>1154</v>
      </c>
      <c r="D466" s="1" t="s">
        <v>14</v>
      </c>
      <c r="E466" s="1"/>
      <c r="F466" s="1" t="s">
        <v>1504</v>
      </c>
      <c r="G466" s="1"/>
      <c r="H466" s="1"/>
      <c r="I466" s="1"/>
      <c r="J466" s="1"/>
      <c r="K466" s="1"/>
      <c r="L466" s="1"/>
      <c r="M466" s="1"/>
      <c r="N466" s="1"/>
      <c r="O466" s="1"/>
      <c r="P466" s="1"/>
      <c r="Q466" s="1"/>
      <c r="R466" s="1">
        <v>0</v>
      </c>
      <c r="S466" s="1"/>
      <c r="T466" s="1" t="s">
        <v>1509</v>
      </c>
      <c r="U466" s="1" t="s">
        <v>1506</v>
      </c>
      <c r="V466" s="49">
        <v>191</v>
      </c>
      <c r="W466" s="49">
        <v>0</v>
      </c>
      <c r="X466" s="2">
        <v>69</v>
      </c>
    </row>
    <row r="467" spans="1:24" ht="13" x14ac:dyDescent="0.15">
      <c r="A467" s="1" t="s">
        <v>1155</v>
      </c>
      <c r="B467" s="1" t="s">
        <v>1156</v>
      </c>
      <c r="C467" s="4" t="s">
        <v>1157</v>
      </c>
      <c r="D467" s="1" t="s">
        <v>14</v>
      </c>
      <c r="E467" s="1"/>
      <c r="F467" s="1" t="s">
        <v>1507</v>
      </c>
      <c r="G467" s="1"/>
      <c r="H467" s="1"/>
      <c r="I467" s="1"/>
      <c r="J467" s="1"/>
      <c r="K467" s="1"/>
      <c r="L467" s="1"/>
      <c r="M467" s="1"/>
      <c r="N467" s="1"/>
      <c r="O467" s="1"/>
      <c r="P467" s="1"/>
      <c r="Q467" s="1"/>
      <c r="R467" s="1">
        <v>0</v>
      </c>
      <c r="S467" s="1"/>
      <c r="T467" s="1" t="s">
        <v>1509</v>
      </c>
      <c r="U467" s="1" t="s">
        <v>1506</v>
      </c>
      <c r="V467" s="49">
        <v>566</v>
      </c>
      <c r="W467" s="49">
        <v>0</v>
      </c>
      <c r="X467" s="2">
        <v>63</v>
      </c>
    </row>
    <row r="468" spans="1:24" ht="13" x14ac:dyDescent="0.15">
      <c r="A468" s="1" t="s">
        <v>1158</v>
      </c>
      <c r="B468" s="1" t="s">
        <v>1159</v>
      </c>
      <c r="C468" s="4" t="s">
        <v>1160</v>
      </c>
      <c r="D468" s="1" t="s">
        <v>14</v>
      </c>
      <c r="E468" s="1"/>
      <c r="F468" s="1" t="s">
        <v>1504</v>
      </c>
      <c r="G468" s="1"/>
      <c r="H468" s="1"/>
      <c r="I468" s="1"/>
      <c r="J468" s="1"/>
      <c r="K468" s="1"/>
      <c r="L468" s="1"/>
      <c r="M468" s="1"/>
      <c r="N468" s="1"/>
      <c r="O468" s="1"/>
      <c r="P468" s="1"/>
      <c r="Q468" s="1"/>
      <c r="R468" s="1">
        <v>0</v>
      </c>
      <c r="S468" s="1"/>
      <c r="T468" s="1" t="s">
        <v>1505</v>
      </c>
      <c r="U468" s="1" t="s">
        <v>1506</v>
      </c>
      <c r="V468" s="49">
        <v>375</v>
      </c>
      <c r="W468" s="49">
        <v>0</v>
      </c>
      <c r="X468" s="2">
        <v>66</v>
      </c>
    </row>
    <row r="469" spans="1:24" ht="13" x14ac:dyDescent="0.15">
      <c r="A469" s="1" t="s">
        <v>1161</v>
      </c>
      <c r="B469" s="1" t="s">
        <v>1162</v>
      </c>
      <c r="C469" s="4" t="s">
        <v>1163</v>
      </c>
      <c r="D469" s="1" t="s">
        <v>14</v>
      </c>
      <c r="E469" s="1"/>
      <c r="F469" s="1" t="s">
        <v>1504</v>
      </c>
      <c r="G469" s="1"/>
      <c r="H469" s="1"/>
      <c r="I469" s="1"/>
      <c r="J469" s="1"/>
      <c r="K469" s="1"/>
      <c r="L469" s="1"/>
      <c r="M469" s="1"/>
      <c r="N469" s="1"/>
      <c r="O469" s="1"/>
      <c r="P469" s="1"/>
      <c r="Q469" s="1"/>
      <c r="R469" s="1">
        <v>0</v>
      </c>
      <c r="S469" s="1"/>
      <c r="T469" s="1" t="s">
        <v>1509</v>
      </c>
      <c r="U469" s="1" t="s">
        <v>1506</v>
      </c>
      <c r="V469" s="49">
        <v>356</v>
      </c>
      <c r="W469" s="49">
        <v>1</v>
      </c>
      <c r="X469" s="2">
        <v>62</v>
      </c>
    </row>
    <row r="470" spans="1:24" ht="13" x14ac:dyDescent="0.15">
      <c r="A470" s="1" t="s">
        <v>1164</v>
      </c>
      <c r="B470" s="1" t="s">
        <v>1165</v>
      </c>
      <c r="C470" s="4" t="s">
        <v>1166</v>
      </c>
      <c r="D470" s="1" t="s">
        <v>14</v>
      </c>
      <c r="E470" s="1"/>
      <c r="F470" s="1" t="s">
        <v>1507</v>
      </c>
      <c r="G470" s="1"/>
      <c r="H470" s="1"/>
      <c r="I470" s="1"/>
      <c r="J470" s="1"/>
      <c r="K470" s="1"/>
      <c r="L470" s="1"/>
      <c r="M470" s="1"/>
      <c r="N470" s="1"/>
      <c r="O470" s="1"/>
      <c r="P470" s="1"/>
      <c r="Q470" s="1"/>
      <c r="R470" s="1">
        <v>0</v>
      </c>
      <c r="S470" s="1"/>
      <c r="T470" s="1" t="s">
        <v>1509</v>
      </c>
      <c r="U470" s="1" t="s">
        <v>1506</v>
      </c>
      <c r="V470" s="49">
        <v>364</v>
      </c>
      <c r="W470" s="49">
        <v>1</v>
      </c>
      <c r="X470" s="2">
        <v>75</v>
      </c>
    </row>
    <row r="471" spans="1:24" ht="13" x14ac:dyDescent="0.15">
      <c r="A471" s="1" t="s">
        <v>1167</v>
      </c>
      <c r="B471" s="1" t="s">
        <v>1168</v>
      </c>
      <c r="C471" s="4" t="s">
        <v>1169</v>
      </c>
      <c r="D471" s="1" t="s">
        <v>14</v>
      </c>
      <c r="E471" s="1"/>
      <c r="F471" s="1" t="s">
        <v>1507</v>
      </c>
      <c r="G471" s="1"/>
      <c r="H471" s="1"/>
      <c r="I471" s="1"/>
      <c r="J471" s="1"/>
      <c r="K471" s="1"/>
      <c r="L471" s="1"/>
      <c r="M471" s="1"/>
      <c r="N471" s="1"/>
      <c r="O471" s="1"/>
      <c r="P471" s="1"/>
      <c r="Q471" s="1"/>
      <c r="R471" s="1">
        <v>0</v>
      </c>
      <c r="S471" s="1"/>
      <c r="T471" s="1" t="s">
        <v>1509</v>
      </c>
      <c r="U471" s="1" t="s">
        <v>1506</v>
      </c>
      <c r="V471" s="49">
        <v>499</v>
      </c>
      <c r="W471" s="49">
        <v>1</v>
      </c>
      <c r="X471" s="2">
        <v>58</v>
      </c>
    </row>
    <row r="472" spans="1:24" ht="13" x14ac:dyDescent="0.15">
      <c r="A472" s="1" t="s">
        <v>1170</v>
      </c>
      <c r="B472" s="1" t="s">
        <v>1171</v>
      </c>
      <c r="C472" s="4" t="s">
        <v>1172</v>
      </c>
      <c r="D472" s="1" t="s">
        <v>14</v>
      </c>
      <c r="E472" s="1"/>
      <c r="F472" s="1" t="s">
        <v>1507</v>
      </c>
      <c r="G472" s="1"/>
      <c r="H472" s="1"/>
      <c r="I472" s="1"/>
      <c r="J472" s="1"/>
      <c r="K472" s="1"/>
      <c r="L472" s="1"/>
      <c r="M472" s="1"/>
      <c r="N472" s="1"/>
      <c r="O472" s="1"/>
      <c r="P472" s="1"/>
      <c r="Q472" s="1"/>
      <c r="R472" s="1">
        <v>1</v>
      </c>
      <c r="S472" s="1"/>
      <c r="T472" s="1" t="s">
        <v>1509</v>
      </c>
      <c r="U472" s="1" t="s">
        <v>1506</v>
      </c>
      <c r="V472" s="49">
        <v>777</v>
      </c>
      <c r="W472" s="49">
        <v>0</v>
      </c>
      <c r="X472" s="2">
        <v>62</v>
      </c>
    </row>
    <row r="473" spans="1:24" ht="13" x14ac:dyDescent="0.15">
      <c r="A473" s="1" t="s">
        <v>1173</v>
      </c>
      <c r="B473" s="1" t="s">
        <v>1174</v>
      </c>
      <c r="C473" s="4" t="s">
        <v>1175</v>
      </c>
      <c r="D473" s="1" t="s">
        <v>14</v>
      </c>
      <c r="E473" s="1"/>
      <c r="F473" s="1" t="s">
        <v>1504</v>
      </c>
      <c r="G473" s="1"/>
      <c r="H473" s="1"/>
      <c r="I473" s="1"/>
      <c r="J473" s="1"/>
      <c r="K473" s="1"/>
      <c r="L473" s="1"/>
      <c r="M473" s="1"/>
      <c r="N473" s="1"/>
      <c r="O473" s="1"/>
      <c r="P473" s="1"/>
      <c r="Q473" s="1"/>
      <c r="R473" s="1">
        <v>1</v>
      </c>
      <c r="S473" s="1"/>
      <c r="T473" s="1" t="s">
        <v>1509</v>
      </c>
      <c r="U473" s="1" t="s">
        <v>1506</v>
      </c>
      <c r="V473" s="49">
        <v>19</v>
      </c>
      <c r="W473" s="49">
        <v>1</v>
      </c>
      <c r="X473" s="2">
        <v>81</v>
      </c>
    </row>
    <row r="474" spans="1:24" ht="13" x14ac:dyDescent="0.15">
      <c r="A474" s="1" t="s">
        <v>1176</v>
      </c>
      <c r="B474" s="1" t="s">
        <v>1177</v>
      </c>
      <c r="C474" s="4" t="s">
        <v>1178</v>
      </c>
      <c r="D474" s="1" t="s">
        <v>14</v>
      </c>
      <c r="E474" s="1"/>
      <c r="F474" s="1" t="s">
        <v>1507</v>
      </c>
      <c r="G474" s="1"/>
      <c r="H474" s="1"/>
      <c r="I474" s="1"/>
      <c r="J474" s="1"/>
      <c r="K474" s="1"/>
      <c r="L474" s="1"/>
      <c r="M474" s="1"/>
      <c r="N474" s="1"/>
      <c r="O474" s="1"/>
      <c r="P474" s="1"/>
      <c r="Q474" s="1"/>
      <c r="R474" s="1">
        <v>1</v>
      </c>
      <c r="S474" s="1"/>
      <c r="T474" s="1" t="s">
        <v>1505</v>
      </c>
      <c r="U474" s="1" t="s">
        <v>1506</v>
      </c>
      <c r="V474" s="49">
        <v>280</v>
      </c>
      <c r="W474" s="49">
        <v>0</v>
      </c>
      <c r="X474" s="2">
        <v>63</v>
      </c>
    </row>
    <row r="475" spans="1:24" ht="13" x14ac:dyDescent="0.15">
      <c r="A475" s="1" t="s">
        <v>1179</v>
      </c>
      <c r="B475" s="1" t="s">
        <v>1180</v>
      </c>
      <c r="C475" s="4" t="s">
        <v>1181</v>
      </c>
      <c r="D475" s="1" t="s">
        <v>14</v>
      </c>
      <c r="E475" s="1"/>
      <c r="F475" s="1" t="s">
        <v>1504</v>
      </c>
      <c r="G475" s="1"/>
      <c r="H475" s="1"/>
      <c r="I475" s="1"/>
      <c r="J475" s="1"/>
      <c r="K475" s="1"/>
      <c r="L475" s="1"/>
      <c r="M475" s="1"/>
      <c r="N475" s="1"/>
      <c r="O475" s="1"/>
      <c r="P475" s="1"/>
      <c r="Q475" s="1"/>
      <c r="R475" s="1">
        <v>1</v>
      </c>
      <c r="S475" s="1"/>
      <c r="T475" s="1" t="s">
        <v>1509</v>
      </c>
      <c r="U475" s="1" t="s">
        <v>1506</v>
      </c>
      <c r="V475" s="49">
        <v>491</v>
      </c>
      <c r="W475" s="49">
        <v>1</v>
      </c>
      <c r="X475" s="2">
        <v>64</v>
      </c>
    </row>
    <row r="476" spans="1:24" ht="13" x14ac:dyDescent="0.15">
      <c r="A476" s="1" t="s">
        <v>1182</v>
      </c>
      <c r="B476" s="1" t="s">
        <v>1183</v>
      </c>
      <c r="C476" s="4" t="s">
        <v>1184</v>
      </c>
      <c r="D476" s="1" t="s">
        <v>14</v>
      </c>
      <c r="E476" s="1"/>
      <c r="F476" s="1" t="s">
        <v>1507</v>
      </c>
      <c r="G476" s="1"/>
      <c r="H476" s="1"/>
      <c r="I476" s="1"/>
      <c r="J476" s="1"/>
      <c r="K476" s="1"/>
      <c r="L476" s="1"/>
      <c r="M476" s="1"/>
      <c r="N476" s="1"/>
      <c r="O476" s="1"/>
      <c r="P476" s="1"/>
      <c r="Q476" s="1"/>
      <c r="R476" s="1">
        <v>1</v>
      </c>
      <c r="S476" s="1"/>
      <c r="T476" s="1" t="s">
        <v>1509</v>
      </c>
      <c r="U476" s="1" t="s">
        <v>1506</v>
      </c>
      <c r="V476" s="49">
        <v>1333</v>
      </c>
      <c r="W476" s="49">
        <v>0</v>
      </c>
      <c r="X476" s="2">
        <v>54</v>
      </c>
    </row>
    <row r="477" spans="1:24" ht="13" x14ac:dyDescent="0.15">
      <c r="A477" s="1" t="s">
        <v>1185</v>
      </c>
      <c r="B477" s="1" t="s">
        <v>1186</v>
      </c>
      <c r="C477" s="4" t="s">
        <v>1187</v>
      </c>
      <c r="D477" s="1" t="s">
        <v>14</v>
      </c>
      <c r="E477" s="1"/>
      <c r="F477" s="1" t="s">
        <v>1507</v>
      </c>
      <c r="G477" s="1"/>
      <c r="H477" s="1"/>
      <c r="I477" s="1"/>
      <c r="J477" s="1"/>
      <c r="K477" s="1"/>
      <c r="L477" s="1"/>
      <c r="M477" s="1"/>
      <c r="N477" s="1"/>
      <c r="O477" s="1"/>
      <c r="P477" s="1"/>
      <c r="Q477" s="1"/>
      <c r="R477" s="1">
        <v>1</v>
      </c>
      <c r="S477" s="1"/>
      <c r="T477" s="1" t="s">
        <v>1510</v>
      </c>
      <c r="U477" s="1" t="s">
        <v>1506</v>
      </c>
      <c r="V477" s="49">
        <v>435</v>
      </c>
      <c r="W477" s="49">
        <v>1</v>
      </c>
      <c r="X477" s="2">
        <v>59</v>
      </c>
    </row>
    <row r="478" spans="1:24" ht="13" x14ac:dyDescent="0.15">
      <c r="A478" s="1" t="s">
        <v>1188</v>
      </c>
      <c r="B478" s="1" t="s">
        <v>1189</v>
      </c>
      <c r="C478" s="4" t="s">
        <v>1190</v>
      </c>
      <c r="D478" s="1" t="s">
        <v>14</v>
      </c>
      <c r="E478" s="1"/>
      <c r="F478" s="1" t="s">
        <v>1507</v>
      </c>
      <c r="G478" s="1"/>
      <c r="H478" s="1"/>
      <c r="I478" s="1"/>
      <c r="J478" s="1"/>
      <c r="K478" s="1"/>
      <c r="L478" s="1"/>
      <c r="M478" s="1"/>
      <c r="N478" s="1"/>
      <c r="O478" s="1"/>
      <c r="P478" s="1"/>
      <c r="Q478" s="1"/>
      <c r="R478" s="1">
        <v>1</v>
      </c>
      <c r="S478" s="1"/>
      <c r="T478" s="1" t="s">
        <v>1509</v>
      </c>
      <c r="U478" s="1" t="s">
        <v>1506</v>
      </c>
      <c r="V478" s="49">
        <v>275</v>
      </c>
      <c r="W478" s="49">
        <v>0</v>
      </c>
      <c r="X478" s="2">
        <v>83</v>
      </c>
    </row>
    <row r="479" spans="1:24" ht="13" x14ac:dyDescent="0.15">
      <c r="A479" s="1" t="s">
        <v>1191</v>
      </c>
      <c r="B479" s="1" t="s">
        <v>1192</v>
      </c>
      <c r="C479" s="4" t="s">
        <v>1193</v>
      </c>
      <c r="D479" s="1" t="s">
        <v>14</v>
      </c>
      <c r="E479" s="1"/>
      <c r="F479" s="1" t="s">
        <v>1504</v>
      </c>
      <c r="G479" s="1"/>
      <c r="H479" s="1"/>
      <c r="I479" s="1"/>
      <c r="J479" s="1"/>
      <c r="K479" s="1"/>
      <c r="L479" s="1"/>
      <c r="M479" s="1"/>
      <c r="N479" s="1"/>
      <c r="O479" s="1"/>
      <c r="P479" s="1"/>
      <c r="Q479" s="1"/>
      <c r="R479" s="1">
        <v>1</v>
      </c>
      <c r="S479" s="1"/>
      <c r="T479" s="1" t="s">
        <v>1509</v>
      </c>
      <c r="U479" s="1" t="s">
        <v>1506</v>
      </c>
      <c r="V479" s="49">
        <v>332</v>
      </c>
      <c r="W479" s="49">
        <v>1</v>
      </c>
      <c r="X479" s="2">
        <v>76</v>
      </c>
    </row>
    <row r="480" spans="1:24" ht="13" x14ac:dyDescent="0.15">
      <c r="A480" s="1" t="s">
        <v>1194</v>
      </c>
      <c r="B480" s="1" t="s">
        <v>1195</v>
      </c>
      <c r="C480" s="4" t="s">
        <v>1196</v>
      </c>
      <c r="D480" s="1" t="s">
        <v>14</v>
      </c>
      <c r="E480" s="1"/>
      <c r="F480" s="1" t="s">
        <v>1504</v>
      </c>
      <c r="G480" s="1"/>
      <c r="H480" s="1"/>
      <c r="I480" s="1"/>
      <c r="J480" s="1"/>
      <c r="K480" s="1"/>
      <c r="L480" s="1"/>
      <c r="M480" s="1"/>
      <c r="N480" s="1"/>
      <c r="O480" s="1"/>
      <c r="P480" s="1"/>
      <c r="Q480" s="1"/>
      <c r="R480" s="1">
        <v>0</v>
      </c>
      <c r="S480" s="1"/>
      <c r="T480" s="1" t="s">
        <v>1505</v>
      </c>
      <c r="U480" s="1" t="s">
        <v>1506</v>
      </c>
      <c r="V480" s="49">
        <v>319</v>
      </c>
      <c r="W480" s="49">
        <v>1</v>
      </c>
      <c r="X480" s="2">
        <v>57</v>
      </c>
    </row>
    <row r="481" spans="1:24" ht="13" x14ac:dyDescent="0.15">
      <c r="A481" s="1" t="s">
        <v>1197</v>
      </c>
      <c r="B481" s="1" t="s">
        <v>1198</v>
      </c>
      <c r="C481" s="4" t="s">
        <v>1199</v>
      </c>
      <c r="D481" s="1" t="s">
        <v>14</v>
      </c>
      <c r="E481" s="1"/>
      <c r="F481" s="1" t="s">
        <v>1507</v>
      </c>
      <c r="G481" s="1"/>
      <c r="H481" s="1"/>
      <c r="I481" s="1"/>
      <c r="J481" s="1"/>
      <c r="K481" s="1"/>
      <c r="L481" s="1"/>
      <c r="M481" s="1"/>
      <c r="N481" s="1"/>
      <c r="O481" s="1"/>
      <c r="P481" s="1"/>
      <c r="Q481" s="1"/>
      <c r="R481" s="1">
        <v>1</v>
      </c>
      <c r="S481" s="1"/>
      <c r="T481" s="1" t="s">
        <v>1505</v>
      </c>
      <c r="U481" s="1" t="s">
        <v>1506</v>
      </c>
      <c r="V481" s="49">
        <v>183</v>
      </c>
      <c r="W481" s="49">
        <v>1</v>
      </c>
      <c r="X481" s="2">
        <v>48</v>
      </c>
    </row>
    <row r="482" spans="1:24" ht="13" x14ac:dyDescent="0.15">
      <c r="A482" s="1" t="s">
        <v>1200</v>
      </c>
      <c r="B482" s="1" t="s">
        <v>1201</v>
      </c>
      <c r="C482" s="4" t="s">
        <v>1202</v>
      </c>
      <c r="D482" s="1" t="s">
        <v>14</v>
      </c>
      <c r="E482" s="1"/>
      <c r="F482" s="1" t="s">
        <v>1504</v>
      </c>
      <c r="G482" s="1"/>
      <c r="H482" s="1"/>
      <c r="I482" s="1"/>
      <c r="J482" s="1"/>
      <c r="K482" s="1"/>
      <c r="L482" s="1"/>
      <c r="M482" s="1"/>
      <c r="N482" s="1"/>
      <c r="O482" s="1"/>
      <c r="P482" s="1"/>
      <c r="Q482" s="1"/>
      <c r="R482" s="1">
        <v>1</v>
      </c>
      <c r="S482" s="1"/>
      <c r="T482" s="1" t="s">
        <v>1509</v>
      </c>
      <c r="U482" s="1" t="s">
        <v>1684</v>
      </c>
      <c r="V482" s="49">
        <v>1320</v>
      </c>
      <c r="W482" s="49">
        <v>0</v>
      </c>
      <c r="X482" s="2">
        <v>30</v>
      </c>
    </row>
    <row r="483" spans="1:24" ht="13" x14ac:dyDescent="0.15">
      <c r="A483" s="1" t="s">
        <v>1203</v>
      </c>
      <c r="B483" s="1" t="s">
        <v>1204</v>
      </c>
      <c r="C483" s="4" t="s">
        <v>1205</v>
      </c>
      <c r="D483" s="1" t="s">
        <v>14</v>
      </c>
      <c r="E483" s="1"/>
      <c r="F483" s="1" t="s">
        <v>1504</v>
      </c>
      <c r="G483" s="1"/>
      <c r="H483" s="1"/>
      <c r="I483" s="1"/>
      <c r="J483" s="1"/>
      <c r="K483" s="1"/>
      <c r="L483" s="1"/>
      <c r="M483" s="1"/>
      <c r="N483" s="1"/>
      <c r="O483" s="1"/>
      <c r="P483" s="1"/>
      <c r="Q483" s="1"/>
      <c r="R483" s="1">
        <v>0</v>
      </c>
      <c r="S483" s="1"/>
      <c r="T483" s="1" t="s">
        <v>1509</v>
      </c>
      <c r="U483" s="1" t="s">
        <v>1506</v>
      </c>
      <c r="V483" s="49">
        <v>405</v>
      </c>
      <c r="W483" s="49">
        <v>0</v>
      </c>
      <c r="X483" s="2">
        <v>57</v>
      </c>
    </row>
    <row r="484" spans="1:24" ht="13" x14ac:dyDescent="0.15">
      <c r="A484" s="1" t="s">
        <v>1206</v>
      </c>
      <c r="B484" s="1" t="s">
        <v>1207</v>
      </c>
      <c r="C484" s="4" t="s">
        <v>1208</v>
      </c>
      <c r="D484" s="1" t="s">
        <v>14</v>
      </c>
      <c r="E484" s="1"/>
      <c r="F484" s="1" t="s">
        <v>1507</v>
      </c>
      <c r="G484" s="1"/>
      <c r="H484" s="1"/>
      <c r="I484" s="1"/>
      <c r="J484" s="1"/>
      <c r="K484" s="1"/>
      <c r="L484" s="1"/>
      <c r="M484" s="1"/>
      <c r="N484" s="1"/>
      <c r="O484" s="1"/>
      <c r="P484" s="1"/>
      <c r="Q484" s="1"/>
      <c r="R484" s="1">
        <v>1</v>
      </c>
      <c r="S484" s="1"/>
      <c r="T484" s="1" t="s">
        <v>1509</v>
      </c>
      <c r="U484" s="1" t="s">
        <v>1506</v>
      </c>
      <c r="V484" s="49">
        <v>2144</v>
      </c>
      <c r="W484" s="49">
        <v>1</v>
      </c>
      <c r="X484" s="2">
        <v>56</v>
      </c>
    </row>
    <row r="485" spans="1:24" ht="13" x14ac:dyDescent="0.15">
      <c r="A485" s="1" t="s">
        <v>1209</v>
      </c>
      <c r="B485" s="1" t="s">
        <v>1210</v>
      </c>
      <c r="C485" s="4" t="s">
        <v>1211</v>
      </c>
      <c r="D485" s="1" t="s">
        <v>14</v>
      </c>
      <c r="E485" s="1"/>
      <c r="F485" s="1" t="s">
        <v>1507</v>
      </c>
      <c r="G485" s="1"/>
      <c r="H485" s="1"/>
      <c r="I485" s="1"/>
      <c r="J485" s="1"/>
      <c r="K485" s="1"/>
      <c r="L485" s="1"/>
      <c r="M485" s="1"/>
      <c r="N485" s="1"/>
      <c r="O485" s="1"/>
      <c r="P485" s="1"/>
      <c r="Q485" s="1"/>
      <c r="R485" s="1">
        <v>1</v>
      </c>
      <c r="S485" s="1"/>
      <c r="T485" s="1" t="s">
        <v>1509</v>
      </c>
      <c r="U485" s="1" t="s">
        <v>1506</v>
      </c>
      <c r="V485" s="49">
        <v>1347</v>
      </c>
      <c r="W485" s="49">
        <v>0</v>
      </c>
      <c r="X485" s="2">
        <v>69</v>
      </c>
    </row>
    <row r="486" spans="1:24" ht="13" x14ac:dyDescent="0.15">
      <c r="A486" s="1" t="s">
        <v>1212</v>
      </c>
      <c r="B486" s="1" t="s">
        <v>1213</v>
      </c>
      <c r="C486" s="4" t="s">
        <v>1214</v>
      </c>
      <c r="D486" s="1" t="s">
        <v>14</v>
      </c>
      <c r="E486" s="1"/>
      <c r="F486" s="1" t="s">
        <v>1507</v>
      </c>
      <c r="G486" s="1"/>
      <c r="H486" s="1"/>
      <c r="I486" s="1"/>
      <c r="J486" s="1"/>
      <c r="K486" s="1"/>
      <c r="L486" s="1"/>
      <c r="M486" s="1"/>
      <c r="N486" s="1"/>
      <c r="O486" s="1"/>
      <c r="P486" s="1"/>
      <c r="Q486" s="1"/>
      <c r="R486" s="1">
        <v>0</v>
      </c>
      <c r="S486" s="1"/>
      <c r="T486" s="1" t="s">
        <v>1509</v>
      </c>
      <c r="U486" s="1" t="s">
        <v>1506</v>
      </c>
      <c r="V486" s="49">
        <v>681</v>
      </c>
      <c r="W486" s="49">
        <v>1</v>
      </c>
      <c r="X486" s="2">
        <v>69</v>
      </c>
    </row>
    <row r="487" spans="1:24" ht="13" x14ac:dyDescent="0.15">
      <c r="A487" s="1" t="s">
        <v>1215</v>
      </c>
      <c r="B487" s="1" t="s">
        <v>1216</v>
      </c>
      <c r="C487" s="4" t="s">
        <v>1217</v>
      </c>
      <c r="D487" s="1" t="s">
        <v>14</v>
      </c>
      <c r="E487" s="1"/>
      <c r="F487" s="1" t="s">
        <v>1507</v>
      </c>
      <c r="G487" s="1"/>
      <c r="H487" s="1"/>
      <c r="I487" s="1"/>
      <c r="J487" s="1"/>
      <c r="K487" s="1"/>
      <c r="L487" s="1"/>
      <c r="M487" s="1"/>
      <c r="N487" s="1"/>
      <c r="O487" s="1"/>
      <c r="P487" s="1"/>
      <c r="Q487" s="1"/>
      <c r="R487" s="1">
        <v>1</v>
      </c>
      <c r="S487" s="1"/>
      <c r="T487" s="1" t="s">
        <v>1509</v>
      </c>
      <c r="U487" s="1" t="s">
        <v>1506</v>
      </c>
      <c r="V487" s="49">
        <v>384</v>
      </c>
      <c r="W487" s="49">
        <v>1</v>
      </c>
      <c r="X487" s="2">
        <v>72</v>
      </c>
    </row>
    <row r="488" spans="1:24" ht="13" x14ac:dyDescent="0.15">
      <c r="A488" s="1" t="s">
        <v>1218</v>
      </c>
      <c r="B488" s="1" t="s">
        <v>1219</v>
      </c>
      <c r="C488" s="4" t="s">
        <v>1220</v>
      </c>
      <c r="D488" s="1" t="s">
        <v>14</v>
      </c>
      <c r="E488" s="1"/>
      <c r="F488" s="1" t="s">
        <v>1504</v>
      </c>
      <c r="G488" s="1"/>
      <c r="H488" s="1"/>
      <c r="I488" s="1"/>
      <c r="J488" s="1"/>
      <c r="K488" s="1"/>
      <c r="L488" s="1"/>
      <c r="M488" s="1"/>
      <c r="N488" s="1"/>
      <c r="O488" s="1"/>
      <c r="P488" s="1"/>
      <c r="Q488" s="1"/>
      <c r="R488" s="1">
        <v>1</v>
      </c>
      <c r="S488" s="1"/>
      <c r="T488" s="1" t="s">
        <v>1505</v>
      </c>
      <c r="U488" s="1" t="s">
        <v>1506</v>
      </c>
      <c r="V488" s="49">
        <v>643</v>
      </c>
      <c r="W488" s="49">
        <v>1</v>
      </c>
      <c r="X488" s="2">
        <v>44</v>
      </c>
    </row>
    <row r="489" spans="1:24" ht="13" x14ac:dyDescent="0.15">
      <c r="A489" s="1" t="s">
        <v>1221</v>
      </c>
      <c r="B489" s="1" t="s">
        <v>1222</v>
      </c>
      <c r="C489" s="4" t="s">
        <v>1223</v>
      </c>
      <c r="D489" s="1" t="s">
        <v>14</v>
      </c>
      <c r="E489" s="1"/>
      <c r="F489" s="1" t="s">
        <v>1507</v>
      </c>
      <c r="G489" s="1"/>
      <c r="H489" s="1"/>
      <c r="I489" s="1"/>
      <c r="J489" s="1"/>
      <c r="K489" s="1"/>
      <c r="L489" s="1"/>
      <c r="M489" s="1"/>
      <c r="N489" s="1"/>
      <c r="O489" s="1"/>
      <c r="P489" s="1"/>
      <c r="Q489" s="1"/>
      <c r="R489" s="1">
        <v>1</v>
      </c>
      <c r="S489" s="1"/>
      <c r="T489" s="1" t="s">
        <v>1505</v>
      </c>
      <c r="U489" s="1" t="s">
        <v>1506</v>
      </c>
      <c r="V489" s="49">
        <v>711</v>
      </c>
      <c r="W489" s="49">
        <v>0</v>
      </c>
      <c r="X489" s="2">
        <v>59</v>
      </c>
    </row>
    <row r="490" spans="1:24" ht="13" x14ac:dyDescent="0.15">
      <c r="A490" s="1" t="s">
        <v>1224</v>
      </c>
      <c r="B490" s="1" t="s">
        <v>1225</v>
      </c>
      <c r="C490" s="4" t="s">
        <v>1226</v>
      </c>
      <c r="D490" s="1" t="s">
        <v>14</v>
      </c>
      <c r="E490" s="1"/>
      <c r="F490" s="1" t="s">
        <v>1504</v>
      </c>
      <c r="G490" s="1"/>
      <c r="H490" s="1"/>
      <c r="I490" s="1"/>
      <c r="J490" s="1"/>
      <c r="K490" s="1"/>
      <c r="L490" s="1"/>
      <c r="M490" s="1"/>
      <c r="N490" s="1"/>
      <c r="O490" s="1"/>
      <c r="P490" s="1"/>
      <c r="Q490" s="1"/>
      <c r="R490" s="1">
        <v>1</v>
      </c>
      <c r="S490" s="1"/>
      <c r="T490" s="1" t="s">
        <v>1509</v>
      </c>
      <c r="U490" s="1" t="s">
        <v>1506</v>
      </c>
      <c r="V490" s="49">
        <v>319</v>
      </c>
      <c r="W490" s="49">
        <v>0</v>
      </c>
      <c r="X490" s="2">
        <v>45</v>
      </c>
    </row>
    <row r="491" spans="1:24" ht="13" x14ac:dyDescent="0.15">
      <c r="A491" s="1" t="s">
        <v>1227</v>
      </c>
      <c r="B491" s="1" t="s">
        <v>1228</v>
      </c>
      <c r="C491" s="4" t="s">
        <v>1229</v>
      </c>
      <c r="D491" s="1" t="s">
        <v>14</v>
      </c>
      <c r="E491" s="1"/>
      <c r="F491" s="1" t="s">
        <v>1504</v>
      </c>
      <c r="G491" s="1"/>
      <c r="H491" s="1"/>
      <c r="I491" s="1"/>
      <c r="J491" s="1"/>
      <c r="K491" s="1"/>
      <c r="L491" s="1"/>
      <c r="M491" s="1"/>
      <c r="N491" s="1"/>
      <c r="O491" s="1"/>
      <c r="P491" s="1"/>
      <c r="Q491" s="1"/>
      <c r="R491" s="1">
        <v>0</v>
      </c>
      <c r="S491" s="1"/>
      <c r="T491" s="1" t="s">
        <v>1509</v>
      </c>
      <c r="U491" s="1" t="s">
        <v>1506</v>
      </c>
      <c r="V491" s="49">
        <v>292</v>
      </c>
      <c r="W491" s="49">
        <v>0</v>
      </c>
      <c r="X491" s="2">
        <v>54</v>
      </c>
    </row>
    <row r="492" spans="1:24" ht="13" x14ac:dyDescent="0.15">
      <c r="A492" s="1" t="s">
        <v>1230</v>
      </c>
      <c r="B492" s="1" t="s">
        <v>1231</v>
      </c>
      <c r="C492" s="4" t="s">
        <v>1232</v>
      </c>
      <c r="D492" s="1" t="s">
        <v>14</v>
      </c>
      <c r="E492" s="1"/>
      <c r="F492" s="1" t="s">
        <v>1504</v>
      </c>
      <c r="G492" s="1"/>
      <c r="H492" s="1"/>
      <c r="I492" s="1"/>
      <c r="J492" s="1"/>
      <c r="K492" s="1"/>
      <c r="L492" s="1"/>
      <c r="M492" s="1"/>
      <c r="N492" s="1"/>
      <c r="O492" s="1"/>
      <c r="P492" s="1"/>
      <c r="Q492" s="1"/>
      <c r="R492" s="1">
        <v>0</v>
      </c>
      <c r="S492" s="1"/>
      <c r="T492" s="1" t="s">
        <v>1505</v>
      </c>
      <c r="U492" s="1" t="s">
        <v>1506</v>
      </c>
      <c r="V492" s="49">
        <v>363</v>
      </c>
      <c r="W492" s="49">
        <v>1</v>
      </c>
      <c r="X492" s="2">
        <v>66</v>
      </c>
    </row>
    <row r="493" spans="1:24" ht="13" x14ac:dyDescent="0.15">
      <c r="A493" s="1" t="s">
        <v>1233</v>
      </c>
      <c r="B493" s="1" t="s">
        <v>1234</v>
      </c>
      <c r="C493" s="4" t="s">
        <v>1235</v>
      </c>
      <c r="D493" s="1" t="s">
        <v>14</v>
      </c>
      <c r="E493" s="1"/>
      <c r="F493" s="1" t="s">
        <v>1507</v>
      </c>
      <c r="G493" s="1"/>
      <c r="H493" s="1"/>
      <c r="I493" s="1"/>
      <c r="J493" s="1"/>
      <c r="K493" s="1"/>
      <c r="L493" s="1"/>
      <c r="M493" s="1"/>
      <c r="N493" s="1"/>
      <c r="O493" s="1"/>
      <c r="P493" s="1"/>
      <c r="Q493" s="1"/>
      <c r="R493" s="1">
        <v>1</v>
      </c>
      <c r="S493" s="1"/>
      <c r="T493" s="1" t="s">
        <v>1510</v>
      </c>
      <c r="U493" s="1" t="s">
        <v>1506</v>
      </c>
      <c r="V493" s="49">
        <v>396</v>
      </c>
      <c r="W493" s="49">
        <v>1</v>
      </c>
      <c r="X493" s="2">
        <v>71</v>
      </c>
    </row>
    <row r="494" spans="1:24" ht="13" x14ac:dyDescent="0.15">
      <c r="A494" s="1" t="s">
        <v>1236</v>
      </c>
      <c r="B494" s="1" t="s">
        <v>1237</v>
      </c>
      <c r="C494" s="4" t="s">
        <v>1238</v>
      </c>
      <c r="D494" s="1" t="s">
        <v>14</v>
      </c>
      <c r="E494" s="1"/>
      <c r="F494" s="1" t="s">
        <v>1504</v>
      </c>
      <c r="G494" s="1"/>
      <c r="H494" s="1"/>
      <c r="I494" s="1"/>
      <c r="J494" s="1"/>
      <c r="K494" s="1"/>
      <c r="L494" s="1"/>
      <c r="M494" s="1"/>
      <c r="N494" s="1"/>
      <c r="O494" s="1"/>
      <c r="P494" s="1"/>
      <c r="Q494" s="1"/>
      <c r="R494" s="1">
        <v>0</v>
      </c>
      <c r="S494" s="1"/>
      <c r="T494" s="1" t="s">
        <v>1509</v>
      </c>
      <c r="U494" s="1" t="s">
        <v>1506</v>
      </c>
      <c r="V494" s="49">
        <v>618</v>
      </c>
      <c r="W494" s="49">
        <v>0</v>
      </c>
      <c r="X494" s="2">
        <v>71</v>
      </c>
    </row>
    <row r="495" spans="1:24" ht="13" x14ac:dyDescent="0.15">
      <c r="A495" s="1" t="s">
        <v>1239</v>
      </c>
      <c r="B495" s="1" t="s">
        <v>1240</v>
      </c>
      <c r="C495" s="4" t="s">
        <v>1241</v>
      </c>
      <c r="D495" s="1" t="s">
        <v>14</v>
      </c>
      <c r="E495" s="1"/>
      <c r="F495" s="1" t="s">
        <v>1504</v>
      </c>
      <c r="G495" s="1"/>
      <c r="H495" s="1"/>
      <c r="I495" s="1"/>
      <c r="J495" s="1"/>
      <c r="K495" s="1"/>
      <c r="L495" s="1"/>
      <c r="M495" s="1"/>
      <c r="N495" s="1"/>
      <c r="O495" s="1"/>
      <c r="P495" s="1"/>
      <c r="Q495" s="1"/>
      <c r="R495" s="1">
        <v>0</v>
      </c>
      <c r="S495" s="1"/>
      <c r="T495" s="1" t="s">
        <v>1509</v>
      </c>
      <c r="U495" s="1" t="s">
        <v>1506</v>
      </c>
      <c r="V495" s="49">
        <v>677</v>
      </c>
      <c r="W495" s="49">
        <v>0</v>
      </c>
      <c r="X495" s="2">
        <v>69</v>
      </c>
    </row>
    <row r="496" spans="1:24" ht="13" x14ac:dyDescent="0.15">
      <c r="A496" s="1" t="s">
        <v>1242</v>
      </c>
      <c r="B496" s="1" t="s">
        <v>1243</v>
      </c>
      <c r="C496" s="4" t="s">
        <v>1244</v>
      </c>
      <c r="D496" s="1" t="s">
        <v>14</v>
      </c>
      <c r="E496" s="1"/>
      <c r="F496" s="1" t="s">
        <v>1507</v>
      </c>
      <c r="G496" s="1"/>
      <c r="H496" s="1"/>
      <c r="I496" s="1"/>
      <c r="J496" s="1"/>
      <c r="K496" s="1"/>
      <c r="L496" s="1"/>
      <c r="M496" s="1"/>
      <c r="N496" s="1"/>
      <c r="O496" s="1"/>
      <c r="P496" s="1"/>
      <c r="Q496" s="1"/>
      <c r="R496" s="1">
        <v>0</v>
      </c>
      <c r="S496" s="1"/>
      <c r="T496" s="1" t="s">
        <v>1509</v>
      </c>
      <c r="U496" s="1" t="s">
        <v>1506</v>
      </c>
      <c r="V496" s="49">
        <v>561</v>
      </c>
      <c r="W496" s="49">
        <v>1</v>
      </c>
      <c r="X496" s="2">
        <v>59</v>
      </c>
    </row>
    <row r="497" spans="1:24" ht="13" x14ac:dyDescent="0.15">
      <c r="A497" s="1" t="s">
        <v>1245</v>
      </c>
      <c r="B497" s="1" t="s">
        <v>1246</v>
      </c>
      <c r="C497" s="4" t="s">
        <v>1247</v>
      </c>
      <c r="D497" s="1" t="s">
        <v>14</v>
      </c>
      <c r="E497" s="1"/>
      <c r="F497" s="1" t="s">
        <v>1504</v>
      </c>
      <c r="G497" s="1"/>
      <c r="H497" s="1"/>
      <c r="I497" s="1"/>
      <c r="J497" s="1"/>
      <c r="K497" s="1"/>
      <c r="L497" s="1"/>
      <c r="M497" s="1"/>
      <c r="N497" s="1"/>
      <c r="O497" s="1"/>
      <c r="P497" s="1"/>
      <c r="Q497" s="1"/>
      <c r="R497" s="1">
        <v>0</v>
      </c>
      <c r="S497" s="1"/>
      <c r="T497" s="1" t="s">
        <v>1505</v>
      </c>
      <c r="U497" s="1" t="s">
        <v>1506</v>
      </c>
      <c r="V497" s="49">
        <v>19</v>
      </c>
      <c r="W497" s="49">
        <v>1</v>
      </c>
      <c r="X497" s="2">
        <v>68</v>
      </c>
    </row>
    <row r="498" spans="1:24" ht="13" x14ac:dyDescent="0.15">
      <c r="A498" s="1" t="s">
        <v>1248</v>
      </c>
      <c r="B498" s="1" t="s">
        <v>1249</v>
      </c>
      <c r="C498" s="4" t="s">
        <v>1250</v>
      </c>
      <c r="D498" s="1" t="s">
        <v>14</v>
      </c>
      <c r="E498" s="1"/>
      <c r="F498" s="1" t="s">
        <v>1507</v>
      </c>
      <c r="G498" s="1"/>
      <c r="H498" s="1"/>
      <c r="I498" s="1"/>
      <c r="J498" s="1"/>
      <c r="K498" s="1"/>
      <c r="L498" s="1"/>
      <c r="M498" s="1"/>
      <c r="N498" s="1"/>
      <c r="O498" s="1"/>
      <c r="P498" s="1"/>
      <c r="Q498" s="1"/>
      <c r="R498" s="1">
        <v>1</v>
      </c>
      <c r="S498" s="1"/>
      <c r="T498" s="1" t="s">
        <v>1509</v>
      </c>
      <c r="U498" s="1" t="s">
        <v>1506</v>
      </c>
      <c r="V498" s="49">
        <v>743</v>
      </c>
      <c r="W498" s="49">
        <v>1</v>
      </c>
      <c r="X498" s="2">
        <v>46</v>
      </c>
    </row>
    <row r="499" spans="1:24" ht="13" x14ac:dyDescent="0.15">
      <c r="A499" s="1" t="s">
        <v>1251</v>
      </c>
      <c r="B499" s="1" t="s">
        <v>1252</v>
      </c>
      <c r="C499" s="4" t="s">
        <v>1253</v>
      </c>
      <c r="D499" s="1" t="s">
        <v>14</v>
      </c>
      <c r="E499" s="1"/>
      <c r="F499" s="1" t="s">
        <v>1507</v>
      </c>
      <c r="G499" s="1"/>
      <c r="H499" s="1"/>
      <c r="I499" s="1"/>
      <c r="J499" s="1"/>
      <c r="K499" s="1"/>
      <c r="L499" s="1"/>
      <c r="M499" s="1"/>
      <c r="N499" s="1"/>
      <c r="O499" s="1"/>
      <c r="P499" s="1"/>
      <c r="Q499" s="1"/>
      <c r="R499" s="1">
        <v>1</v>
      </c>
      <c r="S499" s="1"/>
      <c r="T499" s="1" t="s">
        <v>1509</v>
      </c>
      <c r="U499" s="1" t="s">
        <v>1506</v>
      </c>
      <c r="V499" s="49">
        <v>1248</v>
      </c>
      <c r="W499" s="49">
        <v>1</v>
      </c>
      <c r="X499" s="2">
        <v>66</v>
      </c>
    </row>
    <row r="500" spans="1:24" ht="13" x14ac:dyDescent="0.15">
      <c r="A500" s="1" t="s">
        <v>1254</v>
      </c>
      <c r="B500" s="1" t="s">
        <v>1255</v>
      </c>
      <c r="C500" s="4" t="s">
        <v>1256</v>
      </c>
      <c r="D500" s="1" t="s">
        <v>14</v>
      </c>
      <c r="E500" s="1"/>
      <c r="F500" s="1" t="s">
        <v>1504</v>
      </c>
      <c r="G500" s="1"/>
      <c r="H500" s="1"/>
      <c r="I500" s="1"/>
      <c r="J500" s="1"/>
      <c r="K500" s="1"/>
      <c r="L500" s="1"/>
      <c r="M500" s="1"/>
      <c r="N500" s="1"/>
      <c r="O500" s="1"/>
      <c r="P500" s="1"/>
      <c r="Q500" s="1"/>
      <c r="R500" s="1">
        <v>0</v>
      </c>
      <c r="S500" s="1"/>
      <c r="T500" s="1" t="s">
        <v>1509</v>
      </c>
      <c r="U500" s="1" t="s">
        <v>1506</v>
      </c>
      <c r="V500" s="49">
        <v>740</v>
      </c>
      <c r="W500" s="49">
        <v>0</v>
      </c>
      <c r="X500" s="2">
        <v>47</v>
      </c>
    </row>
    <row r="501" spans="1:24" ht="13" x14ac:dyDescent="0.15">
      <c r="A501" s="1" t="s">
        <v>1257</v>
      </c>
      <c r="B501" s="1" t="s">
        <v>1258</v>
      </c>
      <c r="C501" s="4" t="s">
        <v>1259</v>
      </c>
      <c r="D501" s="1" t="s">
        <v>14</v>
      </c>
      <c r="E501" s="1"/>
      <c r="F501" s="1" t="s">
        <v>1504</v>
      </c>
      <c r="G501" s="1"/>
      <c r="H501" s="1"/>
      <c r="I501" s="1"/>
      <c r="J501" s="1"/>
      <c r="K501" s="1"/>
      <c r="L501" s="1"/>
      <c r="M501" s="1"/>
      <c r="N501" s="1"/>
      <c r="O501" s="1"/>
      <c r="P501" s="1"/>
      <c r="Q501" s="1"/>
      <c r="R501" s="1">
        <v>0</v>
      </c>
      <c r="S501" s="1"/>
      <c r="T501" s="1" t="s">
        <v>1509</v>
      </c>
      <c r="U501" s="1" t="s">
        <v>1506</v>
      </c>
      <c r="V501" s="49">
        <v>773</v>
      </c>
      <c r="W501" s="49">
        <v>0</v>
      </c>
      <c r="X501" s="2">
        <v>62</v>
      </c>
    </row>
    <row r="502" spans="1:24" ht="13" x14ac:dyDescent="0.15">
      <c r="A502" s="1" t="s">
        <v>1260</v>
      </c>
      <c r="B502" s="1" t="s">
        <v>1261</v>
      </c>
      <c r="C502" s="4" t="s">
        <v>1262</v>
      </c>
      <c r="D502" s="1" t="s">
        <v>14</v>
      </c>
      <c r="E502" s="1"/>
      <c r="F502" s="1" t="s">
        <v>1504</v>
      </c>
      <c r="G502" s="1"/>
      <c r="H502" s="1"/>
      <c r="I502" s="1"/>
      <c r="J502" s="1"/>
      <c r="K502" s="1"/>
      <c r="L502" s="1"/>
      <c r="M502" s="1"/>
      <c r="N502" s="1"/>
      <c r="O502" s="1"/>
      <c r="P502" s="1"/>
      <c r="Q502" s="1"/>
      <c r="R502" s="1">
        <v>0</v>
      </c>
      <c r="S502" s="1"/>
      <c r="T502" s="1" t="s">
        <v>1509</v>
      </c>
      <c r="U502" s="1" t="s">
        <v>1506</v>
      </c>
      <c r="V502" s="49">
        <v>660</v>
      </c>
      <c r="W502" s="49">
        <v>1</v>
      </c>
      <c r="X502" s="2">
        <v>48</v>
      </c>
    </row>
    <row r="503" spans="1:24" ht="13" x14ac:dyDescent="0.15">
      <c r="A503" s="1" t="s">
        <v>1263</v>
      </c>
      <c r="B503" s="1" t="s">
        <v>1264</v>
      </c>
      <c r="C503" s="4" t="s">
        <v>1265</v>
      </c>
      <c r="D503" s="1" t="s">
        <v>14</v>
      </c>
      <c r="E503" s="1"/>
      <c r="F503" s="1" t="s">
        <v>1507</v>
      </c>
      <c r="G503" s="1"/>
      <c r="H503" s="1"/>
      <c r="I503" s="1"/>
      <c r="J503" s="1"/>
      <c r="K503" s="1"/>
      <c r="L503" s="1"/>
      <c r="M503" s="1"/>
      <c r="N503" s="1"/>
      <c r="O503" s="1"/>
      <c r="P503" s="1"/>
      <c r="Q503" s="1"/>
      <c r="R503" s="1">
        <v>1</v>
      </c>
      <c r="S503" s="1"/>
      <c r="T503" s="1" t="s">
        <v>1505</v>
      </c>
      <c r="U503" s="1" t="s">
        <v>1506</v>
      </c>
      <c r="V503" s="49">
        <v>461</v>
      </c>
      <c r="W503" s="49">
        <v>1</v>
      </c>
      <c r="X503" s="2">
        <v>76</v>
      </c>
    </row>
    <row r="504" spans="1:24" ht="13" x14ac:dyDescent="0.15">
      <c r="A504" s="1" t="s">
        <v>1266</v>
      </c>
      <c r="B504" s="1" t="s">
        <v>1267</v>
      </c>
      <c r="C504" s="4" t="s">
        <v>1268</v>
      </c>
      <c r="D504" s="1" t="s">
        <v>14</v>
      </c>
      <c r="E504" s="1"/>
      <c r="F504" s="1" t="s">
        <v>1507</v>
      </c>
      <c r="G504" s="1"/>
      <c r="H504" s="1"/>
      <c r="I504" s="1"/>
      <c r="J504" s="1"/>
      <c r="K504" s="1"/>
      <c r="L504" s="1"/>
      <c r="M504" s="1"/>
      <c r="N504" s="1"/>
      <c r="O504" s="1"/>
      <c r="P504" s="1"/>
      <c r="Q504" s="1"/>
      <c r="R504" s="1">
        <v>1</v>
      </c>
      <c r="S504" s="1"/>
      <c r="T504" s="1" t="s">
        <v>1510</v>
      </c>
      <c r="U504" s="1" t="s">
        <v>1506</v>
      </c>
      <c r="V504" s="49">
        <v>86</v>
      </c>
      <c r="W504" s="49">
        <v>0</v>
      </c>
      <c r="X504" s="2">
        <v>68</v>
      </c>
    </row>
    <row r="505" spans="1:24" ht="13" x14ac:dyDescent="0.15">
      <c r="A505" s="1" t="s">
        <v>1269</v>
      </c>
      <c r="B505" s="1" t="s">
        <v>1270</v>
      </c>
      <c r="C505" s="4" t="s">
        <v>1271</v>
      </c>
      <c r="D505" s="1" t="s">
        <v>14</v>
      </c>
      <c r="E505" s="1"/>
      <c r="F505" s="1" t="s">
        <v>1504</v>
      </c>
      <c r="G505" s="1"/>
      <c r="H505" s="1"/>
      <c r="I505" s="1"/>
      <c r="J505" s="1"/>
      <c r="K505" s="1"/>
      <c r="L505" s="1"/>
      <c r="M505" s="1"/>
      <c r="N505" s="1"/>
      <c r="O505" s="1"/>
      <c r="P505" s="1"/>
      <c r="Q505" s="1"/>
      <c r="R505" s="1">
        <v>1</v>
      </c>
      <c r="S505" s="1"/>
      <c r="T505" s="1" t="s">
        <v>1509</v>
      </c>
      <c r="U505" s="1" t="s">
        <v>1506</v>
      </c>
      <c r="V505" s="49">
        <v>388</v>
      </c>
      <c r="W505" s="49">
        <v>0</v>
      </c>
      <c r="X505" s="2">
        <v>60</v>
      </c>
    </row>
    <row r="506" spans="1:24" ht="13" x14ac:dyDescent="0.15">
      <c r="A506" s="1" t="s">
        <v>1272</v>
      </c>
      <c r="B506" s="1" t="s">
        <v>1273</v>
      </c>
      <c r="C506" s="4" t="s">
        <v>1274</v>
      </c>
      <c r="D506" s="1" t="s">
        <v>14</v>
      </c>
      <c r="E506" s="1"/>
      <c r="F506" s="1" t="s">
        <v>1504</v>
      </c>
      <c r="G506" s="1"/>
      <c r="H506" s="1"/>
      <c r="I506" s="1"/>
      <c r="J506" s="1"/>
      <c r="K506" s="1"/>
      <c r="L506" s="1"/>
      <c r="M506" s="1"/>
      <c r="N506" s="1"/>
      <c r="O506" s="1"/>
      <c r="P506" s="1"/>
      <c r="Q506" s="1"/>
      <c r="R506" s="1">
        <v>1</v>
      </c>
      <c r="S506" s="1"/>
      <c r="T506" s="1" t="s">
        <v>1509</v>
      </c>
      <c r="U506" s="1" t="s">
        <v>1506</v>
      </c>
      <c r="V506" s="49">
        <v>565</v>
      </c>
      <c r="W506" s="49">
        <v>0</v>
      </c>
      <c r="X506" s="2">
        <v>57</v>
      </c>
    </row>
    <row r="507" spans="1:24" ht="13" x14ac:dyDescent="0.15">
      <c r="A507" s="1" t="s">
        <v>1275</v>
      </c>
      <c r="B507" s="1" t="s">
        <v>1276</v>
      </c>
      <c r="C507" s="4" t="s">
        <v>1277</v>
      </c>
      <c r="D507" s="1" t="s">
        <v>14</v>
      </c>
      <c r="E507" s="1"/>
      <c r="F507" s="1" t="s">
        <v>1507</v>
      </c>
      <c r="G507" s="1"/>
      <c r="H507" s="1"/>
      <c r="I507" s="1"/>
      <c r="J507" s="1"/>
      <c r="K507" s="1"/>
      <c r="L507" s="1"/>
      <c r="M507" s="1"/>
      <c r="N507" s="1"/>
      <c r="O507" s="1"/>
      <c r="P507" s="1"/>
      <c r="Q507" s="1"/>
      <c r="R507" s="1">
        <v>0</v>
      </c>
      <c r="S507" s="1"/>
      <c r="T507" s="1" t="s">
        <v>1505</v>
      </c>
      <c r="U507" s="1" t="s">
        <v>1506</v>
      </c>
      <c r="V507" s="49">
        <v>509</v>
      </c>
      <c r="W507" s="49">
        <v>1</v>
      </c>
      <c r="X507" s="2">
        <v>57</v>
      </c>
    </row>
    <row r="508" spans="1:24" ht="13" x14ac:dyDescent="0.15">
      <c r="A508" s="1" t="s">
        <v>1278</v>
      </c>
      <c r="B508" s="1" t="s">
        <v>1279</v>
      </c>
      <c r="C508" s="4" t="s">
        <v>1280</v>
      </c>
      <c r="D508" s="1" t="s">
        <v>14</v>
      </c>
      <c r="E508" s="1"/>
      <c r="F508" s="1" t="s">
        <v>1504</v>
      </c>
      <c r="G508" s="1"/>
      <c r="H508" s="1"/>
      <c r="I508" s="1"/>
      <c r="J508" s="1"/>
      <c r="K508" s="1"/>
      <c r="L508" s="1"/>
      <c r="M508" s="1"/>
      <c r="N508" s="1"/>
      <c r="O508" s="1"/>
      <c r="P508" s="1"/>
      <c r="Q508" s="1"/>
      <c r="R508" s="1">
        <v>0</v>
      </c>
      <c r="S508" s="1"/>
      <c r="T508" s="1" t="s">
        <v>1509</v>
      </c>
      <c r="U508" s="1" t="s">
        <v>1506</v>
      </c>
      <c r="V508" s="49">
        <v>534</v>
      </c>
      <c r="W508" s="49">
        <v>0</v>
      </c>
      <c r="X508" s="2">
        <v>60</v>
      </c>
    </row>
    <row r="509" spans="1:24" ht="13" x14ac:dyDescent="0.15">
      <c r="A509" s="1" t="s">
        <v>1281</v>
      </c>
      <c r="B509" s="1" t="s">
        <v>1282</v>
      </c>
      <c r="C509" s="4" t="s">
        <v>1283</v>
      </c>
      <c r="D509" s="1" t="s">
        <v>14</v>
      </c>
      <c r="E509" s="1"/>
      <c r="F509" s="1" t="s">
        <v>1507</v>
      </c>
      <c r="G509" s="1"/>
      <c r="H509" s="1"/>
      <c r="I509" s="1"/>
      <c r="J509" s="1"/>
      <c r="K509" s="1"/>
      <c r="L509" s="1"/>
      <c r="M509" s="1"/>
      <c r="N509" s="1"/>
      <c r="O509" s="1"/>
      <c r="P509" s="1"/>
      <c r="Q509" s="1"/>
      <c r="R509" s="1">
        <v>1</v>
      </c>
      <c r="S509" s="1"/>
      <c r="T509" s="1" t="s">
        <v>1509</v>
      </c>
      <c r="U509" s="1" t="s">
        <v>1506</v>
      </c>
      <c r="V509" s="49">
        <v>539</v>
      </c>
      <c r="W509" s="49">
        <v>1</v>
      </c>
      <c r="X509" s="2">
        <v>59</v>
      </c>
    </row>
    <row r="510" spans="1:24" ht="13" x14ac:dyDescent="0.15">
      <c r="A510" s="1" t="s">
        <v>1284</v>
      </c>
      <c r="B510" s="1" t="s">
        <v>1285</v>
      </c>
      <c r="C510" s="4" t="s">
        <v>1286</v>
      </c>
      <c r="D510" s="1" t="s">
        <v>14</v>
      </c>
      <c r="E510" s="1"/>
      <c r="F510" s="1" t="s">
        <v>1504</v>
      </c>
      <c r="G510" s="1"/>
      <c r="H510" s="1"/>
      <c r="I510" s="1"/>
      <c r="J510" s="1"/>
      <c r="K510" s="1"/>
      <c r="L510" s="1"/>
      <c r="M510" s="1"/>
      <c r="N510" s="1"/>
      <c r="O510" s="1"/>
      <c r="P510" s="1"/>
      <c r="Q510" s="1"/>
      <c r="R510" s="1">
        <v>0</v>
      </c>
      <c r="S510" s="1"/>
      <c r="T510" s="1" t="s">
        <v>1505</v>
      </c>
      <c r="U510" s="1" t="s">
        <v>1506</v>
      </c>
      <c r="V510" s="49">
        <v>244</v>
      </c>
      <c r="W510" s="49">
        <v>0</v>
      </c>
      <c r="X510" s="2">
        <v>60</v>
      </c>
    </row>
    <row r="511" spans="1:24" ht="13" x14ac:dyDescent="0.15">
      <c r="A511" s="1" t="s">
        <v>1287</v>
      </c>
      <c r="B511" s="1" t="s">
        <v>1288</v>
      </c>
      <c r="C511" s="4" t="s">
        <v>1289</v>
      </c>
      <c r="D511" s="1" t="s">
        <v>14</v>
      </c>
      <c r="E511" s="1"/>
      <c r="F511" s="1" t="s">
        <v>1504</v>
      </c>
      <c r="G511" s="1"/>
      <c r="H511" s="1"/>
      <c r="I511" s="1"/>
      <c r="J511" s="1"/>
      <c r="K511" s="1"/>
      <c r="L511" s="1"/>
      <c r="M511" s="1"/>
      <c r="N511" s="1"/>
      <c r="O511" s="1"/>
      <c r="P511" s="1"/>
      <c r="Q511" s="1"/>
      <c r="R511" s="1">
        <v>1</v>
      </c>
      <c r="S511" s="1"/>
      <c r="T511" s="1" t="s">
        <v>1505</v>
      </c>
      <c r="U511" s="1" t="s">
        <v>1506</v>
      </c>
      <c r="V511" s="49">
        <v>319</v>
      </c>
      <c r="W511" s="49">
        <v>1</v>
      </c>
      <c r="X511" s="2">
        <v>60</v>
      </c>
    </row>
    <row r="512" spans="1:24" ht="13" x14ac:dyDescent="0.15">
      <c r="A512" s="1" t="s">
        <v>1290</v>
      </c>
      <c r="B512" s="1" t="s">
        <v>1291</v>
      </c>
      <c r="C512" s="4" t="s">
        <v>1292</v>
      </c>
      <c r="D512" s="1" t="s">
        <v>14</v>
      </c>
      <c r="E512" s="1"/>
      <c r="F512" s="1" t="s">
        <v>1504</v>
      </c>
      <c r="G512" s="1"/>
      <c r="H512" s="1"/>
      <c r="I512" s="1"/>
      <c r="J512" s="1"/>
      <c r="K512" s="1"/>
      <c r="L512" s="1"/>
      <c r="M512" s="1"/>
      <c r="N512" s="1"/>
      <c r="O512" s="1"/>
      <c r="P512" s="1"/>
      <c r="Q512" s="1"/>
      <c r="R512" s="1">
        <v>0</v>
      </c>
      <c r="S512" s="1"/>
      <c r="T512" s="1" t="s">
        <v>1510</v>
      </c>
      <c r="U512" s="1" t="s">
        <v>1506</v>
      </c>
      <c r="V512" s="49">
        <v>213</v>
      </c>
      <c r="W512" s="49">
        <v>1</v>
      </c>
      <c r="X512" s="2">
        <v>43</v>
      </c>
    </row>
    <row r="513" spans="1:24" ht="13" x14ac:dyDescent="0.15">
      <c r="A513" s="1" t="s">
        <v>1293</v>
      </c>
      <c r="B513" s="1" t="s">
        <v>1294</v>
      </c>
      <c r="C513" s="4" t="s">
        <v>1295</v>
      </c>
      <c r="D513" s="1" t="s">
        <v>14</v>
      </c>
      <c r="E513" s="1"/>
      <c r="F513" s="1" t="s">
        <v>1507</v>
      </c>
      <c r="G513" s="1"/>
      <c r="H513" s="1"/>
      <c r="I513" s="1"/>
      <c r="J513" s="1"/>
      <c r="K513" s="1"/>
      <c r="L513" s="1"/>
      <c r="M513" s="1"/>
      <c r="N513" s="1"/>
      <c r="O513" s="1"/>
      <c r="P513" s="1"/>
      <c r="Q513" s="1"/>
      <c r="R513" s="1">
        <v>0</v>
      </c>
      <c r="S513" s="1"/>
      <c r="T513" s="1" t="s">
        <v>1510</v>
      </c>
      <c r="U513" s="1" t="s">
        <v>1506</v>
      </c>
      <c r="V513" s="49">
        <v>510</v>
      </c>
      <c r="W513" s="49">
        <v>1</v>
      </c>
      <c r="X513" s="2">
        <v>31</v>
      </c>
    </row>
    <row r="514" spans="1:24" ht="13" x14ac:dyDescent="0.15">
      <c r="A514" s="1" t="s">
        <v>1296</v>
      </c>
      <c r="B514" s="1" t="s">
        <v>1297</v>
      </c>
      <c r="C514" s="4" t="s">
        <v>1298</v>
      </c>
      <c r="D514" s="1" t="s">
        <v>14</v>
      </c>
      <c r="E514" s="1"/>
      <c r="F514" s="1" t="s">
        <v>1507</v>
      </c>
      <c r="G514" s="1"/>
      <c r="H514" s="1"/>
      <c r="I514" s="1"/>
      <c r="J514" s="1"/>
      <c r="K514" s="1"/>
      <c r="L514" s="1"/>
      <c r="M514" s="1"/>
      <c r="N514" s="1"/>
      <c r="O514" s="1"/>
      <c r="P514" s="1"/>
      <c r="Q514" s="1"/>
      <c r="R514" s="1">
        <v>0</v>
      </c>
      <c r="S514" s="1"/>
      <c r="T514" s="1" t="s">
        <v>1509</v>
      </c>
      <c r="U514" s="1" t="s">
        <v>1506</v>
      </c>
      <c r="V514" s="49">
        <v>1037</v>
      </c>
      <c r="W514" s="49">
        <v>0</v>
      </c>
      <c r="X514" s="2">
        <v>69</v>
      </c>
    </row>
    <row r="515" spans="1:24" ht="13" x14ac:dyDescent="0.15">
      <c r="A515" s="1" t="s">
        <v>1299</v>
      </c>
      <c r="B515" s="1" t="s">
        <v>1300</v>
      </c>
      <c r="C515" s="4" t="s">
        <v>1301</v>
      </c>
      <c r="D515" s="1" t="s">
        <v>14</v>
      </c>
      <c r="E515" s="1"/>
      <c r="F515" s="1" t="s">
        <v>1504</v>
      </c>
      <c r="G515" s="1"/>
      <c r="H515" s="1"/>
      <c r="I515" s="1"/>
      <c r="J515" s="1"/>
      <c r="K515" s="1"/>
      <c r="L515" s="1"/>
      <c r="M515" s="1"/>
      <c r="N515" s="1"/>
      <c r="O515" s="1"/>
      <c r="P515" s="1"/>
      <c r="Q515" s="1"/>
      <c r="R515" s="1">
        <v>1</v>
      </c>
      <c r="S515" s="1"/>
      <c r="T515" s="1" t="s">
        <v>1505</v>
      </c>
      <c r="U515" s="1" t="s">
        <v>1506</v>
      </c>
      <c r="V515" s="49">
        <v>349</v>
      </c>
      <c r="W515" s="49">
        <v>0</v>
      </c>
      <c r="X515" s="2">
        <v>71</v>
      </c>
    </row>
    <row r="516" spans="1:24" ht="13" x14ac:dyDescent="0.15">
      <c r="A516" s="1" t="s">
        <v>1302</v>
      </c>
      <c r="B516" s="1" t="s">
        <v>1303</v>
      </c>
      <c r="C516" s="4" t="s">
        <v>1304</v>
      </c>
      <c r="D516" s="1" t="s">
        <v>14</v>
      </c>
      <c r="E516" s="1"/>
      <c r="F516" s="1" t="s">
        <v>1504</v>
      </c>
      <c r="G516" s="1"/>
      <c r="H516" s="1"/>
      <c r="I516" s="1"/>
      <c r="J516" s="1"/>
      <c r="K516" s="1"/>
      <c r="L516" s="1"/>
      <c r="M516" s="1"/>
      <c r="N516" s="1"/>
      <c r="O516" s="1"/>
      <c r="P516" s="1"/>
      <c r="Q516" s="1"/>
      <c r="R516" s="1">
        <v>1</v>
      </c>
      <c r="S516" s="1"/>
      <c r="T516" s="1" t="s">
        <v>1509</v>
      </c>
      <c r="U516" s="1" t="s">
        <v>1506</v>
      </c>
      <c r="V516" s="49">
        <v>205</v>
      </c>
      <c r="W516" s="49">
        <v>1</v>
      </c>
      <c r="X516" s="2">
        <v>65</v>
      </c>
    </row>
    <row r="517" spans="1:24" ht="13" x14ac:dyDescent="0.15">
      <c r="A517" s="1" t="s">
        <v>1305</v>
      </c>
      <c r="B517" s="1" t="s">
        <v>1306</v>
      </c>
      <c r="C517" s="4" t="s">
        <v>1307</v>
      </c>
      <c r="D517" s="1" t="s">
        <v>14</v>
      </c>
      <c r="E517" s="1"/>
      <c r="F517" s="1" t="s">
        <v>1507</v>
      </c>
      <c r="G517" s="1"/>
      <c r="H517" s="1"/>
      <c r="I517" s="1"/>
      <c r="J517" s="1"/>
      <c r="K517" s="1"/>
      <c r="L517" s="1"/>
      <c r="M517" s="1"/>
      <c r="N517" s="1"/>
      <c r="O517" s="1"/>
      <c r="P517" s="1"/>
      <c r="Q517" s="1"/>
      <c r="R517" s="1">
        <v>0</v>
      </c>
      <c r="S517" s="1"/>
      <c r="T517" s="1" t="s">
        <v>1509</v>
      </c>
      <c r="U517" s="1" t="s">
        <v>1506</v>
      </c>
      <c r="V517" s="49">
        <v>421</v>
      </c>
      <c r="W517" s="49">
        <v>1</v>
      </c>
      <c r="X517" s="2">
        <v>58</v>
      </c>
    </row>
    <row r="518" spans="1:24" ht="13" x14ac:dyDescent="0.15">
      <c r="A518" s="1" t="s">
        <v>1308</v>
      </c>
      <c r="B518" s="1" t="s">
        <v>1309</v>
      </c>
      <c r="C518" s="4" t="s">
        <v>1310</v>
      </c>
      <c r="D518" s="1" t="s">
        <v>14</v>
      </c>
      <c r="E518" s="1"/>
      <c r="F518" s="1" t="s">
        <v>1504</v>
      </c>
      <c r="G518" s="1"/>
      <c r="H518" s="1"/>
      <c r="I518" s="1"/>
      <c r="J518" s="1"/>
      <c r="K518" s="1"/>
      <c r="L518" s="1"/>
      <c r="M518" s="1"/>
      <c r="N518" s="1"/>
      <c r="O518" s="1"/>
      <c r="P518" s="1"/>
      <c r="Q518" s="1"/>
      <c r="R518" s="1">
        <v>1</v>
      </c>
      <c r="S518" s="1"/>
      <c r="T518" s="1" t="s">
        <v>1509</v>
      </c>
      <c r="U518" s="1" t="s">
        <v>1506</v>
      </c>
      <c r="V518" s="49">
        <v>169</v>
      </c>
      <c r="W518" s="49">
        <v>1</v>
      </c>
      <c r="X518" s="2">
        <v>52</v>
      </c>
    </row>
    <row r="519" spans="1:24" ht="13" x14ac:dyDescent="0.15">
      <c r="A519" s="1" t="s">
        <v>1311</v>
      </c>
      <c r="B519" s="1" t="s">
        <v>1312</v>
      </c>
      <c r="C519" s="4" t="s">
        <v>1313</v>
      </c>
      <c r="D519" s="1" t="s">
        <v>14</v>
      </c>
      <c r="E519" s="1"/>
      <c r="F519" s="1" t="s">
        <v>1504</v>
      </c>
      <c r="G519" s="1"/>
      <c r="H519" s="1"/>
      <c r="I519" s="1"/>
      <c r="J519" s="1"/>
      <c r="K519" s="1"/>
      <c r="L519" s="1"/>
      <c r="M519" s="1"/>
      <c r="N519" s="1"/>
      <c r="O519" s="1"/>
      <c r="P519" s="1"/>
      <c r="Q519" s="1"/>
      <c r="R519" s="1">
        <v>0</v>
      </c>
      <c r="S519" s="1"/>
      <c r="T519" s="1" t="s">
        <v>1510</v>
      </c>
      <c r="U519" s="1" t="s">
        <v>1506</v>
      </c>
      <c r="V519" s="49">
        <v>239</v>
      </c>
      <c r="W519" s="49">
        <v>1</v>
      </c>
      <c r="X519" s="2">
        <v>47</v>
      </c>
    </row>
    <row r="520" spans="1:24" ht="13" x14ac:dyDescent="0.15">
      <c r="A520" s="1" t="s">
        <v>1314</v>
      </c>
      <c r="B520" s="1" t="s">
        <v>1315</v>
      </c>
      <c r="C520" s="4" t="s">
        <v>1316</v>
      </c>
      <c r="D520" s="1" t="s">
        <v>14</v>
      </c>
      <c r="E520" s="1"/>
      <c r="F520" s="1" t="s">
        <v>1504</v>
      </c>
      <c r="G520" s="1"/>
      <c r="H520" s="1"/>
      <c r="I520" s="1"/>
      <c r="J520" s="1"/>
      <c r="K520" s="1"/>
      <c r="L520" s="1"/>
      <c r="M520" s="1"/>
      <c r="N520" s="1"/>
      <c r="O520" s="1"/>
      <c r="P520" s="1"/>
      <c r="Q520" s="1"/>
      <c r="R520" s="1">
        <v>1</v>
      </c>
      <c r="S520" s="1"/>
      <c r="T520" s="1" t="s">
        <v>1509</v>
      </c>
      <c r="U520" s="1" t="s">
        <v>1506</v>
      </c>
      <c r="V520" s="49">
        <v>174</v>
      </c>
      <c r="W520" s="49">
        <v>1</v>
      </c>
      <c r="X520" s="2">
        <v>74</v>
      </c>
    </row>
    <row r="521" spans="1:24" ht="13" x14ac:dyDescent="0.15">
      <c r="A521" s="1" t="s">
        <v>1317</v>
      </c>
      <c r="B521" s="1" t="s">
        <v>1318</v>
      </c>
      <c r="C521" s="4" t="s">
        <v>1319</v>
      </c>
      <c r="D521" s="1" t="s">
        <v>14</v>
      </c>
      <c r="E521" s="1"/>
      <c r="F521" s="1" t="s">
        <v>1507</v>
      </c>
      <c r="G521" s="1"/>
      <c r="H521" s="1"/>
      <c r="I521" s="1"/>
      <c r="J521" s="1"/>
      <c r="K521" s="1"/>
      <c r="L521" s="1"/>
      <c r="M521" s="1"/>
      <c r="N521" s="1"/>
      <c r="O521" s="1"/>
      <c r="P521" s="1"/>
      <c r="Q521" s="1"/>
      <c r="R521" s="1">
        <v>0</v>
      </c>
      <c r="S521" s="1"/>
      <c r="T521" s="1" t="s">
        <v>1509</v>
      </c>
      <c r="U521" s="1" t="s">
        <v>1506</v>
      </c>
      <c r="V521" s="49">
        <v>351</v>
      </c>
      <c r="W521" s="49">
        <v>0</v>
      </c>
      <c r="X521" s="2">
        <v>77</v>
      </c>
    </row>
    <row r="522" spans="1:24" ht="13" x14ac:dyDescent="0.15">
      <c r="A522" s="1" t="s">
        <v>1320</v>
      </c>
      <c r="B522" s="1" t="s">
        <v>1321</v>
      </c>
      <c r="C522" s="4" t="s">
        <v>1322</v>
      </c>
      <c r="D522" s="1" t="s">
        <v>14</v>
      </c>
      <c r="E522" s="1"/>
      <c r="F522" s="1" t="s">
        <v>1504</v>
      </c>
      <c r="G522" s="1"/>
      <c r="H522" s="1"/>
      <c r="I522" s="1"/>
      <c r="J522" s="1"/>
      <c r="K522" s="1"/>
      <c r="L522" s="1"/>
      <c r="M522" s="1"/>
      <c r="N522" s="1"/>
      <c r="O522" s="1"/>
      <c r="P522" s="1"/>
      <c r="Q522" s="1"/>
      <c r="R522" s="1">
        <v>1</v>
      </c>
      <c r="S522" s="1"/>
      <c r="T522" s="1" t="s">
        <v>1509</v>
      </c>
      <c r="U522" s="1" t="s">
        <v>1684</v>
      </c>
      <c r="V522" s="49">
        <v>407</v>
      </c>
      <c r="W522" s="49">
        <v>0</v>
      </c>
      <c r="X522" s="2">
        <v>43</v>
      </c>
    </row>
    <row r="523" spans="1:24" ht="13" x14ac:dyDescent="0.15">
      <c r="A523" s="1" t="s">
        <v>1323</v>
      </c>
      <c r="B523" s="1" t="s">
        <v>1324</v>
      </c>
      <c r="C523" s="4" t="s">
        <v>1325</v>
      </c>
      <c r="D523" s="1" t="s">
        <v>14</v>
      </c>
      <c r="E523" s="1"/>
      <c r="F523" s="1" t="s">
        <v>1507</v>
      </c>
      <c r="G523" s="1"/>
      <c r="H523" s="1"/>
      <c r="I523" s="1"/>
      <c r="J523" s="1"/>
      <c r="K523" s="1"/>
      <c r="L523" s="1"/>
      <c r="M523" s="1"/>
      <c r="N523" s="1"/>
      <c r="O523" s="1"/>
      <c r="P523" s="1"/>
      <c r="Q523" s="1"/>
      <c r="R523" s="1">
        <v>1</v>
      </c>
      <c r="S523" s="1"/>
      <c r="T523" s="1" t="s">
        <v>1509</v>
      </c>
      <c r="U523" s="1" t="s">
        <v>1506</v>
      </c>
      <c r="V523" s="49">
        <v>571</v>
      </c>
      <c r="W523" s="49">
        <v>0</v>
      </c>
      <c r="X523" s="2">
        <v>54</v>
      </c>
    </row>
    <row r="524" spans="1:24" ht="13" x14ac:dyDescent="0.15">
      <c r="A524" s="1" t="s">
        <v>1326</v>
      </c>
      <c r="B524" s="1" t="s">
        <v>1327</v>
      </c>
      <c r="C524" s="4" t="s">
        <v>1328</v>
      </c>
      <c r="D524" s="1" t="s">
        <v>14</v>
      </c>
      <c r="E524" s="1"/>
      <c r="F524" s="1" t="s">
        <v>1507</v>
      </c>
      <c r="G524" s="1"/>
      <c r="H524" s="1"/>
      <c r="I524" s="1"/>
      <c r="J524" s="1"/>
      <c r="K524" s="1"/>
      <c r="L524" s="1"/>
      <c r="M524" s="1"/>
      <c r="N524" s="1"/>
      <c r="O524" s="1"/>
      <c r="P524" s="1"/>
      <c r="Q524" s="1"/>
      <c r="R524" s="1">
        <v>1</v>
      </c>
      <c r="S524" s="1"/>
      <c r="T524" s="1" t="s">
        <v>1505</v>
      </c>
      <c r="U524" s="1" t="s">
        <v>1506</v>
      </c>
      <c r="V524" s="49">
        <v>248</v>
      </c>
      <c r="W524" s="49">
        <v>1</v>
      </c>
      <c r="X524" s="2">
        <v>56</v>
      </c>
    </row>
    <row r="525" spans="1:24" ht="13" x14ac:dyDescent="0.15">
      <c r="A525" s="1" t="s">
        <v>1329</v>
      </c>
      <c r="B525" s="1" t="s">
        <v>1330</v>
      </c>
      <c r="C525" s="4" t="s">
        <v>1331</v>
      </c>
      <c r="D525" s="1" t="s">
        <v>14</v>
      </c>
      <c r="E525" s="1"/>
      <c r="F525" s="1" t="s">
        <v>1504</v>
      </c>
      <c r="G525" s="1"/>
      <c r="H525" s="1"/>
      <c r="I525" s="1"/>
      <c r="J525" s="1"/>
      <c r="K525" s="1"/>
      <c r="L525" s="1"/>
      <c r="M525" s="1"/>
      <c r="N525" s="1"/>
      <c r="O525" s="1"/>
      <c r="P525" s="1"/>
      <c r="Q525" s="1"/>
      <c r="R525" s="1">
        <v>0</v>
      </c>
      <c r="S525" s="1"/>
      <c r="T525" s="1" t="s">
        <v>1510</v>
      </c>
      <c r="U525" s="1" t="s">
        <v>1506</v>
      </c>
      <c r="V525" s="49">
        <v>219</v>
      </c>
      <c r="W525" s="49">
        <v>1</v>
      </c>
      <c r="X525" s="2">
        <v>64</v>
      </c>
    </row>
    <row r="526" spans="1:24" ht="13" x14ac:dyDescent="0.15">
      <c r="A526" s="1" t="s">
        <v>1332</v>
      </c>
      <c r="B526" s="1" t="s">
        <v>1333</v>
      </c>
      <c r="C526" s="4" t="s">
        <v>1334</v>
      </c>
      <c r="D526" s="1" t="s">
        <v>14</v>
      </c>
      <c r="E526" s="1"/>
      <c r="F526" s="1" t="s">
        <v>1504</v>
      </c>
      <c r="G526" s="1"/>
      <c r="H526" s="1"/>
      <c r="I526" s="1"/>
      <c r="J526" s="1"/>
      <c r="K526" s="1"/>
      <c r="L526" s="1"/>
      <c r="M526" s="1"/>
      <c r="N526" s="1"/>
      <c r="O526" s="1"/>
      <c r="P526" s="1"/>
      <c r="Q526" s="1"/>
      <c r="R526" s="1">
        <v>1</v>
      </c>
      <c r="S526" s="1"/>
      <c r="T526" s="1" t="s">
        <v>1509</v>
      </c>
      <c r="U526" s="1" t="s">
        <v>1506</v>
      </c>
      <c r="V526" s="49">
        <v>616</v>
      </c>
      <c r="W526" s="49">
        <v>0</v>
      </c>
      <c r="X526" s="2">
        <v>44</v>
      </c>
    </row>
    <row r="527" spans="1:24" ht="13" x14ac:dyDescent="0.15">
      <c r="A527" s="1" t="s">
        <v>1335</v>
      </c>
      <c r="B527" s="1" t="s">
        <v>1336</v>
      </c>
      <c r="C527" s="4" t="s">
        <v>1337</v>
      </c>
      <c r="D527" s="1" t="s">
        <v>14</v>
      </c>
      <c r="E527" s="1"/>
      <c r="F527" s="1" t="s">
        <v>1507</v>
      </c>
      <c r="G527" s="1"/>
      <c r="H527" s="1"/>
      <c r="I527" s="1"/>
      <c r="J527" s="1"/>
      <c r="K527" s="1"/>
      <c r="L527" s="1"/>
      <c r="M527" s="1"/>
      <c r="N527" s="1"/>
      <c r="O527" s="1"/>
      <c r="P527" s="1"/>
      <c r="Q527" s="1"/>
      <c r="R527" s="1">
        <v>1</v>
      </c>
      <c r="S527" s="1"/>
      <c r="T527" s="1" t="s">
        <v>1509</v>
      </c>
      <c r="U527" s="1" t="s">
        <v>1506</v>
      </c>
      <c r="V527" s="49">
        <v>762</v>
      </c>
      <c r="W527" s="49">
        <v>0</v>
      </c>
      <c r="X527" s="2">
        <v>56</v>
      </c>
    </row>
    <row r="528" spans="1:24" ht="13" x14ac:dyDescent="0.15">
      <c r="A528" s="1" t="s">
        <v>1338</v>
      </c>
      <c r="B528" s="1" t="s">
        <v>1339</v>
      </c>
      <c r="C528" s="4" t="s">
        <v>1340</v>
      </c>
      <c r="D528" s="1" t="s">
        <v>14</v>
      </c>
      <c r="E528" s="1"/>
      <c r="F528" s="1" t="s">
        <v>1507</v>
      </c>
      <c r="G528" s="1"/>
      <c r="H528" s="1"/>
      <c r="I528" s="1"/>
      <c r="J528" s="1"/>
      <c r="K528" s="1"/>
      <c r="L528" s="1"/>
      <c r="M528" s="1"/>
      <c r="N528" s="1"/>
      <c r="O528" s="1"/>
      <c r="P528" s="1"/>
      <c r="Q528" s="1"/>
      <c r="R528" s="1">
        <v>0</v>
      </c>
      <c r="S528" s="1"/>
      <c r="T528" s="1" t="s">
        <v>1509</v>
      </c>
      <c r="U528" s="1" t="s">
        <v>1506</v>
      </c>
      <c r="V528" s="49">
        <v>386</v>
      </c>
      <c r="W528" s="49">
        <v>1</v>
      </c>
      <c r="X528" s="2">
        <v>62</v>
      </c>
    </row>
    <row r="529" spans="1:39" ht="13" x14ac:dyDescent="0.15">
      <c r="A529" s="1" t="s">
        <v>1341</v>
      </c>
      <c r="B529" s="1" t="s">
        <v>1342</v>
      </c>
      <c r="C529" s="5" t="s">
        <v>1343</v>
      </c>
      <c r="D529" s="1" t="s">
        <v>304</v>
      </c>
      <c r="E529" s="1"/>
      <c r="F529" s="5" t="s">
        <v>1507</v>
      </c>
      <c r="G529" s="1"/>
      <c r="H529" s="1"/>
      <c r="I529" s="1"/>
      <c r="J529" s="1"/>
      <c r="K529" s="1"/>
      <c r="L529" s="1"/>
      <c r="M529" s="1"/>
      <c r="N529" s="1"/>
      <c r="O529" s="1"/>
      <c r="P529" s="1"/>
      <c r="Q529" s="1"/>
      <c r="R529" s="1">
        <v>0</v>
      </c>
      <c r="S529" s="1"/>
      <c r="T529" s="1"/>
      <c r="U529" s="1" t="s">
        <v>1530</v>
      </c>
      <c r="V529" s="49"/>
      <c r="W529" s="49"/>
      <c r="X529" s="2">
        <v>56.25</v>
      </c>
      <c r="Y529" s="2">
        <v>397</v>
      </c>
      <c r="Z529" s="2" t="s">
        <v>1531</v>
      </c>
    </row>
    <row r="530" spans="1:39" ht="13" x14ac:dyDescent="0.15">
      <c r="A530" s="1" t="s">
        <v>1344</v>
      </c>
      <c r="B530" s="1" t="s">
        <v>1345</v>
      </c>
      <c r="C530" s="5" t="s">
        <v>1346</v>
      </c>
      <c r="D530" s="1" t="s">
        <v>304</v>
      </c>
      <c r="E530" s="1"/>
      <c r="F530" s="5" t="s">
        <v>1504</v>
      </c>
      <c r="G530" s="1"/>
      <c r="H530" s="1"/>
      <c r="I530" s="1"/>
      <c r="J530" s="1"/>
      <c r="K530" s="1"/>
      <c r="L530" s="1"/>
      <c r="M530" s="1"/>
      <c r="N530" s="1"/>
      <c r="O530" s="1"/>
      <c r="P530" s="1"/>
      <c r="Q530" s="1"/>
      <c r="R530" s="1">
        <v>0</v>
      </c>
      <c r="S530" s="1"/>
      <c r="T530" s="1"/>
      <c r="U530" s="1" t="s">
        <v>1530</v>
      </c>
      <c r="V530" s="49"/>
      <c r="W530" s="49"/>
      <c r="X530" s="2">
        <v>67.92</v>
      </c>
      <c r="Y530" s="2">
        <v>483</v>
      </c>
      <c r="Z530" s="2" t="s">
        <v>1536</v>
      </c>
    </row>
    <row r="531" spans="1:39" ht="13" x14ac:dyDescent="0.15">
      <c r="A531" s="1" t="s">
        <v>1347</v>
      </c>
      <c r="B531" s="1" t="s">
        <v>1348</v>
      </c>
      <c r="C531" s="5" t="s">
        <v>1349</v>
      </c>
      <c r="D531" s="1" t="s">
        <v>304</v>
      </c>
      <c r="E531" s="1"/>
      <c r="F531" s="5" t="s">
        <v>1507</v>
      </c>
      <c r="G531" s="1"/>
      <c r="H531" s="1"/>
      <c r="I531" s="1"/>
      <c r="J531" s="1"/>
      <c r="K531" s="1"/>
      <c r="L531" s="1"/>
      <c r="M531" s="1"/>
      <c r="N531" s="1"/>
      <c r="O531" s="1"/>
      <c r="P531" s="1"/>
      <c r="Q531" s="1"/>
      <c r="R531" s="1">
        <v>0</v>
      </c>
      <c r="S531" s="1"/>
      <c r="T531" s="1"/>
      <c r="U531" s="1" t="s">
        <v>1530</v>
      </c>
      <c r="V531" s="49"/>
      <c r="W531" s="49"/>
      <c r="X531" s="2">
        <v>55.95</v>
      </c>
      <c r="Y531" s="2">
        <v>733</v>
      </c>
      <c r="Z531" s="2" t="s">
        <v>1531</v>
      </c>
    </row>
    <row r="532" spans="1:39" ht="13" x14ac:dyDescent="0.15">
      <c r="A532" s="43" t="s">
        <v>1777</v>
      </c>
      <c r="B532" s="43" t="s">
        <v>1778</v>
      </c>
      <c r="C532" s="52" t="s">
        <v>1779</v>
      </c>
      <c r="D532" s="43" t="s">
        <v>304</v>
      </c>
      <c r="E532" s="43"/>
      <c r="F532" s="52" t="s">
        <v>1507</v>
      </c>
      <c r="G532" s="43"/>
      <c r="H532" s="43"/>
      <c r="I532" s="43"/>
      <c r="J532" s="43"/>
      <c r="K532" s="43"/>
      <c r="L532" s="43"/>
      <c r="M532" s="43"/>
      <c r="N532" s="43"/>
      <c r="O532" s="43"/>
      <c r="P532" s="43"/>
      <c r="Q532" s="43"/>
      <c r="R532" s="43">
        <v>1</v>
      </c>
      <c r="S532" s="43"/>
      <c r="T532" s="43"/>
      <c r="U532" s="43" t="s">
        <v>1530</v>
      </c>
      <c r="V532" s="49"/>
      <c r="W532" s="49"/>
      <c r="X532" s="53">
        <v>61.42</v>
      </c>
      <c r="Y532" s="53" t="s">
        <v>1535</v>
      </c>
      <c r="Z532" s="53" t="s">
        <v>1536</v>
      </c>
      <c r="AA532" s="53"/>
      <c r="AB532" s="53"/>
      <c r="AC532" s="53"/>
      <c r="AD532" s="53"/>
      <c r="AE532" s="53"/>
      <c r="AF532" s="53"/>
      <c r="AG532" s="53"/>
      <c r="AH532" s="53"/>
      <c r="AI532" s="53"/>
      <c r="AJ532" s="53"/>
      <c r="AK532" s="53"/>
      <c r="AL532" s="53"/>
      <c r="AM532" s="53"/>
    </row>
    <row r="533" spans="1:39" ht="13" x14ac:dyDescent="0.15">
      <c r="A533" s="1" t="s">
        <v>1350</v>
      </c>
      <c r="B533" s="1" t="s">
        <v>1351</v>
      </c>
      <c r="C533" s="5" t="s">
        <v>1352</v>
      </c>
      <c r="D533" s="1" t="s">
        <v>304</v>
      </c>
      <c r="E533" s="1"/>
      <c r="F533" s="5" t="s">
        <v>1507</v>
      </c>
      <c r="G533" s="1"/>
      <c r="H533" s="1"/>
      <c r="I533" s="1"/>
      <c r="J533" s="1"/>
      <c r="K533" s="1"/>
      <c r="L533" s="1"/>
      <c r="M533" s="1"/>
      <c r="N533" s="1"/>
      <c r="O533" s="1"/>
      <c r="P533" s="1"/>
      <c r="Q533" s="1"/>
      <c r="R533" s="1">
        <v>0</v>
      </c>
      <c r="S533" s="1"/>
      <c r="T533" s="1"/>
      <c r="U533" s="1" t="s">
        <v>1530</v>
      </c>
      <c r="V533" s="49"/>
      <c r="W533" s="49"/>
      <c r="X533" s="2">
        <v>25.57</v>
      </c>
      <c r="Y533" s="2">
        <v>479</v>
      </c>
      <c r="Z533" s="2" t="s">
        <v>1531</v>
      </c>
    </row>
    <row r="534" spans="1:39" ht="13" x14ac:dyDescent="0.15">
      <c r="A534" s="43" t="s">
        <v>1780</v>
      </c>
      <c r="B534" s="43" t="s">
        <v>1781</v>
      </c>
      <c r="C534" s="52" t="s">
        <v>1782</v>
      </c>
      <c r="D534" s="43" t="s">
        <v>304</v>
      </c>
      <c r="E534" s="43"/>
      <c r="F534" s="52" t="s">
        <v>1504</v>
      </c>
      <c r="G534" s="43"/>
      <c r="H534" s="43"/>
      <c r="I534" s="43"/>
      <c r="J534" s="43"/>
      <c r="K534" s="43"/>
      <c r="L534" s="43"/>
      <c r="M534" s="43"/>
      <c r="N534" s="43"/>
      <c r="O534" s="43"/>
      <c r="P534" s="43"/>
      <c r="Q534" s="43"/>
      <c r="R534" s="43">
        <v>1</v>
      </c>
      <c r="S534" s="43"/>
      <c r="T534" s="43"/>
      <c r="U534" s="43" t="s">
        <v>1552</v>
      </c>
      <c r="V534" s="49"/>
      <c r="W534" s="49"/>
      <c r="X534" s="53">
        <v>36.32</v>
      </c>
      <c r="Y534" s="53" t="s">
        <v>1535</v>
      </c>
      <c r="Z534" s="53" t="s">
        <v>1536</v>
      </c>
      <c r="AA534" s="53"/>
      <c r="AB534" s="53"/>
      <c r="AC534" s="53"/>
      <c r="AD534" s="53"/>
      <c r="AE534" s="53"/>
      <c r="AF534" s="53"/>
      <c r="AG534" s="53"/>
      <c r="AH534" s="53"/>
      <c r="AI534" s="53"/>
      <c r="AJ534" s="53"/>
      <c r="AK534" s="53"/>
      <c r="AL534" s="53"/>
      <c r="AM534" s="53"/>
    </row>
    <row r="535" spans="1:39" ht="13" x14ac:dyDescent="0.15">
      <c r="A535" s="43" t="s">
        <v>1493</v>
      </c>
      <c r="B535" s="43" t="s">
        <v>1783</v>
      </c>
      <c r="C535" s="43" t="s">
        <v>1784</v>
      </c>
      <c r="D535" s="43" t="s">
        <v>210</v>
      </c>
      <c r="E535" s="43">
        <v>31</v>
      </c>
      <c r="F535" s="52" t="s">
        <v>1507</v>
      </c>
      <c r="G535" s="43"/>
      <c r="H535" s="43"/>
      <c r="I535" s="43">
        <v>11668</v>
      </c>
      <c r="J535" s="43">
        <v>-11668</v>
      </c>
      <c r="K535" s="43" t="s">
        <v>1512</v>
      </c>
      <c r="L535" s="43">
        <v>1975</v>
      </c>
      <c r="M535" s="43" t="s">
        <v>1512</v>
      </c>
      <c r="N535" s="43">
        <v>873</v>
      </c>
      <c r="O535" s="43"/>
      <c r="P535" s="43"/>
      <c r="Q535" s="43"/>
      <c r="R535" s="43">
        <v>1</v>
      </c>
      <c r="S535" s="43"/>
      <c r="T535" s="43"/>
      <c r="U535" s="43"/>
      <c r="V535" s="49"/>
      <c r="W535" s="51" t="s">
        <v>1519</v>
      </c>
      <c r="X535" s="53"/>
      <c r="Y535" s="53"/>
      <c r="Z535" s="53"/>
      <c r="AA535" s="53"/>
      <c r="AB535" s="53"/>
      <c r="AC535" s="53"/>
      <c r="AD535" s="53"/>
      <c r="AE535" s="53"/>
      <c r="AF535" s="53"/>
      <c r="AG535" s="53"/>
      <c r="AH535" s="53"/>
      <c r="AI535" s="53"/>
      <c r="AJ535" s="53"/>
      <c r="AK535" s="53"/>
      <c r="AL535" s="53"/>
      <c r="AM535" s="53"/>
    </row>
    <row r="536" spans="1:39" ht="13" x14ac:dyDescent="0.15">
      <c r="A536" s="43" t="s">
        <v>1785</v>
      </c>
      <c r="B536" s="43" t="s">
        <v>1786</v>
      </c>
      <c r="C536" s="52" t="s">
        <v>1787</v>
      </c>
      <c r="D536" s="43" t="s">
        <v>304</v>
      </c>
      <c r="E536" s="43"/>
      <c r="F536" s="52" t="s">
        <v>1504</v>
      </c>
      <c r="G536" s="43"/>
      <c r="H536" s="43"/>
      <c r="I536" s="43"/>
      <c r="J536" s="43"/>
      <c r="K536" s="43"/>
      <c r="L536" s="43"/>
      <c r="M536" s="43"/>
      <c r="N536" s="43"/>
      <c r="O536" s="43"/>
      <c r="P536" s="43"/>
      <c r="Q536" s="43"/>
      <c r="R536" s="43">
        <v>1</v>
      </c>
      <c r="S536" s="43"/>
      <c r="T536" s="43"/>
      <c r="U536" s="43" t="s">
        <v>1530</v>
      </c>
      <c r="V536" s="49"/>
      <c r="W536" s="49"/>
      <c r="X536" s="53">
        <v>67.77</v>
      </c>
      <c r="Y536" s="53" t="s">
        <v>1535</v>
      </c>
      <c r="Z536" s="53" t="s">
        <v>1531</v>
      </c>
      <c r="AA536" s="53"/>
      <c r="AB536" s="53"/>
      <c r="AC536" s="53"/>
      <c r="AD536" s="53"/>
      <c r="AE536" s="53"/>
      <c r="AF536" s="53"/>
      <c r="AG536" s="53"/>
      <c r="AH536" s="53"/>
      <c r="AI536" s="53"/>
      <c r="AJ536" s="53"/>
      <c r="AK536" s="53"/>
      <c r="AL536" s="53"/>
      <c r="AM536" s="53"/>
    </row>
    <row r="537" spans="1:39" ht="13" x14ac:dyDescent="0.15">
      <c r="A537" s="43" t="s">
        <v>1788</v>
      </c>
      <c r="B537" s="43" t="s">
        <v>1789</v>
      </c>
      <c r="C537" s="52" t="s">
        <v>1790</v>
      </c>
      <c r="D537" s="43" t="s">
        <v>304</v>
      </c>
      <c r="E537" s="43"/>
      <c r="F537" s="52" t="s">
        <v>1504</v>
      </c>
      <c r="G537" s="43"/>
      <c r="H537" s="43"/>
      <c r="I537" s="43"/>
      <c r="J537" s="43"/>
      <c r="K537" s="43"/>
      <c r="L537" s="43"/>
      <c r="M537" s="43"/>
      <c r="N537" s="43"/>
      <c r="O537" s="43"/>
      <c r="P537" s="43"/>
      <c r="Q537" s="43"/>
      <c r="R537" s="43">
        <v>1</v>
      </c>
      <c r="S537" s="43"/>
      <c r="T537" s="43"/>
      <c r="U537" s="43" t="s">
        <v>1530</v>
      </c>
      <c r="V537" s="49"/>
      <c r="W537" s="49"/>
      <c r="X537" s="53">
        <v>38.86</v>
      </c>
      <c r="Y537" s="53" t="s">
        <v>1535</v>
      </c>
      <c r="Z537" s="53" t="s">
        <v>1536</v>
      </c>
      <c r="AA537" s="53"/>
      <c r="AB537" s="53"/>
      <c r="AC537" s="53"/>
      <c r="AD537" s="53"/>
      <c r="AE537" s="53"/>
      <c r="AF537" s="53"/>
      <c r="AG537" s="53"/>
      <c r="AH537" s="53"/>
      <c r="AI537" s="53"/>
      <c r="AJ537" s="53"/>
      <c r="AK537" s="53"/>
      <c r="AL537" s="53"/>
      <c r="AM537" s="53"/>
    </row>
    <row r="538" spans="1:39" ht="13" x14ac:dyDescent="0.15">
      <c r="A538" s="1" t="s">
        <v>1353</v>
      </c>
      <c r="B538" s="1" t="s">
        <v>1354</v>
      </c>
      <c r="C538" s="1" t="s">
        <v>1355</v>
      </c>
      <c r="D538" s="1" t="s">
        <v>210</v>
      </c>
      <c r="E538" s="1">
        <v>51</v>
      </c>
      <c r="F538" s="1" t="s">
        <v>1504</v>
      </c>
      <c r="G538" s="1"/>
      <c r="H538" s="1"/>
      <c r="I538" s="1">
        <v>18657</v>
      </c>
      <c r="J538" s="1">
        <v>-18657</v>
      </c>
      <c r="K538" s="1">
        <v>1489</v>
      </c>
      <c r="L538" s="1">
        <v>1952</v>
      </c>
      <c r="M538" s="1">
        <v>2007</v>
      </c>
      <c r="N538" s="1">
        <v>1489</v>
      </c>
      <c r="O538" s="1"/>
      <c r="P538" s="1"/>
      <c r="Q538" s="1"/>
      <c r="R538" s="1">
        <v>1</v>
      </c>
      <c r="S538" s="1"/>
      <c r="T538" s="1"/>
      <c r="U538" s="50"/>
      <c r="V538" s="49"/>
      <c r="W538" s="51" t="s">
        <v>1511</v>
      </c>
    </row>
    <row r="539" spans="1:39" ht="13" x14ac:dyDescent="0.15">
      <c r="A539" s="1" t="s">
        <v>1356</v>
      </c>
      <c r="B539" s="1" t="s">
        <v>1357</v>
      </c>
      <c r="C539" s="1" t="s">
        <v>1358</v>
      </c>
      <c r="D539" s="1" t="s">
        <v>210</v>
      </c>
      <c r="E539" s="1">
        <v>18</v>
      </c>
      <c r="F539" s="1" t="s">
        <v>1507</v>
      </c>
      <c r="G539" s="1"/>
      <c r="H539" s="1"/>
      <c r="I539" s="1">
        <v>6926</v>
      </c>
      <c r="J539" s="1">
        <v>-6926</v>
      </c>
      <c r="K539" s="1">
        <v>630</v>
      </c>
      <c r="L539" s="1">
        <v>1986</v>
      </c>
      <c r="M539" s="1">
        <v>2005</v>
      </c>
      <c r="N539" s="1">
        <v>630</v>
      </c>
      <c r="O539" s="1"/>
      <c r="P539" s="1"/>
      <c r="Q539" s="1"/>
      <c r="R539" s="1">
        <v>1</v>
      </c>
      <c r="S539" s="1"/>
      <c r="T539" s="1"/>
      <c r="U539" s="50"/>
      <c r="V539" s="49"/>
      <c r="W539" s="51" t="s">
        <v>1511</v>
      </c>
    </row>
    <row r="540" spans="1:39" ht="13" x14ac:dyDescent="0.15">
      <c r="A540" s="1" t="s">
        <v>1359</v>
      </c>
      <c r="B540" s="1" t="s">
        <v>1360</v>
      </c>
      <c r="C540" s="5" t="s">
        <v>1361</v>
      </c>
      <c r="D540" s="1" t="s">
        <v>304</v>
      </c>
      <c r="E540" s="1"/>
      <c r="F540" s="5" t="s">
        <v>1507</v>
      </c>
      <c r="G540" s="1"/>
      <c r="H540" s="1"/>
      <c r="I540" s="1"/>
      <c r="J540" s="1"/>
      <c r="K540" s="1"/>
      <c r="L540" s="1"/>
      <c r="M540" s="1"/>
      <c r="N540" s="1"/>
      <c r="O540" s="1"/>
      <c r="P540" s="1"/>
      <c r="Q540" s="1"/>
      <c r="R540" s="1">
        <v>0</v>
      </c>
      <c r="S540" s="1"/>
      <c r="T540" s="1"/>
      <c r="U540" s="1" t="s">
        <v>1530</v>
      </c>
      <c r="V540" s="49"/>
      <c r="W540" s="49"/>
      <c r="X540" s="2">
        <v>83.63</v>
      </c>
      <c r="Y540" s="2">
        <v>13</v>
      </c>
      <c r="Z540" s="2" t="s">
        <v>1531</v>
      </c>
    </row>
    <row r="541" spans="1:39" ht="13" x14ac:dyDescent="0.15">
      <c r="A541" s="1" t="s">
        <v>1362</v>
      </c>
      <c r="B541" s="1" t="s">
        <v>1363</v>
      </c>
      <c r="C541" s="1" t="s">
        <v>1364</v>
      </c>
      <c r="D541" s="1" t="s">
        <v>210</v>
      </c>
      <c r="E541" s="1">
        <v>54</v>
      </c>
      <c r="F541" s="1" t="s">
        <v>1504</v>
      </c>
      <c r="G541" s="1"/>
      <c r="H541" s="1"/>
      <c r="I541" s="1">
        <v>20070</v>
      </c>
      <c r="J541" s="1">
        <v>-20070</v>
      </c>
      <c r="K541" s="1">
        <v>86</v>
      </c>
      <c r="L541" s="1">
        <v>1949</v>
      </c>
      <c r="M541" s="1">
        <v>2003</v>
      </c>
      <c r="N541" s="1">
        <v>86</v>
      </c>
      <c r="O541" s="1"/>
      <c r="P541" s="1"/>
      <c r="Q541" s="1"/>
      <c r="R541" s="1">
        <v>1</v>
      </c>
      <c r="S541" s="1"/>
      <c r="T541" s="1"/>
      <c r="U541" s="50"/>
      <c r="V541" s="49"/>
      <c r="W541" s="51" t="s">
        <v>1511</v>
      </c>
    </row>
    <row r="542" spans="1:39" ht="13" x14ac:dyDescent="0.15">
      <c r="A542" s="1" t="s">
        <v>1365</v>
      </c>
      <c r="B542" s="1" t="s">
        <v>1366</v>
      </c>
      <c r="C542" s="1" t="s">
        <v>1367</v>
      </c>
      <c r="D542" s="1" t="s">
        <v>210</v>
      </c>
      <c r="E542" s="1">
        <v>50</v>
      </c>
      <c r="F542" s="5" t="s">
        <v>1504</v>
      </c>
      <c r="G542" s="1"/>
      <c r="H542" s="1"/>
      <c r="I542" s="1">
        <v>18280</v>
      </c>
      <c r="J542" s="1">
        <v>-18280</v>
      </c>
      <c r="K542" s="1">
        <v>600</v>
      </c>
      <c r="L542" s="1">
        <v>1955</v>
      </c>
      <c r="M542" s="1">
        <v>2006</v>
      </c>
      <c r="N542" s="1">
        <v>600</v>
      </c>
      <c r="O542" s="1"/>
      <c r="P542" s="1"/>
      <c r="Q542" s="1"/>
      <c r="R542" s="1">
        <v>1</v>
      </c>
      <c r="S542" s="1"/>
      <c r="T542" s="1"/>
      <c r="U542" s="50"/>
      <c r="V542" s="49"/>
      <c r="W542" s="51" t="s">
        <v>1511</v>
      </c>
    </row>
    <row r="543" spans="1:39" ht="13" x14ac:dyDescent="0.15">
      <c r="A543" s="43" t="s">
        <v>1495</v>
      </c>
      <c r="B543" s="43" t="s">
        <v>1791</v>
      </c>
      <c r="C543" s="52" t="s">
        <v>1792</v>
      </c>
      <c r="D543" s="43" t="s">
        <v>304</v>
      </c>
      <c r="E543" s="43"/>
      <c r="F543" s="52" t="s">
        <v>1507</v>
      </c>
      <c r="G543" s="43"/>
      <c r="H543" s="43"/>
      <c r="I543" s="43"/>
      <c r="J543" s="43"/>
      <c r="K543" s="43"/>
      <c r="L543" s="43"/>
      <c r="M543" s="43"/>
      <c r="N543" s="43"/>
      <c r="O543" s="43"/>
      <c r="P543" s="43"/>
      <c r="Q543" s="43"/>
      <c r="R543" s="43">
        <v>1</v>
      </c>
      <c r="S543" s="43"/>
      <c r="T543" s="43"/>
      <c r="U543" s="43" t="s">
        <v>1530</v>
      </c>
      <c r="V543" s="49"/>
      <c r="W543" s="49"/>
      <c r="X543" s="53">
        <v>58.63</v>
      </c>
      <c r="Y543" s="53" t="s">
        <v>1535</v>
      </c>
      <c r="Z543" s="53" t="s">
        <v>1535</v>
      </c>
      <c r="AA543" s="53"/>
      <c r="AB543" s="53"/>
      <c r="AC543" s="53"/>
      <c r="AD543" s="53"/>
      <c r="AE543" s="53"/>
      <c r="AF543" s="53"/>
      <c r="AG543" s="53"/>
      <c r="AH543" s="53"/>
      <c r="AI543" s="53"/>
      <c r="AJ543" s="53"/>
      <c r="AK543" s="53"/>
      <c r="AL543" s="53"/>
      <c r="AM543" s="53"/>
    </row>
    <row r="544" spans="1:39" ht="13" x14ac:dyDescent="0.15">
      <c r="A544" s="1" t="s">
        <v>1368</v>
      </c>
      <c r="B544" s="1" t="s">
        <v>1369</v>
      </c>
      <c r="C544" s="1" t="s">
        <v>1370</v>
      </c>
      <c r="D544" s="1" t="s">
        <v>210</v>
      </c>
      <c r="E544" s="1">
        <v>33</v>
      </c>
      <c r="F544" s="1" t="s">
        <v>1507</v>
      </c>
      <c r="G544" s="1"/>
      <c r="H544" s="1"/>
      <c r="I544" s="1">
        <v>12369</v>
      </c>
      <c r="J544" s="1">
        <v>-12369</v>
      </c>
      <c r="K544" s="1">
        <v>370</v>
      </c>
      <c r="L544" s="1">
        <v>1972</v>
      </c>
      <c r="M544" s="1">
        <v>2006</v>
      </c>
      <c r="N544" s="1">
        <v>315</v>
      </c>
      <c r="O544" s="1"/>
      <c r="P544" s="1"/>
      <c r="Q544" s="1"/>
      <c r="R544" s="1">
        <v>0</v>
      </c>
      <c r="S544" s="1"/>
      <c r="T544" s="1"/>
      <c r="U544" s="50"/>
      <c r="V544" s="49"/>
      <c r="W544" s="51" t="s">
        <v>1511</v>
      </c>
    </row>
    <row r="545" spans="1:39" ht="13" x14ac:dyDescent="0.15">
      <c r="A545" s="1" t="s">
        <v>1371</v>
      </c>
      <c r="B545" s="1" t="s">
        <v>1372</v>
      </c>
      <c r="C545" s="5" t="s">
        <v>1373</v>
      </c>
      <c r="D545" s="1" t="s">
        <v>304</v>
      </c>
      <c r="E545" s="1"/>
      <c r="F545" s="5" t="s">
        <v>1504</v>
      </c>
      <c r="G545" s="1"/>
      <c r="H545" s="1"/>
      <c r="I545" s="1"/>
      <c r="J545" s="1"/>
      <c r="K545" s="1"/>
      <c r="L545" s="1"/>
      <c r="M545" s="1"/>
      <c r="N545" s="1"/>
      <c r="O545" s="1"/>
      <c r="P545" s="1"/>
      <c r="Q545" s="1"/>
      <c r="R545" s="1">
        <v>0</v>
      </c>
      <c r="S545" s="1"/>
      <c r="T545" s="1"/>
      <c r="U545" s="1" t="s">
        <v>1530</v>
      </c>
      <c r="V545" s="49"/>
      <c r="W545" s="49"/>
      <c r="X545" s="2">
        <v>66.23</v>
      </c>
      <c r="Y545" s="2">
        <v>796</v>
      </c>
      <c r="Z545" s="2" t="s">
        <v>1531</v>
      </c>
    </row>
    <row r="546" spans="1:39" ht="13" x14ac:dyDescent="0.15">
      <c r="A546" s="1" t="s">
        <v>1374</v>
      </c>
      <c r="B546" s="1" t="s">
        <v>1375</v>
      </c>
      <c r="C546" s="1" t="s">
        <v>1376</v>
      </c>
      <c r="D546" s="1" t="s">
        <v>304</v>
      </c>
      <c r="E546" s="1"/>
      <c r="F546" s="1" t="s">
        <v>1507</v>
      </c>
      <c r="G546" s="1"/>
      <c r="H546" s="1"/>
      <c r="I546" s="1"/>
      <c r="J546" s="1"/>
      <c r="K546" s="1"/>
      <c r="L546" s="1"/>
      <c r="M546" s="1"/>
      <c r="N546" s="1"/>
      <c r="O546" s="1"/>
      <c r="P546" s="1"/>
      <c r="Q546" s="1"/>
      <c r="R546" s="1">
        <v>1</v>
      </c>
      <c r="S546" s="1"/>
      <c r="T546" s="1"/>
      <c r="U546" s="1" t="s">
        <v>1530</v>
      </c>
      <c r="V546" s="49"/>
      <c r="W546" s="49"/>
      <c r="X546" s="2">
        <v>83.01</v>
      </c>
      <c r="Y546" s="2">
        <v>589</v>
      </c>
      <c r="Z546" s="2" t="s">
        <v>1536</v>
      </c>
    </row>
    <row r="547" spans="1:39" ht="13" x14ac:dyDescent="0.15">
      <c r="A547" s="1" t="s">
        <v>1377</v>
      </c>
      <c r="B547" s="1" t="s">
        <v>1378</v>
      </c>
      <c r="C547" s="1" t="s">
        <v>1379</v>
      </c>
      <c r="D547" s="1" t="s">
        <v>210</v>
      </c>
      <c r="E547" s="1">
        <v>66</v>
      </c>
      <c r="F547" s="5" t="s">
        <v>1507</v>
      </c>
      <c r="G547" s="1"/>
      <c r="H547" s="1"/>
      <c r="I547" s="1">
        <v>24319</v>
      </c>
      <c r="J547" s="1">
        <v>-24319</v>
      </c>
      <c r="K547" s="1">
        <v>77</v>
      </c>
      <c r="L547" s="1">
        <v>1943</v>
      </c>
      <c r="M547" s="1">
        <v>2009</v>
      </c>
      <c r="N547" s="1">
        <v>77</v>
      </c>
      <c r="O547" s="1"/>
      <c r="P547" s="1"/>
      <c r="Q547" s="1"/>
      <c r="R547" s="1">
        <v>1</v>
      </c>
      <c r="S547" s="1"/>
      <c r="T547" s="1"/>
      <c r="U547" s="50"/>
      <c r="V547" s="49"/>
      <c r="W547" s="51" t="s">
        <v>1511</v>
      </c>
    </row>
    <row r="548" spans="1:39" ht="13" x14ac:dyDescent="0.15">
      <c r="A548" s="1" t="s">
        <v>1380</v>
      </c>
      <c r="B548" s="1" t="s">
        <v>1381</v>
      </c>
      <c r="C548" s="1" t="s">
        <v>1382</v>
      </c>
      <c r="D548" s="1" t="s">
        <v>210</v>
      </c>
      <c r="E548" s="1">
        <v>52</v>
      </c>
      <c r="F548" s="5" t="s">
        <v>1507</v>
      </c>
      <c r="G548" s="1"/>
      <c r="H548" s="1"/>
      <c r="I548" s="1">
        <v>19231</v>
      </c>
      <c r="J548" s="1">
        <v>-19231</v>
      </c>
      <c r="K548" s="1">
        <v>1121</v>
      </c>
      <c r="L548" s="1">
        <v>1958</v>
      </c>
      <c r="M548" s="1" t="s">
        <v>1512</v>
      </c>
      <c r="N548" s="1">
        <v>328</v>
      </c>
      <c r="O548" s="1"/>
      <c r="P548" s="1"/>
      <c r="Q548" s="1"/>
      <c r="R548" s="1">
        <v>1</v>
      </c>
      <c r="S548" s="1"/>
      <c r="T548" s="1"/>
      <c r="U548" s="50"/>
      <c r="V548" s="49"/>
      <c r="W548" s="51" t="s">
        <v>1511</v>
      </c>
    </row>
    <row r="549" spans="1:39" ht="13" x14ac:dyDescent="0.15">
      <c r="A549" s="1" t="s">
        <v>1383</v>
      </c>
      <c r="B549" s="1" t="s">
        <v>1384</v>
      </c>
      <c r="C549" s="1" t="s">
        <v>1385</v>
      </c>
      <c r="D549" s="1" t="s">
        <v>210</v>
      </c>
      <c r="E549" s="1">
        <v>66</v>
      </c>
      <c r="F549" s="1" t="s">
        <v>1504</v>
      </c>
      <c r="G549" s="1"/>
      <c r="H549" s="1"/>
      <c r="I549" s="1">
        <v>24265</v>
      </c>
      <c r="J549" s="1">
        <v>-24265</v>
      </c>
      <c r="K549" s="1">
        <v>147</v>
      </c>
      <c r="L549" s="1">
        <v>1944</v>
      </c>
      <c r="M549" s="1">
        <v>2010</v>
      </c>
      <c r="N549" s="1">
        <v>147</v>
      </c>
      <c r="O549" s="1"/>
      <c r="P549" s="1"/>
      <c r="Q549" s="1"/>
      <c r="R549" s="1">
        <v>1</v>
      </c>
      <c r="S549" s="1"/>
      <c r="T549" s="1"/>
      <c r="U549" s="50"/>
      <c r="V549" s="49"/>
      <c r="W549" s="51" t="s">
        <v>1511</v>
      </c>
    </row>
    <row r="550" spans="1:39" ht="13" x14ac:dyDescent="0.15">
      <c r="A550" s="1" t="s">
        <v>1386</v>
      </c>
      <c r="B550" s="1" t="s">
        <v>1387</v>
      </c>
      <c r="C550" s="1" t="s">
        <v>1388</v>
      </c>
      <c r="D550" s="1" t="s">
        <v>210</v>
      </c>
      <c r="E550" s="1">
        <v>74</v>
      </c>
      <c r="F550" s="1" t="s">
        <v>1504</v>
      </c>
      <c r="G550" s="1"/>
      <c r="H550" s="1"/>
      <c r="I550" s="1">
        <v>27341</v>
      </c>
      <c r="J550" s="1">
        <v>-27341</v>
      </c>
      <c r="K550" s="1">
        <v>153</v>
      </c>
      <c r="L550" s="1">
        <v>1936</v>
      </c>
      <c r="M550" s="1">
        <v>2010</v>
      </c>
      <c r="N550" s="1">
        <v>153</v>
      </c>
      <c r="O550" s="1"/>
      <c r="P550" s="1"/>
      <c r="Q550" s="1"/>
      <c r="R550" s="1">
        <v>1</v>
      </c>
      <c r="S550" s="1"/>
      <c r="T550" s="1"/>
      <c r="U550" s="50"/>
      <c r="V550" s="49"/>
      <c r="W550" s="51" t="s">
        <v>1511</v>
      </c>
    </row>
    <row r="551" spans="1:39" ht="13" x14ac:dyDescent="0.15">
      <c r="A551" s="1" t="s">
        <v>1389</v>
      </c>
      <c r="B551" s="1" t="s">
        <v>1390</v>
      </c>
      <c r="C551" s="1" t="s">
        <v>1391</v>
      </c>
      <c r="D551" s="1" t="s">
        <v>210</v>
      </c>
      <c r="E551" s="1">
        <v>54</v>
      </c>
      <c r="F551" s="1" t="s">
        <v>1504</v>
      </c>
      <c r="G551" s="1"/>
      <c r="H551" s="1"/>
      <c r="I551" s="1">
        <v>19965</v>
      </c>
      <c r="J551" s="1">
        <v>-19965</v>
      </c>
      <c r="K551" s="1">
        <v>727</v>
      </c>
      <c r="L551" s="1">
        <v>1957</v>
      </c>
      <c r="M551" s="1" t="s">
        <v>1512</v>
      </c>
      <c r="N551" s="1">
        <v>7</v>
      </c>
      <c r="O551" s="1"/>
      <c r="P551" s="1"/>
      <c r="Q551" s="1"/>
      <c r="R551" s="1">
        <v>1</v>
      </c>
      <c r="S551" s="1"/>
      <c r="T551" s="1"/>
      <c r="U551" s="50"/>
      <c r="V551" s="49"/>
      <c r="W551" s="51" t="s">
        <v>1511</v>
      </c>
    </row>
    <row r="552" spans="1:39" ht="13" x14ac:dyDescent="0.15">
      <c r="A552" s="1" t="s">
        <v>1392</v>
      </c>
      <c r="B552" s="1" t="s">
        <v>1393</v>
      </c>
      <c r="C552" s="1" t="s">
        <v>1394</v>
      </c>
      <c r="D552" s="1" t="s">
        <v>210</v>
      </c>
      <c r="E552" s="1">
        <v>58</v>
      </c>
      <c r="F552" s="1" t="s">
        <v>1504</v>
      </c>
      <c r="G552" s="1"/>
      <c r="H552" s="1"/>
      <c r="I552" s="1">
        <v>21511</v>
      </c>
      <c r="J552" s="1">
        <v>-21511</v>
      </c>
      <c r="K552" s="1">
        <v>1048</v>
      </c>
      <c r="L552" s="1">
        <v>1953</v>
      </c>
      <c r="M552" s="1" t="s">
        <v>1512</v>
      </c>
      <c r="N552" s="1">
        <v>282</v>
      </c>
      <c r="O552" s="1"/>
      <c r="P552" s="1"/>
      <c r="Q552" s="1"/>
      <c r="R552" s="1">
        <v>0</v>
      </c>
      <c r="S552" s="1"/>
      <c r="T552" s="1"/>
      <c r="U552" s="50"/>
      <c r="V552" s="49"/>
      <c r="W552" s="51" t="s">
        <v>1511</v>
      </c>
    </row>
    <row r="553" spans="1:39" ht="13" x14ac:dyDescent="0.15">
      <c r="A553" s="1" t="s">
        <v>1395</v>
      </c>
      <c r="B553" s="1" t="s">
        <v>1396</v>
      </c>
      <c r="C553" s="1" t="s">
        <v>1397</v>
      </c>
      <c r="D553" s="1" t="s">
        <v>210</v>
      </c>
      <c r="E553" s="1">
        <v>44</v>
      </c>
      <c r="F553" s="1" t="s">
        <v>1507</v>
      </c>
      <c r="G553" s="1"/>
      <c r="H553" s="1"/>
      <c r="I553" s="1">
        <v>16126</v>
      </c>
      <c r="J553" s="1">
        <v>-16126</v>
      </c>
      <c r="K553" s="1">
        <v>567</v>
      </c>
      <c r="L553" s="1">
        <v>1967</v>
      </c>
      <c r="M553" s="1" t="s">
        <v>1512</v>
      </c>
      <c r="N553" s="1">
        <v>235</v>
      </c>
      <c r="O553" s="1"/>
      <c r="P553" s="1"/>
      <c r="Q553" s="1"/>
      <c r="R553" s="1">
        <v>0</v>
      </c>
      <c r="S553" s="1"/>
      <c r="T553" s="1"/>
      <c r="U553" s="50"/>
      <c r="V553" s="49"/>
      <c r="W553" s="51" t="s">
        <v>1511</v>
      </c>
    </row>
    <row r="554" spans="1:39" ht="13" x14ac:dyDescent="0.15">
      <c r="A554" s="43" t="s">
        <v>1494</v>
      </c>
      <c r="B554" s="43" t="s">
        <v>1793</v>
      </c>
      <c r="C554" s="43" t="s">
        <v>1794</v>
      </c>
      <c r="D554" s="43" t="s">
        <v>210</v>
      </c>
      <c r="E554" s="43">
        <v>49</v>
      </c>
      <c r="F554" s="43" t="s">
        <v>1507</v>
      </c>
      <c r="G554" s="43"/>
      <c r="H554" s="43"/>
      <c r="I554" s="43">
        <v>18054</v>
      </c>
      <c r="J554" s="43">
        <v>-18054</v>
      </c>
      <c r="K554" s="43" t="s">
        <v>1512</v>
      </c>
      <c r="L554" s="43">
        <v>1962</v>
      </c>
      <c r="M554" s="43" t="s">
        <v>1512</v>
      </c>
      <c r="N554" s="43">
        <v>1101</v>
      </c>
      <c r="O554" s="43"/>
      <c r="P554" s="43"/>
      <c r="Q554" s="43"/>
      <c r="R554" s="43">
        <v>1</v>
      </c>
      <c r="S554" s="43"/>
      <c r="T554" s="43"/>
      <c r="U554" s="43"/>
      <c r="V554" s="49"/>
      <c r="W554" s="51" t="s">
        <v>1519</v>
      </c>
      <c r="X554" s="53"/>
      <c r="Y554" s="53"/>
      <c r="Z554" s="53"/>
      <c r="AA554" s="53"/>
      <c r="AB554" s="53"/>
      <c r="AC554" s="53"/>
      <c r="AD554" s="53"/>
      <c r="AE554" s="53"/>
      <c r="AF554" s="53"/>
      <c r="AG554" s="53"/>
      <c r="AH554" s="53"/>
      <c r="AI554" s="53"/>
      <c r="AJ554" s="53"/>
      <c r="AK554" s="53"/>
      <c r="AL554" s="53"/>
      <c r="AM554" s="53"/>
    </row>
    <row r="555" spans="1:39" ht="13" x14ac:dyDescent="0.15">
      <c r="A555" s="43"/>
      <c r="B555" s="43" t="s">
        <v>1795</v>
      </c>
      <c r="C555" s="59" t="s">
        <v>1796</v>
      </c>
      <c r="D555" s="43" t="s">
        <v>1797</v>
      </c>
      <c r="E555" s="43"/>
      <c r="F555" s="43" t="s">
        <v>1507</v>
      </c>
      <c r="G555" s="43"/>
      <c r="H555" s="43"/>
      <c r="I555" s="43"/>
      <c r="J555" s="43"/>
      <c r="K555" s="43"/>
      <c r="L555" s="43"/>
      <c r="M555" s="43"/>
      <c r="N555" s="43"/>
      <c r="O555" s="43"/>
      <c r="P555" s="43"/>
      <c r="Q555" s="43"/>
      <c r="R555" s="52">
        <v>1</v>
      </c>
      <c r="S555" s="43"/>
      <c r="T555" s="43" t="s">
        <v>1509</v>
      </c>
      <c r="U555" s="43" t="s">
        <v>1506</v>
      </c>
      <c r="V555" s="49">
        <v>719</v>
      </c>
      <c r="W555" s="49">
        <v>1</v>
      </c>
      <c r="X555" s="53">
        <v>50</v>
      </c>
      <c r="Y555" s="53"/>
      <c r="Z555" s="53"/>
      <c r="AA555" s="53"/>
      <c r="AB555" s="53"/>
      <c r="AC555" s="53"/>
      <c r="AD555" s="53"/>
      <c r="AE555" s="53"/>
      <c r="AF555" s="53"/>
      <c r="AG555" s="53"/>
      <c r="AH555" s="53"/>
      <c r="AI555" s="53"/>
      <c r="AJ555" s="53"/>
      <c r="AK555" s="53"/>
      <c r="AL555" s="53"/>
      <c r="AM555" s="53"/>
    </row>
    <row r="556" spans="1:39" ht="13" x14ac:dyDescent="0.15">
      <c r="A556" s="43"/>
      <c r="B556" s="43" t="s">
        <v>1798</v>
      </c>
      <c r="C556" s="59" t="s">
        <v>1799</v>
      </c>
      <c r="D556" s="43" t="s">
        <v>1797</v>
      </c>
      <c r="E556" s="43"/>
      <c r="F556" s="43" t="s">
        <v>1507</v>
      </c>
      <c r="G556" s="43"/>
      <c r="H556" s="43"/>
      <c r="I556" s="43"/>
      <c r="J556" s="43"/>
      <c r="K556" s="43"/>
      <c r="L556" s="43"/>
      <c r="M556" s="43"/>
      <c r="N556" s="43"/>
      <c r="O556" s="43"/>
      <c r="P556" s="43"/>
      <c r="Q556" s="43"/>
      <c r="R556" s="52">
        <v>1</v>
      </c>
      <c r="S556" s="43"/>
      <c r="T556" s="43" t="s">
        <v>1505</v>
      </c>
      <c r="U556" s="43" t="s">
        <v>1506</v>
      </c>
      <c r="V556" s="49">
        <v>533</v>
      </c>
      <c r="W556" s="49">
        <v>1</v>
      </c>
      <c r="X556" s="53">
        <v>61</v>
      </c>
      <c r="Y556" s="53"/>
      <c r="Z556" s="53"/>
      <c r="AA556" s="53"/>
      <c r="AB556" s="53"/>
      <c r="AC556" s="53"/>
      <c r="AD556" s="53"/>
      <c r="AE556" s="53"/>
      <c r="AF556" s="53"/>
      <c r="AG556" s="53"/>
      <c r="AH556" s="53"/>
      <c r="AI556" s="53"/>
      <c r="AJ556" s="53"/>
      <c r="AK556" s="53"/>
      <c r="AL556" s="53"/>
      <c r="AM556" s="53"/>
    </row>
    <row r="557" spans="1:39" ht="13" x14ac:dyDescent="0.15">
      <c r="A557" s="43"/>
      <c r="B557" s="43" t="s">
        <v>1800</v>
      </c>
      <c r="C557" s="59" t="s">
        <v>1801</v>
      </c>
      <c r="D557" s="43" t="s">
        <v>1797</v>
      </c>
      <c r="E557" s="43"/>
      <c r="F557" s="43" t="s">
        <v>1504</v>
      </c>
      <c r="G557" s="43"/>
      <c r="H557" s="43"/>
      <c r="I557" s="43"/>
      <c r="J557" s="43"/>
      <c r="K557" s="43"/>
      <c r="L557" s="43"/>
      <c r="M557" s="43"/>
      <c r="N557" s="43"/>
      <c r="O557" s="43"/>
      <c r="P557" s="43"/>
      <c r="Q557" s="43"/>
      <c r="R557" s="52">
        <v>1</v>
      </c>
      <c r="S557" s="43"/>
      <c r="T557" s="43" t="s">
        <v>1505</v>
      </c>
      <c r="U557" s="43" t="s">
        <v>1506</v>
      </c>
      <c r="V557" s="49">
        <v>152</v>
      </c>
      <c r="W557" s="49">
        <v>1</v>
      </c>
      <c r="X557" s="53">
        <v>78</v>
      </c>
      <c r="Y557" s="53"/>
      <c r="Z557" s="53"/>
      <c r="AA557" s="53"/>
      <c r="AB557" s="53"/>
      <c r="AC557" s="53"/>
      <c r="AD557" s="53"/>
      <c r="AE557" s="53"/>
      <c r="AF557" s="53"/>
      <c r="AG557" s="53"/>
      <c r="AH557" s="53"/>
      <c r="AI557" s="53"/>
      <c r="AJ557" s="53"/>
      <c r="AK557" s="53"/>
      <c r="AL557" s="53"/>
      <c r="AM557" s="53"/>
    </row>
    <row r="558" spans="1:39" ht="13" x14ac:dyDescent="0.15">
      <c r="A558" s="43"/>
      <c r="B558" s="43" t="s">
        <v>1802</v>
      </c>
      <c r="C558" s="59" t="s">
        <v>1803</v>
      </c>
      <c r="D558" s="43" t="s">
        <v>1797</v>
      </c>
      <c r="E558" s="43"/>
      <c r="F558" s="43" t="s">
        <v>1504</v>
      </c>
      <c r="G558" s="43"/>
      <c r="H558" s="43"/>
      <c r="I558" s="43"/>
      <c r="J558" s="43"/>
      <c r="K558" s="43"/>
      <c r="L558" s="43"/>
      <c r="M558" s="43"/>
      <c r="N558" s="43"/>
      <c r="O558" s="43"/>
      <c r="P558" s="43"/>
      <c r="Q558" s="43"/>
      <c r="R558" s="52">
        <v>0</v>
      </c>
      <c r="S558" s="43"/>
      <c r="T558" s="43" t="s">
        <v>1505</v>
      </c>
      <c r="U558" s="43" t="s">
        <v>1506</v>
      </c>
      <c r="V558" s="49">
        <v>128</v>
      </c>
      <c r="W558" s="49">
        <v>0</v>
      </c>
      <c r="X558" s="53">
        <v>69</v>
      </c>
      <c r="Y558" s="53"/>
      <c r="Z558" s="53"/>
      <c r="AA558" s="53"/>
      <c r="AB558" s="53"/>
      <c r="AC558" s="53"/>
      <c r="AD558" s="53"/>
      <c r="AE558" s="53"/>
      <c r="AF558" s="53"/>
      <c r="AG558" s="53"/>
      <c r="AH558" s="53"/>
      <c r="AI558" s="53"/>
      <c r="AJ558" s="53"/>
      <c r="AK558" s="53"/>
      <c r="AL558" s="53"/>
      <c r="AM558" s="53"/>
    </row>
    <row r="559" spans="1:39" ht="13" x14ac:dyDescent="0.15">
      <c r="A559" s="43"/>
      <c r="B559" s="43" t="s">
        <v>1804</v>
      </c>
      <c r="C559" s="59" t="s">
        <v>1805</v>
      </c>
      <c r="D559" s="43" t="s">
        <v>1797</v>
      </c>
      <c r="E559" s="43"/>
      <c r="F559" s="43" t="s">
        <v>1504</v>
      </c>
      <c r="G559" s="43"/>
      <c r="H559" s="43"/>
      <c r="I559" s="43"/>
      <c r="J559" s="43"/>
      <c r="K559" s="43"/>
      <c r="L559" s="43"/>
      <c r="M559" s="43"/>
      <c r="N559" s="43"/>
      <c r="O559" s="43"/>
      <c r="P559" s="43"/>
      <c r="Q559" s="43"/>
      <c r="R559" s="52">
        <v>0</v>
      </c>
      <c r="S559" s="43"/>
      <c r="T559" s="43" t="s">
        <v>1510</v>
      </c>
      <c r="U559" s="43" t="s">
        <v>1506</v>
      </c>
      <c r="V559" s="49">
        <v>336</v>
      </c>
      <c r="W559" s="49">
        <v>1</v>
      </c>
      <c r="X559" s="53">
        <v>54</v>
      </c>
      <c r="Y559" s="53"/>
      <c r="Z559" s="53"/>
      <c r="AA559" s="53"/>
      <c r="AB559" s="53"/>
      <c r="AC559" s="53"/>
      <c r="AD559" s="53"/>
      <c r="AE559" s="53"/>
      <c r="AF559" s="53"/>
      <c r="AG559" s="53"/>
      <c r="AH559" s="53"/>
      <c r="AI559" s="53"/>
      <c r="AJ559" s="53"/>
      <c r="AK559" s="53"/>
      <c r="AL559" s="53"/>
      <c r="AM559" s="53"/>
    </row>
    <row r="560" spans="1:39" ht="13" x14ac:dyDescent="0.15">
      <c r="A560" s="43"/>
      <c r="B560" s="43" t="s">
        <v>1806</v>
      </c>
      <c r="C560" s="59" t="s">
        <v>1807</v>
      </c>
      <c r="D560" s="43" t="s">
        <v>1797</v>
      </c>
      <c r="E560" s="43"/>
      <c r="F560" s="43" t="s">
        <v>1504</v>
      </c>
      <c r="G560" s="43"/>
      <c r="H560" s="43"/>
      <c r="I560" s="43"/>
      <c r="J560" s="43"/>
      <c r="K560" s="43"/>
      <c r="L560" s="43"/>
      <c r="M560" s="43"/>
      <c r="N560" s="43"/>
      <c r="O560" s="43"/>
      <c r="P560" s="43"/>
      <c r="Q560" s="43"/>
      <c r="R560" s="52">
        <v>1</v>
      </c>
      <c r="S560" s="43"/>
      <c r="T560" s="43" t="s">
        <v>1510</v>
      </c>
      <c r="U560" s="43" t="s">
        <v>1506</v>
      </c>
      <c r="V560" s="49">
        <v>245</v>
      </c>
      <c r="W560" s="49">
        <v>1</v>
      </c>
      <c r="X560" s="53">
        <v>55</v>
      </c>
      <c r="Y560" s="53"/>
      <c r="Z560" s="53"/>
      <c r="AA560" s="53"/>
      <c r="AB560" s="53"/>
      <c r="AC560" s="53"/>
      <c r="AD560" s="53"/>
      <c r="AE560" s="53"/>
      <c r="AF560" s="53"/>
      <c r="AG560" s="53"/>
      <c r="AH560" s="53"/>
      <c r="AI560" s="53"/>
      <c r="AJ560" s="53"/>
      <c r="AK560" s="53"/>
      <c r="AL560" s="53"/>
      <c r="AM560" s="53"/>
    </row>
    <row r="561" spans="1:39" ht="13" x14ac:dyDescent="0.15">
      <c r="A561" s="43"/>
      <c r="B561" s="43" t="s">
        <v>1808</v>
      </c>
      <c r="C561" s="59" t="s">
        <v>1809</v>
      </c>
      <c r="D561" s="43" t="s">
        <v>1797</v>
      </c>
      <c r="E561" s="43"/>
      <c r="F561" s="43" t="s">
        <v>1507</v>
      </c>
      <c r="G561" s="43"/>
      <c r="H561" s="43"/>
      <c r="I561" s="43"/>
      <c r="J561" s="43"/>
      <c r="K561" s="43"/>
      <c r="L561" s="43"/>
      <c r="M561" s="43"/>
      <c r="N561" s="43"/>
      <c r="O561" s="43"/>
      <c r="P561" s="43"/>
      <c r="Q561" s="43"/>
      <c r="R561" s="52">
        <v>1</v>
      </c>
      <c r="S561" s="43"/>
      <c r="T561" s="43" t="s">
        <v>1505</v>
      </c>
      <c r="U561" s="43" t="s">
        <v>1508</v>
      </c>
      <c r="V561" s="49">
        <v>1617</v>
      </c>
      <c r="W561" s="49">
        <v>0</v>
      </c>
      <c r="X561" s="53">
        <v>54</v>
      </c>
      <c r="Y561" s="53"/>
      <c r="Z561" s="53"/>
      <c r="AA561" s="53"/>
      <c r="AB561" s="53"/>
      <c r="AC561" s="53"/>
      <c r="AD561" s="53"/>
      <c r="AE561" s="53"/>
      <c r="AF561" s="53"/>
      <c r="AG561" s="53"/>
      <c r="AH561" s="53"/>
      <c r="AI561" s="53"/>
      <c r="AJ561" s="53"/>
      <c r="AK561" s="53"/>
      <c r="AL561" s="53"/>
      <c r="AM561" s="53"/>
    </row>
    <row r="562" spans="1:39" ht="13" x14ac:dyDescent="0.15">
      <c r="A562" s="43"/>
      <c r="B562" s="43" t="s">
        <v>1810</v>
      </c>
      <c r="C562" s="59" t="s">
        <v>1811</v>
      </c>
      <c r="D562" s="43" t="s">
        <v>1797</v>
      </c>
      <c r="E562" s="43"/>
      <c r="F562" s="43" t="s">
        <v>1504</v>
      </c>
      <c r="G562" s="43"/>
      <c r="H562" s="43"/>
      <c r="I562" s="43"/>
      <c r="J562" s="43"/>
      <c r="K562" s="43"/>
      <c r="L562" s="43"/>
      <c r="M562" s="43"/>
      <c r="N562" s="43"/>
      <c r="O562" s="43"/>
      <c r="P562" s="43"/>
      <c r="Q562" s="43"/>
      <c r="R562" s="52">
        <v>1</v>
      </c>
      <c r="S562" s="43"/>
      <c r="T562" s="43" t="s">
        <v>1505</v>
      </c>
      <c r="U562" s="43" t="s">
        <v>1506</v>
      </c>
      <c r="V562" s="49">
        <v>161</v>
      </c>
      <c r="W562" s="49">
        <v>0</v>
      </c>
      <c r="X562" s="53">
        <v>61</v>
      </c>
      <c r="Y562" s="53"/>
      <c r="Z562" s="53"/>
      <c r="AA562" s="53"/>
      <c r="AB562" s="53"/>
      <c r="AC562" s="53"/>
      <c r="AD562" s="53"/>
      <c r="AE562" s="53"/>
      <c r="AF562" s="53"/>
      <c r="AG562" s="53"/>
      <c r="AH562" s="53"/>
      <c r="AI562" s="53"/>
      <c r="AJ562" s="53"/>
      <c r="AK562" s="53"/>
      <c r="AL562" s="53"/>
      <c r="AM562" s="53"/>
    </row>
    <row r="563" spans="1:39" ht="13" x14ac:dyDescent="0.15">
      <c r="A563" s="43"/>
      <c r="B563" s="43" t="s">
        <v>1812</v>
      </c>
      <c r="C563" s="59" t="s">
        <v>1813</v>
      </c>
      <c r="D563" s="43" t="s">
        <v>1797</v>
      </c>
      <c r="E563" s="43"/>
      <c r="F563" s="43" t="s">
        <v>1504</v>
      </c>
      <c r="G563" s="43"/>
      <c r="H563" s="43"/>
      <c r="I563" s="43"/>
      <c r="J563" s="43"/>
      <c r="K563" s="43"/>
      <c r="L563" s="43"/>
      <c r="M563" s="43"/>
      <c r="N563" s="43"/>
      <c r="O563" s="43"/>
      <c r="P563" s="43"/>
      <c r="Q563" s="43"/>
      <c r="R563" s="52">
        <v>0</v>
      </c>
      <c r="S563" s="43"/>
      <c r="T563" s="43" t="s">
        <v>1505</v>
      </c>
      <c r="U563" s="43" t="s">
        <v>1506</v>
      </c>
      <c r="V563" s="49">
        <v>591</v>
      </c>
      <c r="W563" s="49">
        <v>1</v>
      </c>
      <c r="X563" s="53">
        <v>46</v>
      </c>
      <c r="Y563" s="53"/>
      <c r="Z563" s="53"/>
      <c r="AA563" s="53"/>
      <c r="AB563" s="53"/>
      <c r="AC563" s="53"/>
      <c r="AD563" s="53"/>
      <c r="AE563" s="53"/>
      <c r="AF563" s="53"/>
      <c r="AG563" s="53"/>
      <c r="AH563" s="53"/>
      <c r="AI563" s="53"/>
      <c r="AJ563" s="53"/>
      <c r="AK563" s="53"/>
      <c r="AL563" s="53"/>
      <c r="AM563" s="53"/>
    </row>
    <row r="564" spans="1:39" ht="13" x14ac:dyDescent="0.15">
      <c r="A564" s="43"/>
      <c r="B564" s="43" t="s">
        <v>1814</v>
      </c>
      <c r="C564" s="59" t="s">
        <v>1815</v>
      </c>
      <c r="D564" s="43" t="s">
        <v>1797</v>
      </c>
      <c r="E564" s="43"/>
      <c r="F564" s="43" t="s">
        <v>1504</v>
      </c>
      <c r="G564" s="43"/>
      <c r="H564" s="43"/>
      <c r="I564" s="43"/>
      <c r="J564" s="43"/>
      <c r="K564" s="43"/>
      <c r="L564" s="43"/>
      <c r="M564" s="43"/>
      <c r="N564" s="43"/>
      <c r="O564" s="43"/>
      <c r="P564" s="43"/>
      <c r="Q564" s="43"/>
      <c r="R564" s="52">
        <v>0</v>
      </c>
      <c r="S564" s="43"/>
      <c r="T564" s="43" t="s">
        <v>1509</v>
      </c>
      <c r="U564" s="43" t="s">
        <v>1506</v>
      </c>
      <c r="V564" s="49">
        <v>430</v>
      </c>
      <c r="W564" s="49">
        <v>1</v>
      </c>
      <c r="X564" s="53">
        <v>58</v>
      </c>
      <c r="Y564" s="53"/>
      <c r="Z564" s="53"/>
      <c r="AA564" s="53"/>
      <c r="AB564" s="53"/>
      <c r="AC564" s="53"/>
      <c r="AD564" s="53"/>
      <c r="AE564" s="53"/>
      <c r="AF564" s="53"/>
      <c r="AG564" s="53"/>
      <c r="AH564" s="53"/>
      <c r="AI564" s="53"/>
      <c r="AJ564" s="53"/>
      <c r="AK564" s="53"/>
      <c r="AL564" s="53"/>
      <c r="AM564" s="53"/>
    </row>
    <row r="565" spans="1:39" ht="13" x14ac:dyDescent="0.15">
      <c r="A565" s="43"/>
      <c r="B565" s="43" t="s">
        <v>1816</v>
      </c>
      <c r="C565" s="59" t="s">
        <v>1817</v>
      </c>
      <c r="D565" s="43" t="s">
        <v>1797</v>
      </c>
      <c r="E565" s="43"/>
      <c r="F565" s="43" t="s">
        <v>1504</v>
      </c>
      <c r="G565" s="43"/>
      <c r="H565" s="43"/>
      <c r="I565" s="43"/>
      <c r="J565" s="43"/>
      <c r="K565" s="43"/>
      <c r="L565" s="43"/>
      <c r="M565" s="43"/>
      <c r="N565" s="43"/>
      <c r="O565" s="43"/>
      <c r="P565" s="43"/>
      <c r="Q565" s="43"/>
      <c r="R565" s="52">
        <v>1</v>
      </c>
      <c r="S565" s="43"/>
      <c r="T565" s="43" t="s">
        <v>1509</v>
      </c>
      <c r="U565" s="43" t="s">
        <v>1506</v>
      </c>
      <c r="V565" s="49">
        <v>1024</v>
      </c>
      <c r="W565" s="49">
        <v>1</v>
      </c>
      <c r="X565" s="53">
        <v>64</v>
      </c>
      <c r="Y565" s="53"/>
      <c r="Z565" s="53"/>
      <c r="AA565" s="53"/>
      <c r="AB565" s="53"/>
      <c r="AC565" s="53"/>
      <c r="AD565" s="53"/>
      <c r="AE565" s="53"/>
      <c r="AF565" s="53"/>
      <c r="AG565" s="53"/>
      <c r="AH565" s="53"/>
      <c r="AI565" s="53"/>
      <c r="AJ565" s="53"/>
      <c r="AK565" s="53"/>
      <c r="AL565" s="53"/>
      <c r="AM565" s="53"/>
    </row>
    <row r="566" spans="1:39" ht="13" x14ac:dyDescent="0.15">
      <c r="A566" s="43"/>
      <c r="B566" s="43" t="s">
        <v>1818</v>
      </c>
      <c r="C566" s="59" t="s">
        <v>1819</v>
      </c>
      <c r="D566" s="43" t="s">
        <v>1797</v>
      </c>
      <c r="E566" s="43"/>
      <c r="F566" s="43" t="s">
        <v>1504</v>
      </c>
      <c r="G566" s="43"/>
      <c r="H566" s="43"/>
      <c r="I566" s="43"/>
      <c r="J566" s="43"/>
      <c r="K566" s="43"/>
      <c r="L566" s="43"/>
      <c r="M566" s="43"/>
      <c r="N566" s="43"/>
      <c r="O566" s="43"/>
      <c r="P566" s="43"/>
      <c r="Q566" s="43"/>
      <c r="R566" s="52">
        <v>0</v>
      </c>
      <c r="S566" s="43"/>
      <c r="T566" s="43" t="s">
        <v>1509</v>
      </c>
      <c r="U566" s="43" t="s">
        <v>1506</v>
      </c>
      <c r="V566" s="49">
        <v>430</v>
      </c>
      <c r="W566" s="49">
        <v>1</v>
      </c>
      <c r="X566" s="53">
        <v>61</v>
      </c>
      <c r="Y566" s="53"/>
      <c r="Z566" s="53"/>
      <c r="AA566" s="53"/>
      <c r="AB566" s="53"/>
      <c r="AC566" s="53"/>
      <c r="AD566" s="53"/>
      <c r="AE566" s="53"/>
      <c r="AF566" s="53"/>
      <c r="AG566" s="53"/>
      <c r="AH566" s="53"/>
      <c r="AI566" s="53"/>
      <c r="AJ566" s="53"/>
      <c r="AK566" s="53"/>
      <c r="AL566" s="53"/>
      <c r="AM566" s="53"/>
    </row>
    <row r="567" spans="1:39" ht="13" x14ac:dyDescent="0.15">
      <c r="A567" s="43"/>
      <c r="B567" s="43" t="s">
        <v>1820</v>
      </c>
      <c r="C567" s="59" t="s">
        <v>1821</v>
      </c>
      <c r="D567" s="43" t="s">
        <v>1797</v>
      </c>
      <c r="E567" s="43"/>
      <c r="F567" s="43" t="s">
        <v>1504</v>
      </c>
      <c r="G567" s="43"/>
      <c r="H567" s="43"/>
      <c r="I567" s="43"/>
      <c r="J567" s="43"/>
      <c r="K567" s="43"/>
      <c r="L567" s="43"/>
      <c r="M567" s="43"/>
      <c r="N567" s="43"/>
      <c r="O567" s="43"/>
      <c r="P567" s="43"/>
      <c r="Q567" s="43"/>
      <c r="R567" s="52">
        <v>0</v>
      </c>
      <c r="S567" s="43"/>
      <c r="T567" s="43" t="s">
        <v>1509</v>
      </c>
      <c r="U567" s="43" t="s">
        <v>1506</v>
      </c>
      <c r="V567" s="49">
        <v>310</v>
      </c>
      <c r="W567" s="49">
        <v>1</v>
      </c>
      <c r="X567" s="53">
        <v>57</v>
      </c>
      <c r="Y567" s="53"/>
      <c r="Z567" s="53"/>
      <c r="AA567" s="53"/>
      <c r="AB567" s="53"/>
      <c r="AC567" s="53"/>
      <c r="AD567" s="53"/>
      <c r="AE567" s="53"/>
      <c r="AF567" s="53"/>
      <c r="AG567" s="53"/>
      <c r="AH567" s="53"/>
      <c r="AI567" s="53"/>
      <c r="AJ567" s="53"/>
      <c r="AK567" s="53"/>
      <c r="AL567" s="53"/>
      <c r="AM567" s="53"/>
    </row>
    <row r="568" spans="1:39" ht="13" x14ac:dyDescent="0.15">
      <c r="A568" s="43"/>
      <c r="B568" s="43" t="s">
        <v>1822</v>
      </c>
      <c r="C568" s="59" t="s">
        <v>1823</v>
      </c>
      <c r="D568" s="43" t="s">
        <v>1797</v>
      </c>
      <c r="E568" s="43"/>
      <c r="F568" s="43" t="s">
        <v>1507</v>
      </c>
      <c r="G568" s="43"/>
      <c r="H568" s="43"/>
      <c r="I568" s="43"/>
      <c r="J568" s="43"/>
      <c r="K568" s="43"/>
      <c r="L568" s="43"/>
      <c r="M568" s="43"/>
      <c r="N568" s="43"/>
      <c r="O568" s="43"/>
      <c r="P568" s="43"/>
      <c r="Q568" s="43"/>
      <c r="R568" s="52">
        <v>1</v>
      </c>
      <c r="S568" s="43"/>
      <c r="T568" s="43" t="s">
        <v>1505</v>
      </c>
      <c r="U568" s="43" t="s">
        <v>1506</v>
      </c>
      <c r="V568" s="49">
        <v>628</v>
      </c>
      <c r="W568" s="49">
        <v>1</v>
      </c>
      <c r="X568" s="53">
        <v>67</v>
      </c>
      <c r="Y568" s="53"/>
      <c r="Z568" s="53"/>
      <c r="AA568" s="53"/>
      <c r="AB568" s="53"/>
      <c r="AC568" s="53"/>
      <c r="AD568" s="53"/>
      <c r="AE568" s="53"/>
      <c r="AF568" s="53"/>
      <c r="AG568" s="53"/>
      <c r="AH568" s="53"/>
      <c r="AI568" s="53"/>
      <c r="AJ568" s="53"/>
      <c r="AK568" s="53"/>
      <c r="AL568" s="53"/>
      <c r="AM568" s="53"/>
    </row>
    <row r="569" spans="1:39" ht="13" x14ac:dyDescent="0.15">
      <c r="A569" s="43"/>
      <c r="B569" s="43" t="s">
        <v>1824</v>
      </c>
      <c r="C569" s="59" t="s">
        <v>1825</v>
      </c>
      <c r="D569" s="43" t="s">
        <v>1797</v>
      </c>
      <c r="E569" s="43"/>
      <c r="F569" s="43" t="s">
        <v>1507</v>
      </c>
      <c r="G569" s="43"/>
      <c r="H569" s="43"/>
      <c r="I569" s="43"/>
      <c r="J569" s="43"/>
      <c r="K569" s="43"/>
      <c r="L569" s="43"/>
      <c r="M569" s="43"/>
      <c r="N569" s="43"/>
      <c r="O569" s="43"/>
      <c r="P569" s="43"/>
      <c r="Q569" s="43"/>
      <c r="R569" s="52">
        <v>1</v>
      </c>
      <c r="S569" s="43"/>
      <c r="T569" s="43" t="s">
        <v>1509</v>
      </c>
      <c r="U569" s="43" t="s">
        <v>1506</v>
      </c>
      <c r="V569" s="49">
        <v>302</v>
      </c>
      <c r="W569" s="49">
        <v>1</v>
      </c>
      <c r="X569" s="53">
        <v>74</v>
      </c>
      <c r="Y569" s="53"/>
      <c r="Z569" s="53"/>
      <c r="AA569" s="53"/>
      <c r="AB569" s="53"/>
      <c r="AC569" s="53"/>
      <c r="AD569" s="53"/>
      <c r="AE569" s="53"/>
      <c r="AF569" s="53"/>
      <c r="AG569" s="53"/>
      <c r="AH569" s="53"/>
      <c r="AI569" s="53"/>
      <c r="AJ569" s="53"/>
      <c r="AK569" s="53"/>
      <c r="AL569" s="53"/>
      <c r="AM569" s="53"/>
    </row>
    <row r="570" spans="1:39" ht="13" x14ac:dyDescent="0.15">
      <c r="A570" s="43"/>
      <c r="B570" s="43" t="s">
        <v>1826</v>
      </c>
      <c r="C570" s="59" t="s">
        <v>1827</v>
      </c>
      <c r="D570" s="43" t="s">
        <v>1797</v>
      </c>
      <c r="E570" s="43"/>
      <c r="F570" s="43" t="s">
        <v>1507</v>
      </c>
      <c r="G570" s="43"/>
      <c r="H570" s="43"/>
      <c r="I570" s="43"/>
      <c r="J570" s="43"/>
      <c r="K570" s="43"/>
      <c r="L570" s="43"/>
      <c r="M570" s="43"/>
      <c r="N570" s="43"/>
      <c r="O570" s="43"/>
      <c r="P570" s="43"/>
      <c r="Q570" s="43"/>
      <c r="R570" s="52">
        <v>0</v>
      </c>
      <c r="S570" s="43"/>
      <c r="T570" s="43" t="s">
        <v>1509</v>
      </c>
      <c r="U570" s="43" t="s">
        <v>1506</v>
      </c>
      <c r="V570" s="49">
        <v>428</v>
      </c>
      <c r="W570" s="49">
        <v>0</v>
      </c>
      <c r="X570" s="53">
        <v>68</v>
      </c>
      <c r="Y570" s="53"/>
      <c r="Z570" s="53"/>
      <c r="AA570" s="53"/>
      <c r="AB570" s="53"/>
      <c r="AC570" s="53"/>
      <c r="AD570" s="53"/>
      <c r="AE570" s="53"/>
      <c r="AF570" s="53"/>
      <c r="AG570" s="53"/>
      <c r="AH570" s="53"/>
      <c r="AI570" s="53"/>
      <c r="AJ570" s="53"/>
      <c r="AK570" s="53"/>
      <c r="AL570" s="53"/>
      <c r="AM570" s="53"/>
    </row>
    <row r="571" spans="1:39" ht="13" x14ac:dyDescent="0.15">
      <c r="A571" s="43"/>
      <c r="B571" s="43" t="s">
        <v>1828</v>
      </c>
      <c r="C571" s="59" t="s">
        <v>1829</v>
      </c>
      <c r="D571" s="43" t="s">
        <v>1797</v>
      </c>
      <c r="E571" s="43"/>
      <c r="F571" s="43" t="s">
        <v>1507</v>
      </c>
      <c r="G571" s="43"/>
      <c r="H571" s="43"/>
      <c r="I571" s="43"/>
      <c r="J571" s="43"/>
      <c r="K571" s="43"/>
      <c r="L571" s="43"/>
      <c r="M571" s="43"/>
      <c r="N571" s="43"/>
      <c r="O571" s="43"/>
      <c r="P571" s="43"/>
      <c r="Q571" s="43"/>
      <c r="R571" s="52">
        <v>1</v>
      </c>
      <c r="S571" s="43"/>
      <c r="T571" s="43" t="s">
        <v>1509</v>
      </c>
      <c r="U571" s="43" t="s">
        <v>1684</v>
      </c>
      <c r="V571" s="49">
        <v>60</v>
      </c>
      <c r="W571" s="49">
        <v>1</v>
      </c>
      <c r="X571" s="53">
        <v>67</v>
      </c>
      <c r="Y571" s="53"/>
      <c r="Z571" s="53"/>
      <c r="AA571" s="53"/>
      <c r="AB571" s="53"/>
      <c r="AC571" s="53"/>
      <c r="AD571" s="53"/>
      <c r="AE571" s="53"/>
      <c r="AF571" s="53"/>
      <c r="AG571" s="53"/>
      <c r="AH571" s="53"/>
      <c r="AI571" s="53"/>
      <c r="AJ571" s="53"/>
      <c r="AK571" s="53"/>
      <c r="AL571" s="53"/>
      <c r="AM571" s="53"/>
    </row>
    <row r="572" spans="1:39" ht="13" x14ac:dyDescent="0.15">
      <c r="A572" s="43"/>
      <c r="B572" s="43" t="s">
        <v>1830</v>
      </c>
      <c r="C572" s="59" t="s">
        <v>1831</v>
      </c>
      <c r="D572" s="43" t="s">
        <v>1797</v>
      </c>
      <c r="E572" s="43"/>
      <c r="F572" s="43" t="s">
        <v>1504</v>
      </c>
      <c r="G572" s="43"/>
      <c r="H572" s="43"/>
      <c r="I572" s="43"/>
      <c r="J572" s="43"/>
      <c r="K572" s="43"/>
      <c r="L572" s="43"/>
      <c r="M572" s="43"/>
      <c r="N572" s="43"/>
      <c r="O572" s="43"/>
      <c r="P572" s="43"/>
      <c r="Q572" s="43"/>
      <c r="R572" s="52">
        <v>1</v>
      </c>
      <c r="S572" s="43"/>
      <c r="T572" s="43" t="s">
        <v>1505</v>
      </c>
      <c r="U572" s="43" t="s">
        <v>1684</v>
      </c>
      <c r="V572" s="49">
        <v>125</v>
      </c>
      <c r="W572" s="49">
        <v>0</v>
      </c>
      <c r="X572" s="53">
        <v>35</v>
      </c>
      <c r="Y572" s="53"/>
      <c r="Z572" s="53"/>
      <c r="AA572" s="53"/>
      <c r="AB572" s="53"/>
      <c r="AC572" s="53"/>
      <c r="AD572" s="53"/>
      <c r="AE572" s="53"/>
      <c r="AF572" s="53"/>
      <c r="AG572" s="53"/>
      <c r="AH572" s="53"/>
      <c r="AI572" s="53"/>
      <c r="AJ572" s="53"/>
      <c r="AK572" s="53"/>
      <c r="AL572" s="53"/>
      <c r="AM572" s="53"/>
    </row>
    <row r="573" spans="1:39" ht="13" x14ac:dyDescent="0.15">
      <c r="A573" s="43"/>
      <c r="B573" s="43" t="s">
        <v>1832</v>
      </c>
      <c r="C573" s="59" t="s">
        <v>1833</v>
      </c>
      <c r="D573" s="43" t="s">
        <v>1797</v>
      </c>
      <c r="E573" s="43"/>
      <c r="F573" s="43" t="s">
        <v>1507</v>
      </c>
      <c r="G573" s="43"/>
      <c r="H573" s="43"/>
      <c r="I573" s="43"/>
      <c r="J573" s="43"/>
      <c r="K573" s="43"/>
      <c r="L573" s="43"/>
      <c r="M573" s="43"/>
      <c r="N573" s="43"/>
      <c r="O573" s="43"/>
      <c r="P573" s="43"/>
      <c r="Q573" s="43"/>
      <c r="R573" s="52">
        <v>0</v>
      </c>
      <c r="S573" s="43"/>
      <c r="T573" s="43" t="s">
        <v>1509</v>
      </c>
      <c r="U573" s="43" t="s">
        <v>1506</v>
      </c>
      <c r="V573" s="49">
        <v>281</v>
      </c>
      <c r="W573" s="49">
        <v>1</v>
      </c>
      <c r="X573" s="53">
        <v>57</v>
      </c>
      <c r="Y573" s="53"/>
      <c r="Z573" s="53"/>
      <c r="AA573" s="53"/>
      <c r="AB573" s="53"/>
      <c r="AC573" s="53"/>
      <c r="AD573" s="53"/>
      <c r="AE573" s="53"/>
      <c r="AF573" s="53"/>
      <c r="AG573" s="53"/>
      <c r="AH573" s="53"/>
      <c r="AI573" s="53"/>
      <c r="AJ573" s="53"/>
      <c r="AK573" s="53"/>
      <c r="AL573" s="53"/>
      <c r="AM573" s="53"/>
    </row>
    <row r="574" spans="1:39" ht="13" x14ac:dyDescent="0.15">
      <c r="A574" s="43"/>
      <c r="B574" s="43" t="s">
        <v>1834</v>
      </c>
      <c r="C574" s="59" t="s">
        <v>1835</v>
      </c>
      <c r="D574" s="43" t="s">
        <v>1797</v>
      </c>
      <c r="E574" s="43"/>
      <c r="F574" s="43" t="s">
        <v>1507</v>
      </c>
      <c r="G574" s="43"/>
      <c r="H574" s="43"/>
      <c r="I574" s="43"/>
      <c r="J574" s="43"/>
      <c r="K574" s="43"/>
      <c r="L574" s="43"/>
      <c r="M574" s="43"/>
      <c r="N574" s="43"/>
      <c r="O574" s="43"/>
      <c r="P574" s="43"/>
      <c r="Q574" s="43"/>
      <c r="R574" s="52">
        <v>1</v>
      </c>
      <c r="S574" s="43"/>
      <c r="T574" s="43" t="s">
        <v>1509</v>
      </c>
      <c r="U574" s="43" t="s">
        <v>1506</v>
      </c>
      <c r="V574" s="49">
        <v>603</v>
      </c>
      <c r="W574" s="49">
        <v>1</v>
      </c>
      <c r="X574" s="53">
        <v>67</v>
      </c>
      <c r="Y574" s="53"/>
      <c r="Z574" s="53"/>
      <c r="AA574" s="53"/>
      <c r="AB574" s="53"/>
      <c r="AC574" s="53"/>
      <c r="AD574" s="53"/>
      <c r="AE574" s="53"/>
      <c r="AF574" s="53"/>
      <c r="AG574" s="53"/>
      <c r="AH574" s="53"/>
      <c r="AI574" s="53"/>
      <c r="AJ574" s="53"/>
      <c r="AK574" s="53"/>
      <c r="AL574" s="53"/>
      <c r="AM574" s="53"/>
    </row>
    <row r="575" spans="1:39" ht="13" x14ac:dyDescent="0.15">
      <c r="A575" s="43"/>
      <c r="B575" s="43" t="s">
        <v>1836</v>
      </c>
      <c r="C575" s="59" t="s">
        <v>1837</v>
      </c>
      <c r="D575" s="43" t="s">
        <v>1797</v>
      </c>
      <c r="E575" s="43"/>
      <c r="F575" s="43" t="s">
        <v>1504</v>
      </c>
      <c r="G575" s="43"/>
      <c r="H575" s="43"/>
      <c r="I575" s="43"/>
      <c r="J575" s="43"/>
      <c r="K575" s="43"/>
      <c r="L575" s="43"/>
      <c r="M575" s="43"/>
      <c r="N575" s="43"/>
      <c r="O575" s="43"/>
      <c r="P575" s="43"/>
      <c r="Q575" s="43"/>
      <c r="R575" s="52">
        <v>0</v>
      </c>
      <c r="S575" s="43"/>
      <c r="T575" s="43" t="s">
        <v>1505</v>
      </c>
      <c r="U575" s="43" t="s">
        <v>1506</v>
      </c>
      <c r="V575" s="49">
        <v>439</v>
      </c>
      <c r="W575" s="49">
        <v>0</v>
      </c>
      <c r="X575" s="53">
        <v>51</v>
      </c>
      <c r="Y575" s="53"/>
      <c r="Z575" s="53"/>
      <c r="AA575" s="53"/>
      <c r="AB575" s="53"/>
      <c r="AC575" s="53"/>
      <c r="AD575" s="53"/>
      <c r="AE575" s="53"/>
      <c r="AF575" s="53"/>
      <c r="AG575" s="53"/>
      <c r="AH575" s="53"/>
      <c r="AI575" s="53"/>
      <c r="AJ575" s="53"/>
      <c r="AK575" s="53"/>
      <c r="AL575" s="53"/>
      <c r="AM575" s="53"/>
    </row>
    <row r="576" spans="1:39" ht="13" x14ac:dyDescent="0.15">
      <c r="A576" s="43"/>
      <c r="B576" s="43" t="s">
        <v>1838</v>
      </c>
      <c r="C576" s="59" t="s">
        <v>1839</v>
      </c>
      <c r="D576" s="43" t="s">
        <v>1797</v>
      </c>
      <c r="E576" s="43"/>
      <c r="F576" s="43" t="s">
        <v>1504</v>
      </c>
      <c r="G576" s="43"/>
      <c r="H576" s="43"/>
      <c r="I576" s="43"/>
      <c r="J576" s="43"/>
      <c r="K576" s="43"/>
      <c r="L576" s="43"/>
      <c r="M576" s="43"/>
      <c r="N576" s="43"/>
      <c r="O576" s="43"/>
      <c r="P576" s="43"/>
      <c r="Q576" s="43"/>
      <c r="R576" s="52">
        <v>1</v>
      </c>
      <c r="S576" s="43"/>
      <c r="T576" s="43" t="s">
        <v>1509</v>
      </c>
      <c r="U576" s="43" t="s">
        <v>1506</v>
      </c>
      <c r="V576" s="49">
        <v>108</v>
      </c>
      <c r="W576" s="49">
        <v>1</v>
      </c>
      <c r="X576" s="53">
        <v>61</v>
      </c>
      <c r="Y576" s="53"/>
      <c r="Z576" s="53"/>
      <c r="AA576" s="53"/>
      <c r="AB576" s="53"/>
      <c r="AC576" s="53"/>
      <c r="AD576" s="53"/>
      <c r="AE576" s="53"/>
      <c r="AF576" s="53"/>
      <c r="AG576" s="53"/>
      <c r="AH576" s="53"/>
      <c r="AI576" s="53"/>
      <c r="AJ576" s="53"/>
      <c r="AK576" s="53"/>
      <c r="AL576" s="53"/>
      <c r="AM576" s="53"/>
    </row>
    <row r="577" spans="1:39" ht="13" x14ac:dyDescent="0.15">
      <c r="A577" s="43"/>
      <c r="B577" s="43" t="s">
        <v>1840</v>
      </c>
      <c r="C577" s="59" t="s">
        <v>1841</v>
      </c>
      <c r="D577" s="43" t="s">
        <v>1797</v>
      </c>
      <c r="E577" s="43"/>
      <c r="F577" s="43" t="s">
        <v>1507</v>
      </c>
      <c r="G577" s="43"/>
      <c r="H577" s="43"/>
      <c r="I577" s="43"/>
      <c r="J577" s="43"/>
      <c r="K577" s="43"/>
      <c r="L577" s="43"/>
      <c r="M577" s="43"/>
      <c r="N577" s="43"/>
      <c r="O577" s="43"/>
      <c r="P577" s="43"/>
      <c r="Q577" s="43"/>
      <c r="R577" s="52">
        <v>1</v>
      </c>
      <c r="S577" s="43"/>
      <c r="T577" s="43" t="s">
        <v>1509</v>
      </c>
      <c r="U577" s="43" t="s">
        <v>1506</v>
      </c>
      <c r="V577" s="49">
        <v>496</v>
      </c>
      <c r="W577" s="49">
        <v>1</v>
      </c>
      <c r="X577" s="53">
        <v>52</v>
      </c>
      <c r="Y577" s="53"/>
      <c r="Z577" s="53"/>
      <c r="AA577" s="53"/>
      <c r="AB577" s="53"/>
      <c r="AC577" s="53"/>
      <c r="AD577" s="53"/>
      <c r="AE577" s="53"/>
      <c r="AF577" s="53"/>
      <c r="AG577" s="53"/>
      <c r="AH577" s="53"/>
      <c r="AI577" s="53"/>
      <c r="AJ577" s="53"/>
      <c r="AK577" s="53"/>
      <c r="AL577" s="53"/>
      <c r="AM577" s="53"/>
    </row>
    <row r="578" spans="1:39" ht="13" x14ac:dyDescent="0.15">
      <c r="A578" s="43"/>
      <c r="B578" s="43" t="s">
        <v>1842</v>
      </c>
      <c r="C578" s="59" t="s">
        <v>1843</v>
      </c>
      <c r="D578" s="43" t="s">
        <v>1797</v>
      </c>
      <c r="E578" s="43"/>
      <c r="F578" s="43" t="s">
        <v>1507</v>
      </c>
      <c r="G578" s="43"/>
      <c r="H578" s="43"/>
      <c r="I578" s="43"/>
      <c r="J578" s="43"/>
      <c r="K578" s="43"/>
      <c r="L578" s="43"/>
      <c r="M578" s="43"/>
      <c r="N578" s="43"/>
      <c r="O578" s="43"/>
      <c r="P578" s="43"/>
      <c r="Q578" s="43"/>
      <c r="R578" s="52">
        <v>1</v>
      </c>
      <c r="S578" s="43"/>
      <c r="T578" s="43" t="s">
        <v>1509</v>
      </c>
      <c r="U578" s="43" t="s">
        <v>1506</v>
      </c>
      <c r="V578" s="49">
        <v>1067</v>
      </c>
      <c r="W578" s="49">
        <v>1</v>
      </c>
      <c r="X578" s="53">
        <v>57</v>
      </c>
      <c r="Y578" s="53"/>
      <c r="Z578" s="53"/>
      <c r="AA578" s="53"/>
      <c r="AB578" s="53"/>
      <c r="AC578" s="53"/>
      <c r="AD578" s="53"/>
      <c r="AE578" s="53"/>
      <c r="AF578" s="53"/>
      <c r="AG578" s="53"/>
      <c r="AH578" s="53"/>
      <c r="AI578" s="53"/>
      <c r="AJ578" s="53"/>
      <c r="AK578" s="53"/>
      <c r="AL578" s="53"/>
      <c r="AM578" s="53"/>
    </row>
    <row r="579" spans="1:39" ht="13" x14ac:dyDescent="0.15">
      <c r="A579" s="43"/>
      <c r="B579" s="43" t="s">
        <v>1844</v>
      </c>
      <c r="C579" s="59" t="s">
        <v>1845</v>
      </c>
      <c r="D579" s="43" t="s">
        <v>1797</v>
      </c>
      <c r="E579" s="43"/>
      <c r="F579" s="43" t="s">
        <v>1507</v>
      </c>
      <c r="G579" s="43"/>
      <c r="H579" s="43"/>
      <c r="I579" s="43"/>
      <c r="J579" s="43"/>
      <c r="K579" s="43"/>
      <c r="L579" s="43"/>
      <c r="M579" s="43"/>
      <c r="N579" s="43"/>
      <c r="O579" s="43"/>
      <c r="P579" s="43"/>
      <c r="Q579" s="43"/>
      <c r="R579" s="52">
        <v>1</v>
      </c>
      <c r="S579" s="43"/>
      <c r="T579" s="43" t="s">
        <v>1505</v>
      </c>
      <c r="U579" s="43" t="s">
        <v>1506</v>
      </c>
      <c r="V579" s="49">
        <v>627</v>
      </c>
      <c r="W579" s="49">
        <v>1</v>
      </c>
      <c r="X579" s="53">
        <v>54</v>
      </c>
      <c r="Y579" s="53"/>
      <c r="Z579" s="53"/>
      <c r="AA579" s="53"/>
      <c r="AB579" s="53"/>
      <c r="AC579" s="53"/>
      <c r="AD579" s="53"/>
      <c r="AE579" s="53"/>
      <c r="AF579" s="53"/>
      <c r="AG579" s="53"/>
      <c r="AH579" s="53"/>
      <c r="AI579" s="53"/>
      <c r="AJ579" s="53"/>
      <c r="AK579" s="53"/>
      <c r="AL579" s="53"/>
      <c r="AM579" s="53"/>
    </row>
    <row r="580" spans="1:39" ht="13" x14ac:dyDescent="0.15">
      <c r="A580" s="43"/>
      <c r="B580" s="43" t="s">
        <v>1846</v>
      </c>
      <c r="C580" s="59" t="s">
        <v>1847</v>
      </c>
      <c r="D580" s="43" t="s">
        <v>1797</v>
      </c>
      <c r="E580" s="43"/>
      <c r="F580" s="43" t="s">
        <v>1504</v>
      </c>
      <c r="G580" s="43"/>
      <c r="H580" s="43"/>
      <c r="I580" s="43"/>
      <c r="J580" s="43"/>
      <c r="K580" s="43"/>
      <c r="L580" s="43"/>
      <c r="M580" s="43"/>
      <c r="N580" s="43"/>
      <c r="O580" s="43"/>
      <c r="P580" s="43"/>
      <c r="Q580" s="43"/>
      <c r="R580" s="52">
        <v>1</v>
      </c>
      <c r="S580" s="43"/>
      <c r="T580" s="43" t="s">
        <v>1505</v>
      </c>
      <c r="U580" s="43" t="s">
        <v>1506</v>
      </c>
      <c r="V580" s="49">
        <v>430</v>
      </c>
      <c r="W580" s="49">
        <v>1</v>
      </c>
      <c r="X580" s="53">
        <v>57</v>
      </c>
      <c r="Y580" s="53"/>
      <c r="Z580" s="53"/>
      <c r="AA580" s="53"/>
      <c r="AB580" s="53"/>
      <c r="AC580" s="53"/>
      <c r="AD580" s="53"/>
      <c r="AE580" s="53"/>
      <c r="AF580" s="53"/>
      <c r="AG580" s="53"/>
      <c r="AH580" s="53"/>
      <c r="AI580" s="53"/>
      <c r="AJ580" s="53"/>
      <c r="AK580" s="53"/>
      <c r="AL580" s="53"/>
      <c r="AM580" s="53"/>
    </row>
    <row r="581" spans="1:39" ht="13" x14ac:dyDescent="0.15">
      <c r="A581" s="43"/>
      <c r="B581" s="43" t="s">
        <v>1848</v>
      </c>
      <c r="C581" s="59" t="s">
        <v>1849</v>
      </c>
      <c r="D581" s="43" t="s">
        <v>1797</v>
      </c>
      <c r="E581" s="43"/>
      <c r="F581" s="43" t="s">
        <v>1504</v>
      </c>
      <c r="G581" s="43"/>
      <c r="H581" s="43"/>
      <c r="I581" s="43"/>
      <c r="J581" s="43"/>
      <c r="K581" s="43"/>
      <c r="L581" s="43"/>
      <c r="M581" s="43"/>
      <c r="N581" s="43"/>
      <c r="O581" s="43"/>
      <c r="P581" s="43"/>
      <c r="Q581" s="43"/>
      <c r="R581" s="52">
        <v>1</v>
      </c>
      <c r="S581" s="43"/>
      <c r="T581" s="43" t="s">
        <v>1509</v>
      </c>
      <c r="U581" s="43" t="s">
        <v>1506</v>
      </c>
      <c r="V581" s="49">
        <v>302</v>
      </c>
      <c r="W581" s="49">
        <v>0</v>
      </c>
      <c r="X581" s="53">
        <v>78</v>
      </c>
      <c r="Y581" s="53"/>
      <c r="Z581" s="53"/>
      <c r="AA581" s="53"/>
      <c r="AB581" s="53"/>
      <c r="AC581" s="53"/>
      <c r="AD581" s="53"/>
      <c r="AE581" s="53"/>
      <c r="AF581" s="53"/>
      <c r="AG581" s="53"/>
      <c r="AH581" s="53"/>
      <c r="AI581" s="53"/>
      <c r="AJ581" s="53"/>
      <c r="AK581" s="53"/>
      <c r="AL581" s="53"/>
      <c r="AM581" s="53"/>
    </row>
    <row r="582" spans="1:39" ht="13" x14ac:dyDescent="0.15">
      <c r="A582" s="43"/>
      <c r="B582" s="43" t="s">
        <v>1850</v>
      </c>
      <c r="C582" s="59" t="s">
        <v>1851</v>
      </c>
      <c r="D582" s="43" t="s">
        <v>1797</v>
      </c>
      <c r="E582" s="43"/>
      <c r="F582" s="43" t="s">
        <v>1507</v>
      </c>
      <c r="G582" s="43"/>
      <c r="H582" s="43"/>
      <c r="I582" s="43"/>
      <c r="J582" s="43"/>
      <c r="K582" s="43"/>
      <c r="L582" s="43"/>
      <c r="M582" s="43"/>
      <c r="N582" s="43"/>
      <c r="O582" s="43"/>
      <c r="P582" s="43"/>
      <c r="Q582" s="43"/>
      <c r="R582" s="52">
        <v>1</v>
      </c>
      <c r="S582" s="43"/>
      <c r="T582" s="43" t="s">
        <v>1505</v>
      </c>
      <c r="U582" s="43" t="s">
        <v>1506</v>
      </c>
      <c r="V582" s="49">
        <v>450</v>
      </c>
      <c r="W582" s="49">
        <v>1</v>
      </c>
      <c r="X582" s="53">
        <v>54</v>
      </c>
      <c r="Y582" s="53"/>
      <c r="Z582" s="53"/>
      <c r="AA582" s="53"/>
      <c r="AB582" s="53"/>
      <c r="AC582" s="53"/>
      <c r="AD582" s="53"/>
      <c r="AE582" s="53"/>
      <c r="AF582" s="53"/>
      <c r="AG582" s="53"/>
      <c r="AH582" s="53"/>
      <c r="AI582" s="53"/>
      <c r="AJ582" s="53"/>
      <c r="AK582" s="53"/>
      <c r="AL582" s="53"/>
      <c r="AM582" s="53"/>
    </row>
    <row r="583" spans="1:39" ht="13" x14ac:dyDescent="0.15">
      <c r="A583" s="43"/>
      <c r="B583" s="43" t="s">
        <v>1852</v>
      </c>
      <c r="C583" s="59" t="s">
        <v>1853</v>
      </c>
      <c r="D583" s="43" t="s">
        <v>1797</v>
      </c>
      <c r="E583" s="43"/>
      <c r="F583" s="43" t="s">
        <v>1507</v>
      </c>
      <c r="G583" s="43"/>
      <c r="H583" s="43"/>
      <c r="I583" s="43"/>
      <c r="J583" s="43"/>
      <c r="K583" s="43"/>
      <c r="L583" s="43"/>
      <c r="M583" s="43"/>
      <c r="N583" s="43"/>
      <c r="O583" s="43"/>
      <c r="P583" s="43"/>
      <c r="Q583" s="43"/>
      <c r="R583" s="52">
        <v>0</v>
      </c>
      <c r="S583" s="43"/>
      <c r="T583" s="43" t="s">
        <v>1509</v>
      </c>
      <c r="U583" s="43" t="s">
        <v>1506</v>
      </c>
      <c r="V583" s="49">
        <v>912</v>
      </c>
      <c r="W583" s="49">
        <v>1</v>
      </c>
      <c r="X583" s="53">
        <v>60</v>
      </c>
      <c r="Y583" s="53"/>
      <c r="Z583" s="53"/>
      <c r="AA583" s="53"/>
      <c r="AB583" s="53"/>
      <c r="AC583" s="53"/>
      <c r="AD583" s="53"/>
      <c r="AE583" s="53"/>
      <c r="AF583" s="53"/>
      <c r="AG583" s="53"/>
      <c r="AH583" s="53"/>
      <c r="AI583" s="53"/>
      <c r="AJ583" s="53"/>
      <c r="AK583" s="53"/>
      <c r="AL583" s="53"/>
      <c r="AM583" s="53"/>
    </row>
    <row r="584" spans="1:39" ht="13" x14ac:dyDescent="0.15">
      <c r="A584" s="43"/>
      <c r="B584" s="43" t="s">
        <v>1854</v>
      </c>
      <c r="C584" s="59" t="s">
        <v>1855</v>
      </c>
      <c r="D584" s="43" t="s">
        <v>1797</v>
      </c>
      <c r="E584" s="43"/>
      <c r="F584" s="43" t="s">
        <v>1507</v>
      </c>
      <c r="G584" s="43"/>
      <c r="H584" s="43"/>
      <c r="I584" s="43"/>
      <c r="J584" s="43"/>
      <c r="K584" s="43"/>
      <c r="L584" s="43"/>
      <c r="M584" s="43"/>
      <c r="N584" s="43"/>
      <c r="O584" s="43"/>
      <c r="P584" s="43"/>
      <c r="Q584" s="43"/>
      <c r="R584" s="52">
        <v>0</v>
      </c>
      <c r="S584" s="43"/>
      <c r="T584" s="43" t="s">
        <v>1510</v>
      </c>
      <c r="U584" s="43" t="s">
        <v>1506</v>
      </c>
      <c r="V584" s="49">
        <v>363</v>
      </c>
      <c r="W584" s="49">
        <v>0</v>
      </c>
      <c r="X584" s="53">
        <v>67</v>
      </c>
      <c r="Y584" s="53"/>
      <c r="Z584" s="53"/>
      <c r="AA584" s="53"/>
      <c r="AB584" s="53"/>
      <c r="AC584" s="53"/>
      <c r="AD584" s="53"/>
      <c r="AE584" s="53"/>
      <c r="AF584" s="53"/>
      <c r="AG584" s="53"/>
      <c r="AH584" s="53"/>
      <c r="AI584" s="53"/>
      <c r="AJ584" s="53"/>
      <c r="AK584" s="53"/>
      <c r="AL584" s="53"/>
      <c r="AM584" s="53"/>
    </row>
    <row r="585" spans="1:39" ht="13" x14ac:dyDescent="0.15">
      <c r="A585" s="43"/>
      <c r="B585" s="43" t="s">
        <v>1856</v>
      </c>
      <c r="C585" s="59" t="s">
        <v>1857</v>
      </c>
      <c r="D585" s="43" t="s">
        <v>1797</v>
      </c>
      <c r="E585" s="43"/>
      <c r="F585" s="43" t="s">
        <v>1504</v>
      </c>
      <c r="G585" s="43"/>
      <c r="H585" s="43"/>
      <c r="I585" s="43"/>
      <c r="J585" s="43"/>
      <c r="K585" s="43"/>
      <c r="L585" s="43"/>
      <c r="M585" s="43"/>
      <c r="N585" s="43"/>
      <c r="O585" s="43"/>
      <c r="P585" s="43"/>
      <c r="Q585" s="43"/>
      <c r="R585" s="52">
        <v>1</v>
      </c>
      <c r="S585" s="43"/>
      <c r="T585" s="43" t="s">
        <v>1509</v>
      </c>
      <c r="U585" s="43" t="s">
        <v>1506</v>
      </c>
      <c r="V585" s="49">
        <v>366</v>
      </c>
      <c r="W585" s="49">
        <v>1</v>
      </c>
      <c r="X585" s="53">
        <v>49</v>
      </c>
      <c r="Y585" s="53"/>
      <c r="Z585" s="53"/>
      <c r="AA585" s="53"/>
      <c r="AB585" s="53"/>
      <c r="AC585" s="53"/>
      <c r="AD585" s="53"/>
      <c r="AE585" s="53"/>
      <c r="AF585" s="53"/>
      <c r="AG585" s="53"/>
      <c r="AH585" s="53"/>
      <c r="AI585" s="53"/>
      <c r="AJ585" s="53"/>
      <c r="AK585" s="53"/>
      <c r="AL585" s="53"/>
      <c r="AM585" s="53"/>
    </row>
    <row r="586" spans="1:39" ht="13" x14ac:dyDescent="0.15">
      <c r="A586" s="43"/>
      <c r="B586" s="43" t="s">
        <v>1858</v>
      </c>
      <c r="C586" s="59" t="s">
        <v>1859</v>
      </c>
      <c r="D586" s="43" t="s">
        <v>1797</v>
      </c>
      <c r="E586" s="43"/>
      <c r="F586" s="43" t="s">
        <v>1507</v>
      </c>
      <c r="G586" s="43"/>
      <c r="H586" s="43"/>
      <c r="I586" s="43"/>
      <c r="J586" s="43"/>
      <c r="K586" s="43"/>
      <c r="L586" s="43"/>
      <c r="M586" s="43"/>
      <c r="N586" s="43"/>
      <c r="O586" s="43"/>
      <c r="P586" s="43"/>
      <c r="Q586" s="43"/>
      <c r="R586" s="52">
        <v>1</v>
      </c>
      <c r="S586" s="43"/>
      <c r="T586" s="43" t="s">
        <v>1509</v>
      </c>
      <c r="U586" s="43" t="s">
        <v>1506</v>
      </c>
      <c r="V586" s="49">
        <v>111</v>
      </c>
      <c r="W586" s="49">
        <v>1</v>
      </c>
      <c r="X586" s="53">
        <v>71</v>
      </c>
      <c r="Y586" s="53"/>
      <c r="Z586" s="53"/>
      <c r="AA586" s="53"/>
      <c r="AB586" s="53"/>
      <c r="AC586" s="53"/>
      <c r="AD586" s="53"/>
      <c r="AE586" s="53"/>
      <c r="AF586" s="53"/>
      <c r="AG586" s="53"/>
      <c r="AH586" s="53"/>
      <c r="AI586" s="53"/>
      <c r="AJ586" s="53"/>
      <c r="AK586" s="53"/>
      <c r="AL586" s="53"/>
      <c r="AM586" s="53"/>
    </row>
    <row r="587" spans="1:39" ht="13" x14ac:dyDescent="0.15">
      <c r="A587" s="43"/>
      <c r="B587" s="43" t="s">
        <v>1860</v>
      </c>
      <c r="C587" s="59" t="s">
        <v>1861</v>
      </c>
      <c r="D587" s="43" t="s">
        <v>1797</v>
      </c>
      <c r="E587" s="43"/>
      <c r="F587" s="43" t="s">
        <v>1504</v>
      </c>
      <c r="G587" s="43"/>
      <c r="H587" s="43"/>
      <c r="I587" s="43"/>
      <c r="J587" s="43"/>
      <c r="K587" s="43"/>
      <c r="L587" s="43"/>
      <c r="M587" s="43"/>
      <c r="N587" s="43"/>
      <c r="O587" s="43"/>
      <c r="P587" s="43"/>
      <c r="Q587" s="43"/>
      <c r="R587" s="52">
        <v>0</v>
      </c>
      <c r="S587" s="43"/>
      <c r="T587" s="43" t="s">
        <v>1509</v>
      </c>
      <c r="U587" s="43" t="s">
        <v>1506</v>
      </c>
      <c r="V587" s="49">
        <v>262</v>
      </c>
      <c r="W587" s="49">
        <v>0</v>
      </c>
      <c r="X587" s="53">
        <v>73</v>
      </c>
      <c r="Y587" s="53"/>
      <c r="Z587" s="53"/>
      <c r="AA587" s="53"/>
      <c r="AB587" s="53"/>
      <c r="AC587" s="53"/>
      <c r="AD587" s="53"/>
      <c r="AE587" s="53"/>
      <c r="AF587" s="53"/>
      <c r="AG587" s="53"/>
      <c r="AH587" s="53"/>
      <c r="AI587" s="53"/>
      <c r="AJ587" s="53"/>
      <c r="AK587" s="53"/>
      <c r="AL587" s="53"/>
      <c r="AM587" s="53"/>
    </row>
    <row r="588" spans="1:39" ht="13" x14ac:dyDescent="0.15">
      <c r="A588" s="43"/>
      <c r="B588" s="43" t="s">
        <v>1862</v>
      </c>
      <c r="C588" s="59" t="s">
        <v>1863</v>
      </c>
      <c r="D588" s="43" t="s">
        <v>1797</v>
      </c>
      <c r="E588" s="43"/>
      <c r="F588" s="43" t="s">
        <v>1504</v>
      </c>
      <c r="G588" s="43"/>
      <c r="H588" s="43"/>
      <c r="I588" s="43"/>
      <c r="J588" s="43"/>
      <c r="K588" s="43"/>
      <c r="L588" s="43"/>
      <c r="M588" s="43"/>
      <c r="N588" s="43"/>
      <c r="O588" s="43"/>
      <c r="P588" s="43"/>
      <c r="Q588" s="43"/>
      <c r="R588" s="52">
        <v>0</v>
      </c>
      <c r="S588" s="43"/>
      <c r="T588" s="43" t="s">
        <v>1505</v>
      </c>
      <c r="U588" s="43" t="s">
        <v>1506</v>
      </c>
      <c r="V588" s="49">
        <v>81</v>
      </c>
      <c r="W588" s="49">
        <v>0</v>
      </c>
      <c r="X588" s="53">
        <v>61</v>
      </c>
      <c r="Y588" s="53"/>
      <c r="Z588" s="53"/>
      <c r="AA588" s="53"/>
      <c r="AB588" s="53"/>
      <c r="AC588" s="53"/>
      <c r="AD588" s="53"/>
      <c r="AE588" s="53"/>
      <c r="AF588" s="53"/>
      <c r="AG588" s="53"/>
      <c r="AH588" s="53"/>
      <c r="AI588" s="53"/>
      <c r="AJ588" s="53"/>
      <c r="AK588" s="53"/>
      <c r="AL588" s="53"/>
      <c r="AM588" s="53"/>
    </row>
    <row r="589" spans="1:39" ht="13" x14ac:dyDescent="0.15">
      <c r="A589" s="43"/>
      <c r="B589" s="43" t="s">
        <v>1864</v>
      </c>
      <c r="C589" s="59" t="s">
        <v>1865</v>
      </c>
      <c r="D589" s="43" t="s">
        <v>1797</v>
      </c>
      <c r="E589" s="43"/>
      <c r="F589" s="43" t="s">
        <v>1504</v>
      </c>
      <c r="G589" s="43"/>
      <c r="H589" s="43"/>
      <c r="I589" s="43"/>
      <c r="J589" s="43"/>
      <c r="K589" s="43"/>
      <c r="L589" s="43"/>
      <c r="M589" s="43"/>
      <c r="N589" s="43"/>
      <c r="O589" s="43"/>
      <c r="P589" s="43"/>
      <c r="Q589" s="43"/>
      <c r="R589" s="52">
        <v>1</v>
      </c>
      <c r="S589" s="43"/>
      <c r="T589" s="43" t="s">
        <v>1509</v>
      </c>
      <c r="U589" s="43" t="s">
        <v>1684</v>
      </c>
      <c r="V589" s="49">
        <v>86</v>
      </c>
      <c r="W589" s="49">
        <v>0</v>
      </c>
      <c r="X589" s="53">
        <v>53</v>
      </c>
      <c r="Y589" s="53"/>
      <c r="Z589" s="53"/>
      <c r="AA589" s="53"/>
      <c r="AB589" s="53"/>
      <c r="AC589" s="53"/>
      <c r="AD589" s="53"/>
      <c r="AE589" s="53"/>
      <c r="AF589" s="53"/>
      <c r="AG589" s="53"/>
      <c r="AH589" s="53"/>
      <c r="AI589" s="53"/>
      <c r="AJ589" s="53"/>
      <c r="AK589" s="53"/>
      <c r="AL589" s="53"/>
      <c r="AM589" s="53"/>
    </row>
    <row r="590" spans="1:39" ht="13" x14ac:dyDescent="0.15">
      <c r="A590" s="43"/>
      <c r="B590" s="43" t="s">
        <v>1866</v>
      </c>
      <c r="C590" s="59" t="s">
        <v>1867</v>
      </c>
      <c r="D590" s="43" t="s">
        <v>1797</v>
      </c>
      <c r="E590" s="43"/>
      <c r="F590" s="43" t="s">
        <v>1504</v>
      </c>
      <c r="G590" s="43"/>
      <c r="H590" s="43"/>
      <c r="I590" s="43"/>
      <c r="J590" s="43"/>
      <c r="K590" s="43"/>
      <c r="L590" s="43"/>
      <c r="M590" s="43"/>
      <c r="N590" s="43"/>
      <c r="O590" s="43"/>
      <c r="P590" s="43"/>
      <c r="Q590" s="43"/>
      <c r="R590" s="52">
        <v>0</v>
      </c>
      <c r="S590" s="43"/>
      <c r="T590" s="43" t="s">
        <v>1509</v>
      </c>
      <c r="U590" s="43" t="s">
        <v>1506</v>
      </c>
      <c r="V590" s="49">
        <v>322</v>
      </c>
      <c r="W590" s="49">
        <v>1</v>
      </c>
      <c r="X590" s="53">
        <v>75</v>
      </c>
      <c r="Y590" s="53"/>
      <c r="Z590" s="53"/>
      <c r="AA590" s="53"/>
      <c r="AB590" s="53"/>
      <c r="AC590" s="53"/>
      <c r="AD590" s="53"/>
      <c r="AE590" s="53"/>
      <c r="AF590" s="53"/>
      <c r="AG590" s="53"/>
      <c r="AH590" s="53"/>
      <c r="AI590" s="53"/>
      <c r="AJ590" s="53"/>
      <c r="AK590" s="53"/>
      <c r="AL590" s="53"/>
      <c r="AM590" s="53"/>
    </row>
    <row r="591" spans="1:39" ht="13" x14ac:dyDescent="0.15">
      <c r="A591" s="43"/>
      <c r="B591" s="43" t="s">
        <v>1868</v>
      </c>
      <c r="C591" s="43" t="s">
        <v>1869</v>
      </c>
      <c r="D591" s="43" t="s">
        <v>1870</v>
      </c>
      <c r="E591" s="43"/>
      <c r="F591" s="43" t="s">
        <v>1504</v>
      </c>
      <c r="G591" s="43" t="s">
        <v>1480</v>
      </c>
      <c r="H591" s="43"/>
      <c r="I591" s="43">
        <v>28387</v>
      </c>
      <c r="J591" s="43">
        <v>-28387</v>
      </c>
      <c r="K591" s="43" t="s">
        <v>1672</v>
      </c>
      <c r="L591" s="43">
        <v>1939</v>
      </c>
      <c r="M591" s="43" t="s">
        <v>1672</v>
      </c>
      <c r="N591" s="43">
        <v>608</v>
      </c>
      <c r="O591" s="43">
        <v>608</v>
      </c>
      <c r="P591" s="43" t="s">
        <v>1481</v>
      </c>
      <c r="Q591" s="43" t="s">
        <v>1482</v>
      </c>
      <c r="R591" s="43">
        <v>1</v>
      </c>
      <c r="S591" s="43"/>
      <c r="T591" s="43"/>
      <c r="U591" s="43"/>
      <c r="V591" s="49"/>
      <c r="W591" s="49" t="s">
        <v>1673</v>
      </c>
      <c r="X591" s="53"/>
      <c r="Y591" s="53"/>
      <c r="Z591" s="53"/>
      <c r="AA591" s="53"/>
      <c r="AB591" s="53"/>
      <c r="AC591" s="53"/>
      <c r="AD591" s="53"/>
      <c r="AE591" s="53"/>
      <c r="AF591" s="53"/>
      <c r="AG591" s="53"/>
      <c r="AH591" s="53"/>
      <c r="AI591" s="53"/>
      <c r="AJ591" s="53"/>
      <c r="AK591" s="53"/>
      <c r="AL591" s="53"/>
      <c r="AM591" s="53"/>
    </row>
    <row r="592" spans="1:39" ht="13" x14ac:dyDescent="0.15">
      <c r="A592" s="43"/>
      <c r="B592" s="43" t="s">
        <v>1871</v>
      </c>
      <c r="C592" s="43" t="s">
        <v>1872</v>
      </c>
      <c r="D592" s="43" t="s">
        <v>1870</v>
      </c>
      <c r="E592" s="43"/>
      <c r="F592" s="43" t="s">
        <v>1507</v>
      </c>
      <c r="G592" s="43" t="s">
        <v>1483</v>
      </c>
      <c r="H592" s="43"/>
      <c r="I592" s="43">
        <v>22583</v>
      </c>
      <c r="J592" s="43">
        <v>-22583</v>
      </c>
      <c r="K592" s="43">
        <v>281</v>
      </c>
      <c r="L592" s="43">
        <v>1956</v>
      </c>
      <c r="M592" s="43">
        <v>2018</v>
      </c>
      <c r="N592" s="43">
        <v>223</v>
      </c>
      <c r="O592" s="43">
        <v>281</v>
      </c>
      <c r="P592" s="43" t="s">
        <v>1481</v>
      </c>
      <c r="Q592" s="43" t="s">
        <v>1482</v>
      </c>
      <c r="R592" s="43">
        <v>0</v>
      </c>
      <c r="S592" s="43"/>
      <c r="T592" s="43"/>
      <c r="U592" s="43"/>
      <c r="V592" s="49"/>
      <c r="W592" s="49" t="s">
        <v>1667</v>
      </c>
      <c r="X592" s="53"/>
      <c r="Y592" s="53"/>
      <c r="Z592" s="53"/>
      <c r="AA592" s="53"/>
      <c r="AB592" s="53"/>
      <c r="AC592" s="53"/>
      <c r="AD592" s="53"/>
      <c r="AE592" s="53"/>
      <c r="AF592" s="53"/>
      <c r="AG592" s="53"/>
      <c r="AH592" s="53"/>
      <c r="AI592" s="53"/>
      <c r="AJ592" s="53"/>
      <c r="AK592" s="53"/>
      <c r="AL592" s="53"/>
      <c r="AM592" s="53"/>
    </row>
    <row r="593" spans="1:39" ht="13" x14ac:dyDescent="0.15">
      <c r="A593" s="43"/>
      <c r="B593" s="43" t="s">
        <v>1873</v>
      </c>
      <c r="C593" s="43" t="s">
        <v>1874</v>
      </c>
      <c r="D593" s="43" t="s">
        <v>1870</v>
      </c>
      <c r="E593" s="43"/>
      <c r="F593" s="43" t="s">
        <v>1507</v>
      </c>
      <c r="G593" s="43" t="s">
        <v>1480</v>
      </c>
      <c r="H593" s="43"/>
      <c r="I593" s="43">
        <v>21957</v>
      </c>
      <c r="J593" s="43">
        <v>-21957</v>
      </c>
      <c r="K593" s="43">
        <v>1209</v>
      </c>
      <c r="L593" s="43">
        <v>1956</v>
      </c>
      <c r="M593" s="43">
        <v>2020</v>
      </c>
      <c r="N593" s="43">
        <v>1209</v>
      </c>
      <c r="O593" s="43">
        <v>1209</v>
      </c>
      <c r="P593" s="43" t="s">
        <v>1481</v>
      </c>
      <c r="Q593" s="43" t="s">
        <v>1482</v>
      </c>
      <c r="R593" s="43">
        <v>1</v>
      </c>
      <c r="S593" s="43"/>
      <c r="T593" s="43"/>
      <c r="U593" s="43"/>
      <c r="V593" s="49"/>
      <c r="W593" s="49" t="s">
        <v>1667</v>
      </c>
      <c r="X593" s="53"/>
      <c r="Y593" s="53"/>
      <c r="Z593" s="53"/>
      <c r="AA593" s="53"/>
      <c r="AB593" s="53"/>
      <c r="AC593" s="53"/>
      <c r="AD593" s="53"/>
      <c r="AE593" s="53"/>
      <c r="AF593" s="53"/>
      <c r="AG593" s="53"/>
      <c r="AH593" s="53"/>
      <c r="AI593" s="53"/>
      <c r="AJ593" s="53"/>
      <c r="AK593" s="53"/>
      <c r="AL593" s="53"/>
      <c r="AM593" s="53"/>
    </row>
    <row r="594" spans="1:39" ht="13" x14ac:dyDescent="0.15">
      <c r="A594" s="43"/>
      <c r="B594" s="43" t="s">
        <v>1875</v>
      </c>
      <c r="C594" s="43" t="s">
        <v>1876</v>
      </c>
      <c r="D594" s="43" t="s">
        <v>1870</v>
      </c>
      <c r="E594" s="43"/>
      <c r="F594" s="43" t="s">
        <v>1504</v>
      </c>
      <c r="G594" s="43" t="s">
        <v>1480</v>
      </c>
      <c r="H594" s="43"/>
      <c r="I594" s="43">
        <v>21869</v>
      </c>
      <c r="J594" s="43">
        <v>-21869</v>
      </c>
      <c r="K594" s="43" t="s">
        <v>1672</v>
      </c>
      <c r="L594" s="43">
        <v>1957</v>
      </c>
      <c r="M594" s="43" t="s">
        <v>1672</v>
      </c>
      <c r="N594" s="43">
        <v>3</v>
      </c>
      <c r="O594" s="43">
        <v>3</v>
      </c>
      <c r="P594" s="43" t="s">
        <v>1481</v>
      </c>
      <c r="Q594" s="43" t="s">
        <v>1481</v>
      </c>
      <c r="R594" s="43">
        <v>0</v>
      </c>
      <c r="S594" s="43"/>
      <c r="T594" s="43"/>
      <c r="U594" s="43"/>
      <c r="V594" s="49"/>
      <c r="W594" s="49" t="s">
        <v>1673</v>
      </c>
      <c r="X594" s="53"/>
      <c r="Y594" s="53"/>
      <c r="Z594" s="53"/>
      <c r="AA594" s="53"/>
      <c r="AB594" s="53"/>
      <c r="AC594" s="53"/>
      <c r="AD594" s="53"/>
      <c r="AE594" s="53"/>
      <c r="AF594" s="53"/>
      <c r="AG594" s="53"/>
      <c r="AH594" s="53"/>
      <c r="AI594" s="53"/>
      <c r="AJ594" s="53"/>
      <c r="AK594" s="53"/>
      <c r="AL594" s="53"/>
      <c r="AM594" s="53"/>
    </row>
    <row r="595" spans="1:39" ht="13" x14ac:dyDescent="0.15">
      <c r="A595" s="43"/>
      <c r="B595" s="43" t="s">
        <v>1877</v>
      </c>
      <c r="C595" s="43" t="s">
        <v>1878</v>
      </c>
      <c r="D595" s="43" t="s">
        <v>1879</v>
      </c>
      <c r="E595" s="43"/>
      <c r="F595" s="43"/>
      <c r="G595" s="43"/>
      <c r="H595" s="43"/>
      <c r="I595" s="43"/>
      <c r="J595" s="43"/>
      <c r="K595" s="43"/>
      <c r="L595" s="43"/>
      <c r="M595" s="43"/>
      <c r="N595" s="43"/>
      <c r="O595" s="43"/>
      <c r="P595" s="43"/>
      <c r="Q595" s="43"/>
      <c r="R595" s="43">
        <v>0</v>
      </c>
      <c r="S595" s="43"/>
      <c r="T595" s="43"/>
      <c r="U595" s="43"/>
      <c r="V595" s="49"/>
      <c r="W595" s="49"/>
      <c r="X595" s="53"/>
      <c r="Y595" s="53"/>
      <c r="Z595" s="53"/>
      <c r="AA595" s="53"/>
      <c r="AB595" s="53"/>
      <c r="AC595" s="53"/>
      <c r="AD595" s="53"/>
      <c r="AE595" s="53"/>
      <c r="AF595" s="53"/>
      <c r="AG595" s="53"/>
      <c r="AH595" s="53"/>
      <c r="AI595" s="53"/>
      <c r="AJ595" s="53"/>
      <c r="AK595" s="53"/>
      <c r="AL595" s="53"/>
      <c r="AM595" s="53"/>
    </row>
    <row r="596" spans="1:39" ht="13" x14ac:dyDescent="0.15">
      <c r="A596" s="43"/>
      <c r="B596" s="43" t="s">
        <v>1880</v>
      </c>
      <c r="C596" s="43" t="s">
        <v>1881</v>
      </c>
      <c r="D596" s="43" t="s">
        <v>1879</v>
      </c>
      <c r="E596" s="43"/>
      <c r="F596" s="43"/>
      <c r="G596" s="43"/>
      <c r="H596" s="43"/>
      <c r="I596" s="43"/>
      <c r="J596" s="43"/>
      <c r="K596" s="43"/>
      <c r="L596" s="43"/>
      <c r="M596" s="43"/>
      <c r="N596" s="43"/>
      <c r="O596" s="43"/>
      <c r="P596" s="43"/>
      <c r="Q596" s="43"/>
      <c r="R596" s="43">
        <v>1</v>
      </c>
      <c r="S596" s="43"/>
      <c r="T596" s="43"/>
      <c r="U596" s="43"/>
      <c r="V596" s="49"/>
      <c r="W596" s="49"/>
      <c r="X596" s="53"/>
      <c r="Y596" s="53"/>
      <c r="Z596" s="53"/>
      <c r="AA596" s="53"/>
      <c r="AB596" s="53"/>
      <c r="AC596" s="53"/>
      <c r="AD596" s="53"/>
      <c r="AE596" s="53"/>
      <c r="AF596" s="53"/>
      <c r="AG596" s="53"/>
      <c r="AH596" s="53"/>
      <c r="AI596" s="53"/>
      <c r="AJ596" s="53"/>
      <c r="AK596" s="53"/>
      <c r="AL596" s="53"/>
      <c r="AM596" s="53"/>
    </row>
    <row r="597" spans="1:39" ht="13" x14ac:dyDescent="0.15">
      <c r="A597" s="43"/>
      <c r="B597" s="43" t="s">
        <v>1882</v>
      </c>
      <c r="C597" s="43" t="s">
        <v>1883</v>
      </c>
      <c r="D597" s="43" t="s">
        <v>1879</v>
      </c>
      <c r="E597" s="43"/>
      <c r="F597" s="43"/>
      <c r="G597" s="43"/>
      <c r="H597" s="43"/>
      <c r="I597" s="43"/>
      <c r="J597" s="43"/>
      <c r="K597" s="43"/>
      <c r="L597" s="43"/>
      <c r="M597" s="43"/>
      <c r="N597" s="43"/>
      <c r="O597" s="43"/>
      <c r="P597" s="43"/>
      <c r="Q597" s="43"/>
      <c r="R597" s="43">
        <v>0</v>
      </c>
      <c r="S597" s="43"/>
      <c r="T597" s="43"/>
      <c r="U597" s="43"/>
      <c r="V597" s="49"/>
      <c r="W597" s="49"/>
      <c r="X597" s="53"/>
      <c r="Y597" s="53"/>
      <c r="Z597" s="53"/>
      <c r="AA597" s="53"/>
      <c r="AB597" s="53"/>
      <c r="AC597" s="53"/>
      <c r="AD597" s="53"/>
      <c r="AE597" s="53"/>
      <c r="AF597" s="53"/>
      <c r="AG597" s="53"/>
      <c r="AH597" s="53"/>
      <c r="AI597" s="53"/>
      <c r="AJ597" s="53"/>
      <c r="AK597" s="53"/>
      <c r="AL597" s="53"/>
      <c r="AM597" s="53"/>
    </row>
    <row r="598" spans="1:39" ht="13" x14ac:dyDescent="0.15">
      <c r="A598" s="43"/>
      <c r="B598" s="43" t="s">
        <v>1884</v>
      </c>
      <c r="C598" s="43" t="s">
        <v>1885</v>
      </c>
      <c r="D598" s="43" t="s">
        <v>1879</v>
      </c>
      <c r="E598" s="43"/>
      <c r="F598" s="43"/>
      <c r="G598" s="43"/>
      <c r="H598" s="43"/>
      <c r="I598" s="43"/>
      <c r="J598" s="43"/>
      <c r="K598" s="43"/>
      <c r="L598" s="43"/>
      <c r="M598" s="43"/>
      <c r="N598" s="43"/>
      <c r="O598" s="43"/>
      <c r="P598" s="43"/>
      <c r="Q598" s="43"/>
      <c r="R598" s="43">
        <v>1</v>
      </c>
      <c r="S598" s="43"/>
      <c r="T598" s="43"/>
      <c r="U598" s="43"/>
      <c r="V598" s="49"/>
      <c r="W598" s="49"/>
      <c r="X598" s="53"/>
      <c r="Y598" s="53"/>
      <c r="Z598" s="53"/>
      <c r="AA598" s="53"/>
      <c r="AB598" s="53"/>
      <c r="AC598" s="53"/>
      <c r="AD598" s="53"/>
      <c r="AE598" s="53"/>
      <c r="AF598" s="53"/>
      <c r="AG598" s="53"/>
      <c r="AH598" s="53"/>
      <c r="AI598" s="53"/>
      <c r="AJ598" s="53"/>
      <c r="AK598" s="53"/>
      <c r="AL598" s="53"/>
      <c r="AM598" s="53"/>
    </row>
    <row r="599" spans="1:39" ht="13" x14ac:dyDescent="0.15">
      <c r="A599" s="43"/>
      <c r="B599" s="43" t="s">
        <v>1886</v>
      </c>
      <c r="C599" s="43" t="s">
        <v>1887</v>
      </c>
      <c r="D599" s="43" t="s">
        <v>1879</v>
      </c>
      <c r="E599" s="43"/>
      <c r="F599" s="43"/>
      <c r="G599" s="43"/>
      <c r="H599" s="43"/>
      <c r="I599" s="43"/>
      <c r="J599" s="43"/>
      <c r="K599" s="43"/>
      <c r="L599" s="43"/>
      <c r="M599" s="43"/>
      <c r="N599" s="43"/>
      <c r="O599" s="43"/>
      <c r="P599" s="43"/>
      <c r="Q599" s="43"/>
      <c r="R599" s="43">
        <v>0</v>
      </c>
      <c r="S599" s="43"/>
      <c r="T599" s="43"/>
      <c r="U599" s="43"/>
      <c r="V599" s="49"/>
      <c r="W599" s="49"/>
      <c r="X599" s="53"/>
      <c r="Y599" s="53"/>
      <c r="Z599" s="53"/>
      <c r="AA599" s="53"/>
      <c r="AB599" s="53"/>
      <c r="AC599" s="53"/>
      <c r="AD599" s="53"/>
      <c r="AE599" s="53"/>
      <c r="AF599" s="53"/>
      <c r="AG599" s="53"/>
      <c r="AH599" s="53"/>
      <c r="AI599" s="53"/>
      <c r="AJ599" s="53"/>
      <c r="AK599" s="53"/>
      <c r="AL599" s="53"/>
      <c r="AM599" s="53"/>
    </row>
    <row r="600" spans="1:39" ht="13" x14ac:dyDescent="0.15">
      <c r="A600" s="43"/>
      <c r="B600" s="43" t="s">
        <v>1888</v>
      </c>
      <c r="C600" s="43" t="s">
        <v>1889</v>
      </c>
      <c r="D600" s="43" t="s">
        <v>1879</v>
      </c>
      <c r="E600" s="43"/>
      <c r="F600" s="43"/>
      <c r="G600" s="43"/>
      <c r="H600" s="43"/>
      <c r="I600" s="43"/>
      <c r="J600" s="43"/>
      <c r="K600" s="43"/>
      <c r="L600" s="43"/>
      <c r="M600" s="43"/>
      <c r="N600" s="43"/>
      <c r="O600" s="43"/>
      <c r="P600" s="43"/>
      <c r="Q600" s="43"/>
      <c r="R600" s="43">
        <v>1</v>
      </c>
      <c r="S600" s="43"/>
      <c r="T600" s="43"/>
      <c r="U600" s="43"/>
      <c r="V600" s="49"/>
      <c r="W600" s="49"/>
      <c r="X600" s="53"/>
      <c r="Y600" s="53"/>
      <c r="Z600" s="53"/>
      <c r="AA600" s="53"/>
      <c r="AB600" s="53"/>
      <c r="AC600" s="53"/>
      <c r="AD600" s="53"/>
      <c r="AE600" s="53"/>
      <c r="AF600" s="53"/>
      <c r="AG600" s="53"/>
      <c r="AH600" s="53"/>
      <c r="AI600" s="53"/>
      <c r="AJ600" s="53"/>
      <c r="AK600" s="53"/>
      <c r="AL600" s="53"/>
      <c r="AM600" s="53"/>
    </row>
    <row r="601" spans="1:39" ht="13" x14ac:dyDescent="0.15">
      <c r="A601" s="43"/>
      <c r="B601" s="43" t="s">
        <v>1890</v>
      </c>
      <c r="C601" s="43" t="s">
        <v>1891</v>
      </c>
      <c r="D601" s="43" t="s">
        <v>1879</v>
      </c>
      <c r="E601" s="43"/>
      <c r="F601" s="43"/>
      <c r="G601" s="43"/>
      <c r="H601" s="43"/>
      <c r="I601" s="43"/>
      <c r="J601" s="43"/>
      <c r="K601" s="43"/>
      <c r="L601" s="43"/>
      <c r="M601" s="43"/>
      <c r="N601" s="43"/>
      <c r="O601" s="43"/>
      <c r="P601" s="43"/>
      <c r="Q601" s="43"/>
      <c r="R601" s="43">
        <v>0</v>
      </c>
      <c r="S601" s="43"/>
      <c r="T601" s="43"/>
      <c r="U601" s="43"/>
      <c r="V601" s="49"/>
      <c r="W601" s="49"/>
      <c r="X601" s="53"/>
      <c r="Y601" s="53"/>
      <c r="Z601" s="53"/>
      <c r="AA601" s="53"/>
      <c r="AB601" s="53"/>
      <c r="AC601" s="53"/>
      <c r="AD601" s="53"/>
      <c r="AE601" s="53"/>
      <c r="AF601" s="53"/>
      <c r="AG601" s="53"/>
      <c r="AH601" s="53"/>
      <c r="AI601" s="53"/>
      <c r="AJ601" s="53"/>
      <c r="AK601" s="53"/>
      <c r="AL601" s="53"/>
      <c r="AM601" s="53"/>
    </row>
    <row r="602" spans="1:39" ht="13" x14ac:dyDescent="0.15">
      <c r="A602" s="43"/>
      <c r="B602" s="43" t="s">
        <v>1892</v>
      </c>
      <c r="C602" s="43" t="s">
        <v>1893</v>
      </c>
      <c r="D602" s="43" t="s">
        <v>1879</v>
      </c>
      <c r="E602" s="43"/>
      <c r="F602" s="43"/>
      <c r="G602" s="43"/>
      <c r="H602" s="43"/>
      <c r="I602" s="43"/>
      <c r="J602" s="43"/>
      <c r="K602" s="43"/>
      <c r="L602" s="43"/>
      <c r="M602" s="43"/>
      <c r="N602" s="43"/>
      <c r="O602" s="43"/>
      <c r="P602" s="43"/>
      <c r="Q602" s="43"/>
      <c r="R602" s="43">
        <v>1</v>
      </c>
      <c r="S602" s="43"/>
      <c r="T602" s="43"/>
      <c r="U602" s="43"/>
      <c r="V602" s="49"/>
      <c r="W602" s="49"/>
      <c r="X602" s="53"/>
      <c r="Y602" s="53"/>
      <c r="Z602" s="53"/>
      <c r="AA602" s="53"/>
      <c r="AB602" s="53"/>
      <c r="AC602" s="53"/>
      <c r="AD602" s="53"/>
      <c r="AE602" s="53"/>
      <c r="AF602" s="53"/>
      <c r="AG602" s="53"/>
      <c r="AH602" s="53"/>
      <c r="AI602" s="53"/>
      <c r="AJ602" s="53"/>
      <c r="AK602" s="53"/>
      <c r="AL602" s="53"/>
      <c r="AM602" s="53"/>
    </row>
    <row r="603" spans="1:39" ht="13" x14ac:dyDescent="0.15">
      <c r="A603" s="43"/>
      <c r="B603" s="43" t="s">
        <v>1894</v>
      </c>
      <c r="C603" s="43" t="s">
        <v>1895</v>
      </c>
      <c r="D603" s="43" t="s">
        <v>1879</v>
      </c>
      <c r="E603" s="43"/>
      <c r="F603" s="43"/>
      <c r="G603" s="43"/>
      <c r="H603" s="43"/>
      <c r="I603" s="43"/>
      <c r="J603" s="43"/>
      <c r="K603" s="43"/>
      <c r="L603" s="43"/>
      <c r="M603" s="43"/>
      <c r="N603" s="43"/>
      <c r="O603" s="43"/>
      <c r="P603" s="43"/>
      <c r="Q603" s="43"/>
      <c r="R603" s="43">
        <v>1</v>
      </c>
      <c r="S603" s="43"/>
      <c r="T603" s="43"/>
      <c r="U603" s="43"/>
      <c r="V603" s="49"/>
      <c r="W603" s="49"/>
      <c r="X603" s="53"/>
      <c r="Y603" s="53"/>
      <c r="Z603" s="53"/>
      <c r="AA603" s="53"/>
      <c r="AB603" s="53"/>
      <c r="AC603" s="53"/>
      <c r="AD603" s="53"/>
      <c r="AE603" s="53"/>
      <c r="AF603" s="53"/>
      <c r="AG603" s="53"/>
      <c r="AH603" s="53"/>
      <c r="AI603" s="53"/>
      <c r="AJ603" s="53"/>
      <c r="AK603" s="53"/>
      <c r="AL603" s="53"/>
      <c r="AM603" s="53"/>
    </row>
    <row r="604" spans="1:39" ht="13" x14ac:dyDescent="0.15">
      <c r="A604" s="43"/>
      <c r="B604" s="43" t="s">
        <v>1896</v>
      </c>
      <c r="C604" s="43" t="s">
        <v>1897</v>
      </c>
      <c r="D604" s="43" t="s">
        <v>1898</v>
      </c>
      <c r="E604" s="43"/>
      <c r="F604" s="43" t="s">
        <v>1507</v>
      </c>
      <c r="G604" s="43"/>
      <c r="H604" s="43"/>
      <c r="I604" s="43"/>
      <c r="J604" s="43"/>
      <c r="K604" s="43"/>
      <c r="L604" s="43"/>
      <c r="M604" s="43"/>
      <c r="N604" s="43"/>
      <c r="O604" s="43"/>
      <c r="P604" s="43"/>
      <c r="Q604" s="43"/>
      <c r="R604" s="43">
        <v>0</v>
      </c>
      <c r="S604" s="43"/>
      <c r="T604" s="43"/>
      <c r="U604" s="43" t="s">
        <v>1530</v>
      </c>
      <c r="V604" s="49"/>
      <c r="W604" s="49"/>
      <c r="X604" s="53">
        <v>53.88</v>
      </c>
      <c r="Y604" s="53">
        <v>1882</v>
      </c>
      <c r="Z604" s="53" t="s">
        <v>1535</v>
      </c>
      <c r="AA604" s="53"/>
      <c r="AB604" s="53"/>
      <c r="AC604" s="53"/>
      <c r="AD604" s="53"/>
      <c r="AE604" s="53"/>
      <c r="AF604" s="53"/>
      <c r="AG604" s="53"/>
      <c r="AH604" s="53"/>
      <c r="AI604" s="53"/>
      <c r="AJ604" s="53"/>
      <c r="AK604" s="53"/>
      <c r="AL604" s="53"/>
      <c r="AM604" s="53"/>
    </row>
    <row r="605" spans="1:39" ht="13" x14ac:dyDescent="0.15">
      <c r="A605" s="43"/>
      <c r="B605" s="43" t="s">
        <v>1899</v>
      </c>
      <c r="C605" s="43" t="s">
        <v>1900</v>
      </c>
      <c r="D605" s="43" t="s">
        <v>1898</v>
      </c>
      <c r="E605" s="43"/>
      <c r="F605" s="43" t="s">
        <v>1507</v>
      </c>
      <c r="G605" s="43"/>
      <c r="H605" s="43"/>
      <c r="I605" s="43"/>
      <c r="J605" s="43"/>
      <c r="K605" s="43"/>
      <c r="L605" s="43"/>
      <c r="M605" s="43"/>
      <c r="N605" s="43"/>
      <c r="O605" s="43"/>
      <c r="P605" s="43"/>
      <c r="Q605" s="43"/>
      <c r="R605" s="43">
        <v>0</v>
      </c>
      <c r="S605" s="43"/>
      <c r="T605" s="43"/>
      <c r="U605" s="43" t="s">
        <v>1530</v>
      </c>
      <c r="V605" s="49"/>
      <c r="W605" s="49"/>
      <c r="X605" s="53">
        <v>51.3</v>
      </c>
      <c r="Y605" s="53">
        <v>616</v>
      </c>
      <c r="Z605" s="53" t="s">
        <v>1531</v>
      </c>
      <c r="AA605" s="53"/>
      <c r="AB605" s="53"/>
      <c r="AC605" s="53"/>
      <c r="AD605" s="53"/>
      <c r="AE605" s="53"/>
      <c r="AF605" s="53"/>
      <c r="AG605" s="53"/>
      <c r="AH605" s="53"/>
      <c r="AI605" s="53"/>
      <c r="AJ605" s="53"/>
      <c r="AK605" s="53"/>
      <c r="AL605" s="53"/>
      <c r="AM605" s="53"/>
    </row>
    <row r="606" spans="1:39" ht="13" x14ac:dyDescent="0.15">
      <c r="A606" s="43"/>
      <c r="B606" s="43" t="s">
        <v>1901</v>
      </c>
      <c r="C606" s="43" t="s">
        <v>1902</v>
      </c>
      <c r="D606" s="43" t="s">
        <v>1898</v>
      </c>
      <c r="E606" s="43"/>
      <c r="F606" s="43" t="s">
        <v>1504</v>
      </c>
      <c r="G606" s="43"/>
      <c r="H606" s="43"/>
      <c r="I606" s="43"/>
      <c r="J606" s="43"/>
      <c r="K606" s="43"/>
      <c r="L606" s="43"/>
      <c r="M606" s="43"/>
      <c r="N606" s="43"/>
      <c r="O606" s="43"/>
      <c r="P606" s="43"/>
      <c r="Q606" s="43"/>
      <c r="R606" s="43">
        <v>0</v>
      </c>
      <c r="S606" s="43"/>
      <c r="T606" s="43"/>
      <c r="U606" s="43" t="s">
        <v>1530</v>
      </c>
      <c r="V606" s="49"/>
      <c r="W606" s="49"/>
      <c r="X606" s="53">
        <v>65.95</v>
      </c>
      <c r="Y606" s="53">
        <v>383</v>
      </c>
      <c r="Z606" s="53" t="s">
        <v>1531</v>
      </c>
      <c r="AA606" s="53"/>
      <c r="AB606" s="53"/>
      <c r="AC606" s="53"/>
      <c r="AD606" s="53"/>
      <c r="AE606" s="53"/>
      <c r="AF606" s="53"/>
      <c r="AG606" s="53"/>
      <c r="AH606" s="53"/>
      <c r="AI606" s="53"/>
      <c r="AJ606" s="53"/>
      <c r="AK606" s="53"/>
      <c r="AL606" s="53"/>
      <c r="AM606" s="53"/>
    </row>
    <row r="607" spans="1:39" ht="13" x14ac:dyDescent="0.15">
      <c r="A607" s="43"/>
      <c r="B607" s="43" t="s">
        <v>1903</v>
      </c>
      <c r="C607" s="43" t="s">
        <v>1904</v>
      </c>
      <c r="D607" s="43" t="s">
        <v>1898</v>
      </c>
      <c r="E607" s="43"/>
      <c r="F607" s="43" t="s">
        <v>1507</v>
      </c>
      <c r="G607" s="43"/>
      <c r="H607" s="43"/>
      <c r="I607" s="43"/>
      <c r="J607" s="43"/>
      <c r="K607" s="43"/>
      <c r="L607" s="43"/>
      <c r="M607" s="43"/>
      <c r="N607" s="43"/>
      <c r="O607" s="43"/>
      <c r="P607" s="43"/>
      <c r="Q607" s="43"/>
      <c r="R607" s="43">
        <v>1</v>
      </c>
      <c r="S607" s="43"/>
      <c r="T607" s="43"/>
      <c r="U607" s="43" t="s">
        <v>1530</v>
      </c>
      <c r="V607" s="49"/>
      <c r="W607" s="49"/>
      <c r="X607" s="53">
        <v>62.67</v>
      </c>
      <c r="Y607" s="53">
        <v>524</v>
      </c>
      <c r="Z607" s="53" t="s">
        <v>1531</v>
      </c>
      <c r="AA607" s="53"/>
      <c r="AB607" s="53"/>
      <c r="AC607" s="53"/>
      <c r="AD607" s="53"/>
      <c r="AE607" s="53"/>
      <c r="AF607" s="53"/>
      <c r="AG607" s="53"/>
      <c r="AH607" s="53"/>
      <c r="AI607" s="53"/>
      <c r="AJ607" s="53"/>
      <c r="AK607" s="53"/>
      <c r="AL607" s="53"/>
      <c r="AM607" s="53"/>
    </row>
    <row r="608" spans="1:39" ht="13" x14ac:dyDescent="0.15">
      <c r="A608" s="43"/>
      <c r="B608" s="43" t="s">
        <v>1905</v>
      </c>
      <c r="C608" s="43" t="s">
        <v>1906</v>
      </c>
      <c r="D608" s="43" t="s">
        <v>1898</v>
      </c>
      <c r="E608" s="43"/>
      <c r="F608" s="43" t="s">
        <v>1504</v>
      </c>
      <c r="G608" s="43"/>
      <c r="H608" s="43"/>
      <c r="I608" s="43"/>
      <c r="J608" s="43"/>
      <c r="K608" s="43"/>
      <c r="L608" s="43"/>
      <c r="M608" s="43"/>
      <c r="N608" s="43"/>
      <c r="O608" s="43"/>
      <c r="P608" s="43"/>
      <c r="Q608" s="43"/>
      <c r="R608" s="43">
        <v>1</v>
      </c>
      <c r="S608" s="43"/>
      <c r="T608" s="43"/>
      <c r="U608" s="43" t="s">
        <v>1530</v>
      </c>
      <c r="V608" s="49"/>
      <c r="W608" s="49"/>
      <c r="X608" s="53">
        <v>76.3</v>
      </c>
      <c r="Y608" s="53">
        <v>852</v>
      </c>
      <c r="Z608" s="53" t="s">
        <v>1531</v>
      </c>
      <c r="AA608" s="53"/>
      <c r="AB608" s="53"/>
      <c r="AC608" s="53"/>
      <c r="AD608" s="53"/>
      <c r="AE608" s="53"/>
      <c r="AF608" s="53"/>
      <c r="AG608" s="53"/>
      <c r="AH608" s="53"/>
      <c r="AI608" s="53"/>
      <c r="AJ608" s="53"/>
      <c r="AK608" s="53"/>
      <c r="AL608" s="53"/>
      <c r="AM608" s="53"/>
    </row>
    <row r="609" spans="1:39" ht="13" x14ac:dyDescent="0.15">
      <c r="A609" s="43"/>
      <c r="B609" s="43" t="s">
        <v>1907</v>
      </c>
      <c r="C609" s="43" t="s">
        <v>1908</v>
      </c>
      <c r="D609" s="43" t="s">
        <v>1898</v>
      </c>
      <c r="E609" s="43"/>
      <c r="F609" s="43" t="s">
        <v>1504</v>
      </c>
      <c r="G609" s="43"/>
      <c r="H609" s="43"/>
      <c r="I609" s="43"/>
      <c r="J609" s="43"/>
      <c r="K609" s="43"/>
      <c r="L609" s="43"/>
      <c r="M609" s="43"/>
      <c r="N609" s="43"/>
      <c r="O609" s="43"/>
      <c r="P609" s="43"/>
      <c r="Q609" s="43"/>
      <c r="R609" s="43">
        <v>0</v>
      </c>
      <c r="S609" s="43"/>
      <c r="T609" s="43"/>
      <c r="U609" s="43" t="s">
        <v>1530</v>
      </c>
      <c r="V609" s="49"/>
      <c r="W609" s="49"/>
      <c r="X609" s="53">
        <v>73.400000000000006</v>
      </c>
      <c r="Y609" s="53">
        <v>351</v>
      </c>
      <c r="Z609" s="53" t="s">
        <v>1531</v>
      </c>
      <c r="AA609" s="53"/>
      <c r="AB609" s="53"/>
      <c r="AC609" s="53"/>
      <c r="AD609" s="53"/>
      <c r="AE609" s="53"/>
      <c r="AF609" s="53"/>
      <c r="AG609" s="53"/>
      <c r="AH609" s="53"/>
      <c r="AI609" s="53"/>
      <c r="AJ609" s="53"/>
      <c r="AK609" s="53"/>
      <c r="AL609" s="53"/>
      <c r="AM609" s="53"/>
    </row>
    <row r="610" spans="1:39" ht="13" x14ac:dyDescent="0.15">
      <c r="A610" s="43"/>
      <c r="B610" s="43" t="s">
        <v>1909</v>
      </c>
      <c r="C610" s="43" t="s">
        <v>1910</v>
      </c>
      <c r="D610" s="43" t="s">
        <v>1898</v>
      </c>
      <c r="E610" s="43"/>
      <c r="F610" s="43" t="s">
        <v>1504</v>
      </c>
      <c r="G610" s="43"/>
      <c r="H610" s="43"/>
      <c r="I610" s="43"/>
      <c r="J610" s="43"/>
      <c r="K610" s="43"/>
      <c r="L610" s="43"/>
      <c r="M610" s="43"/>
      <c r="N610" s="43"/>
      <c r="O610" s="43"/>
      <c r="P610" s="43"/>
      <c r="Q610" s="43"/>
      <c r="R610" s="43">
        <v>1</v>
      </c>
      <c r="S610" s="43"/>
      <c r="T610" s="43"/>
      <c r="U610" s="43" t="s">
        <v>1530</v>
      </c>
      <c r="V610" s="49"/>
      <c r="W610" s="49"/>
      <c r="X610" s="53">
        <v>65.400000000000006</v>
      </c>
      <c r="Y610" s="53">
        <v>404</v>
      </c>
      <c r="Z610" s="53" t="s">
        <v>1531</v>
      </c>
      <c r="AA610" s="53"/>
      <c r="AB610" s="53"/>
      <c r="AC610" s="53"/>
      <c r="AD610" s="53"/>
      <c r="AE610" s="53"/>
      <c r="AF610" s="53"/>
      <c r="AG610" s="53"/>
      <c r="AH610" s="53"/>
      <c r="AI610" s="53"/>
      <c r="AJ610" s="53"/>
      <c r="AK610" s="53"/>
      <c r="AL610" s="53"/>
      <c r="AM610" s="53"/>
    </row>
    <row r="611" spans="1:39" ht="13" x14ac:dyDescent="0.15">
      <c r="A611" s="43"/>
      <c r="B611" s="43" t="s">
        <v>1911</v>
      </c>
      <c r="C611" s="43" t="s">
        <v>1912</v>
      </c>
      <c r="D611" s="43" t="s">
        <v>1898</v>
      </c>
      <c r="E611" s="43"/>
      <c r="F611" s="43" t="s">
        <v>1504</v>
      </c>
      <c r="G611" s="43"/>
      <c r="H611" s="43"/>
      <c r="I611" s="43"/>
      <c r="J611" s="43"/>
      <c r="K611" s="43"/>
      <c r="L611" s="43"/>
      <c r="M611" s="43"/>
      <c r="N611" s="43"/>
      <c r="O611" s="43"/>
      <c r="P611" s="43"/>
      <c r="Q611" s="43"/>
      <c r="R611" s="43">
        <v>0</v>
      </c>
      <c r="S611" s="43"/>
      <c r="T611" s="43"/>
      <c r="U611" s="43" t="s">
        <v>1530</v>
      </c>
      <c r="V611" s="49"/>
      <c r="W611" s="49"/>
      <c r="X611" s="53">
        <v>63.2</v>
      </c>
      <c r="Y611" s="53">
        <v>373</v>
      </c>
      <c r="Z611" s="53" t="s">
        <v>1531</v>
      </c>
      <c r="AA611" s="53"/>
      <c r="AB611" s="53"/>
      <c r="AC611" s="53"/>
      <c r="AD611" s="53"/>
      <c r="AE611" s="53"/>
      <c r="AF611" s="53"/>
      <c r="AG611" s="53"/>
      <c r="AH611" s="53"/>
      <c r="AI611" s="53"/>
      <c r="AJ611" s="53"/>
      <c r="AK611" s="53"/>
      <c r="AL611" s="53"/>
      <c r="AM611" s="53"/>
    </row>
    <row r="612" spans="1:39" ht="13" x14ac:dyDescent="0.15">
      <c r="A612" s="43"/>
      <c r="B612" s="43" t="s">
        <v>1913</v>
      </c>
      <c r="C612" s="43" t="s">
        <v>1914</v>
      </c>
      <c r="D612" s="43" t="s">
        <v>1898</v>
      </c>
      <c r="E612" s="43"/>
      <c r="F612" s="43" t="s">
        <v>1504</v>
      </c>
      <c r="G612" s="43"/>
      <c r="H612" s="43"/>
      <c r="I612" s="43"/>
      <c r="J612" s="43"/>
      <c r="K612" s="43"/>
      <c r="L612" s="43"/>
      <c r="M612" s="43"/>
      <c r="N612" s="43"/>
      <c r="O612" s="43"/>
      <c r="P612" s="43"/>
      <c r="Q612" s="43"/>
      <c r="R612" s="43">
        <v>0</v>
      </c>
      <c r="S612" s="43"/>
      <c r="T612" s="43"/>
      <c r="U612" s="43" t="s">
        <v>1530</v>
      </c>
      <c r="V612" s="49"/>
      <c r="W612" s="49"/>
      <c r="X612" s="53">
        <v>57.63</v>
      </c>
      <c r="Y612" s="53">
        <v>93</v>
      </c>
      <c r="Z612" s="53" t="s">
        <v>1536</v>
      </c>
      <c r="AA612" s="53"/>
      <c r="AB612" s="53"/>
      <c r="AC612" s="53"/>
      <c r="AD612" s="53"/>
      <c r="AE612" s="53"/>
      <c r="AF612" s="53"/>
      <c r="AG612" s="53"/>
      <c r="AH612" s="53"/>
      <c r="AI612" s="53"/>
      <c r="AJ612" s="53"/>
      <c r="AK612" s="53"/>
      <c r="AL612" s="53"/>
      <c r="AM612" s="53"/>
    </row>
    <row r="613" spans="1:39" ht="13" x14ac:dyDescent="0.15">
      <c r="A613" s="43"/>
      <c r="B613" s="43" t="s">
        <v>1915</v>
      </c>
      <c r="C613" s="43" t="s">
        <v>1916</v>
      </c>
      <c r="D613" s="43" t="s">
        <v>1898</v>
      </c>
      <c r="E613" s="43"/>
      <c r="F613" s="43" t="s">
        <v>1504</v>
      </c>
      <c r="G613" s="43"/>
      <c r="H613" s="43"/>
      <c r="I613" s="43"/>
      <c r="J613" s="43"/>
      <c r="K613" s="43"/>
      <c r="L613" s="43"/>
      <c r="M613" s="43"/>
      <c r="N613" s="43"/>
      <c r="O613" s="43"/>
      <c r="P613" s="43"/>
      <c r="Q613" s="43"/>
      <c r="R613" s="43">
        <v>0</v>
      </c>
      <c r="S613" s="43"/>
      <c r="T613" s="43"/>
      <c r="U613" s="43" t="s">
        <v>1530</v>
      </c>
      <c r="V613" s="49"/>
      <c r="W613" s="49"/>
      <c r="X613" s="53">
        <v>59.89</v>
      </c>
      <c r="Y613" s="53">
        <v>518</v>
      </c>
      <c r="Z613" s="53" t="s">
        <v>1536</v>
      </c>
      <c r="AA613" s="53"/>
      <c r="AB613" s="53"/>
      <c r="AC613" s="53"/>
      <c r="AD613" s="53"/>
      <c r="AE613" s="53"/>
      <c r="AF613" s="53"/>
      <c r="AG613" s="53"/>
      <c r="AH613" s="53"/>
      <c r="AI613" s="53"/>
      <c r="AJ613" s="53"/>
      <c r="AK613" s="53"/>
      <c r="AL613" s="53"/>
      <c r="AM613" s="53"/>
    </row>
    <row r="614" spans="1:39" ht="13" x14ac:dyDescent="0.15">
      <c r="A614" s="43"/>
      <c r="B614" s="43" t="s">
        <v>1917</v>
      </c>
      <c r="C614" s="43" t="s">
        <v>1918</v>
      </c>
      <c r="D614" s="43" t="s">
        <v>1898</v>
      </c>
      <c r="E614" s="43"/>
      <c r="F614" s="43" t="s">
        <v>1507</v>
      </c>
      <c r="G614" s="43"/>
      <c r="H614" s="43"/>
      <c r="I614" s="43"/>
      <c r="J614" s="43"/>
      <c r="K614" s="43"/>
      <c r="L614" s="43"/>
      <c r="M614" s="43"/>
      <c r="N614" s="43"/>
      <c r="O614" s="43"/>
      <c r="P614" s="43"/>
      <c r="Q614" s="43"/>
      <c r="R614" s="43">
        <v>1</v>
      </c>
      <c r="S614" s="43"/>
      <c r="T614" s="43"/>
      <c r="U614" s="43" t="s">
        <v>1530</v>
      </c>
      <c r="V614" s="49"/>
      <c r="W614" s="49"/>
      <c r="X614" s="53">
        <v>63.36</v>
      </c>
      <c r="Y614" s="53" t="s">
        <v>1535</v>
      </c>
      <c r="Z614" s="53" t="s">
        <v>1531</v>
      </c>
      <c r="AA614" s="53"/>
      <c r="AB614" s="53"/>
      <c r="AC614" s="53"/>
      <c r="AD614" s="53"/>
      <c r="AE614" s="53"/>
      <c r="AF614" s="53"/>
      <c r="AG614" s="53"/>
      <c r="AH614" s="53"/>
      <c r="AI614" s="53"/>
      <c r="AJ614" s="53"/>
      <c r="AK614" s="53"/>
      <c r="AL614" s="53"/>
      <c r="AM614" s="53"/>
    </row>
    <row r="615" spans="1:39" ht="13" x14ac:dyDescent="0.15">
      <c r="A615" s="43"/>
      <c r="B615" s="43" t="s">
        <v>1919</v>
      </c>
      <c r="C615" s="43" t="s">
        <v>1920</v>
      </c>
      <c r="D615" s="43" t="s">
        <v>1898</v>
      </c>
      <c r="E615" s="43"/>
      <c r="F615" s="43" t="s">
        <v>1504</v>
      </c>
      <c r="G615" s="43"/>
      <c r="H615" s="43"/>
      <c r="I615" s="43"/>
      <c r="J615" s="43"/>
      <c r="K615" s="43"/>
      <c r="L615" s="43"/>
      <c r="M615" s="43"/>
      <c r="N615" s="43"/>
      <c r="O615" s="43"/>
      <c r="P615" s="43"/>
      <c r="Q615" s="43"/>
      <c r="R615" s="43">
        <v>1</v>
      </c>
      <c r="S615" s="43"/>
      <c r="T615" s="43"/>
      <c r="U615" s="43" t="s">
        <v>1530</v>
      </c>
      <c r="V615" s="49"/>
      <c r="W615" s="49"/>
      <c r="X615" s="53">
        <v>80.459999999999994</v>
      </c>
      <c r="Y615" s="53" t="s">
        <v>1535</v>
      </c>
      <c r="Z615" s="53" t="s">
        <v>1536</v>
      </c>
      <c r="AA615" s="53"/>
      <c r="AB615" s="53"/>
      <c r="AC615" s="53"/>
      <c r="AD615" s="53"/>
      <c r="AE615" s="53"/>
      <c r="AF615" s="53"/>
      <c r="AG615" s="53"/>
      <c r="AH615" s="53"/>
      <c r="AI615" s="53"/>
      <c r="AJ615" s="53"/>
      <c r="AK615" s="53"/>
      <c r="AL615" s="53"/>
      <c r="AM615" s="53"/>
    </row>
    <row r="616" spans="1:39" ht="13" x14ac:dyDescent="0.15">
      <c r="A616" s="43"/>
      <c r="B616" s="43" t="s">
        <v>1921</v>
      </c>
      <c r="C616" s="43" t="s">
        <v>1922</v>
      </c>
      <c r="D616" s="43" t="s">
        <v>1898</v>
      </c>
      <c r="E616" s="43"/>
      <c r="F616" s="43" t="s">
        <v>1507</v>
      </c>
      <c r="G616" s="43"/>
      <c r="H616" s="43"/>
      <c r="I616" s="43"/>
      <c r="J616" s="43"/>
      <c r="K616" s="43"/>
      <c r="L616" s="43"/>
      <c r="M616" s="43"/>
      <c r="N616" s="43"/>
      <c r="O616" s="43"/>
      <c r="P616" s="43"/>
      <c r="Q616" s="43"/>
      <c r="R616" s="43">
        <v>1</v>
      </c>
      <c r="S616" s="43"/>
      <c r="T616" s="43"/>
      <c r="U616" s="43" t="s">
        <v>1530</v>
      </c>
      <c r="V616" s="49"/>
      <c r="W616" s="49"/>
      <c r="X616" s="53">
        <v>53.04</v>
      </c>
      <c r="Y616" s="53" t="s">
        <v>1535</v>
      </c>
      <c r="Z616" s="53" t="s">
        <v>1531</v>
      </c>
      <c r="AA616" s="53"/>
      <c r="AB616" s="53"/>
      <c r="AC616" s="53"/>
      <c r="AD616" s="53"/>
      <c r="AE616" s="53"/>
      <c r="AF616" s="53"/>
      <c r="AG616" s="53"/>
      <c r="AH616" s="53"/>
      <c r="AI616" s="53"/>
      <c r="AJ616" s="53"/>
      <c r="AK616" s="53"/>
      <c r="AL616" s="53"/>
      <c r="AM616" s="53"/>
    </row>
    <row r="617" spans="1:39" ht="13" x14ac:dyDescent="0.15">
      <c r="A617" s="43"/>
      <c r="B617" s="43" t="s">
        <v>1923</v>
      </c>
      <c r="C617" s="43" t="s">
        <v>1924</v>
      </c>
      <c r="D617" s="43" t="s">
        <v>1898</v>
      </c>
      <c r="E617" s="43"/>
      <c r="F617" s="43" t="s">
        <v>1507</v>
      </c>
      <c r="G617" s="43"/>
      <c r="H617" s="43"/>
      <c r="I617" s="43"/>
      <c r="J617" s="43"/>
      <c r="K617" s="43"/>
      <c r="L617" s="43"/>
      <c r="M617" s="43"/>
      <c r="N617" s="43"/>
      <c r="O617" s="43"/>
      <c r="P617" s="43"/>
      <c r="Q617" s="43"/>
      <c r="R617" s="43">
        <v>0</v>
      </c>
      <c r="S617" s="43"/>
      <c r="T617" s="43"/>
      <c r="U617" s="43" t="s">
        <v>1530</v>
      </c>
      <c r="V617" s="49"/>
      <c r="W617" s="49"/>
      <c r="X617" s="53">
        <v>79.94</v>
      </c>
      <c r="Y617" s="53">
        <v>125</v>
      </c>
      <c r="Z617" s="53" t="s">
        <v>1531</v>
      </c>
      <c r="AA617" s="53"/>
      <c r="AB617" s="53"/>
      <c r="AC617" s="53"/>
      <c r="AD617" s="53"/>
      <c r="AE617" s="53"/>
      <c r="AF617" s="53"/>
      <c r="AG617" s="53"/>
      <c r="AH617" s="53"/>
      <c r="AI617" s="53"/>
      <c r="AJ617" s="53"/>
      <c r="AK617" s="53"/>
      <c r="AL617" s="53"/>
      <c r="AM617" s="53"/>
    </row>
    <row r="618" spans="1:39" ht="13" x14ac:dyDescent="0.15">
      <c r="A618" s="43"/>
      <c r="B618" s="43" t="s">
        <v>1925</v>
      </c>
      <c r="C618" s="43" t="s">
        <v>1926</v>
      </c>
      <c r="D618" s="43" t="s">
        <v>1898</v>
      </c>
      <c r="E618" s="43"/>
      <c r="F618" s="43" t="s">
        <v>1507</v>
      </c>
      <c r="G618" s="43"/>
      <c r="H618" s="43"/>
      <c r="I618" s="43"/>
      <c r="J618" s="43"/>
      <c r="K618" s="43"/>
      <c r="L618" s="43"/>
      <c r="M618" s="43"/>
      <c r="N618" s="43"/>
      <c r="O618" s="43"/>
      <c r="P618" s="43"/>
      <c r="Q618" s="43"/>
      <c r="R618" s="43">
        <v>1</v>
      </c>
      <c r="S618" s="43"/>
      <c r="T618" s="43"/>
      <c r="U618" s="43" t="s">
        <v>1530</v>
      </c>
      <c r="V618" s="49"/>
      <c r="W618" s="49"/>
      <c r="X618" s="53">
        <v>47.21</v>
      </c>
      <c r="Y618" s="53">
        <v>264</v>
      </c>
      <c r="Z618" s="53" t="s">
        <v>1536</v>
      </c>
      <c r="AA618" s="53"/>
      <c r="AB618" s="53"/>
      <c r="AC618" s="53"/>
      <c r="AD618" s="53"/>
      <c r="AE618" s="53"/>
      <c r="AF618" s="53"/>
      <c r="AG618" s="53"/>
      <c r="AH618" s="53"/>
      <c r="AI618" s="53"/>
      <c r="AJ618" s="53"/>
      <c r="AK618" s="53"/>
      <c r="AL618" s="53"/>
      <c r="AM618" s="53"/>
    </row>
    <row r="619" spans="1:39" ht="13" x14ac:dyDescent="0.15">
      <c r="A619" s="43"/>
      <c r="B619" s="43" t="s">
        <v>1927</v>
      </c>
      <c r="C619" s="43" t="s">
        <v>1928</v>
      </c>
      <c r="D619" s="43" t="s">
        <v>1898</v>
      </c>
      <c r="E619" s="43"/>
      <c r="F619" s="43" t="s">
        <v>1504</v>
      </c>
      <c r="G619" s="43"/>
      <c r="H619" s="43"/>
      <c r="I619" s="43"/>
      <c r="J619" s="43"/>
      <c r="K619" s="43"/>
      <c r="L619" s="43"/>
      <c r="M619" s="43"/>
      <c r="N619" s="43"/>
      <c r="O619" s="43"/>
      <c r="P619" s="43"/>
      <c r="Q619" s="43"/>
      <c r="R619" s="43">
        <v>1</v>
      </c>
      <c r="S619" s="43"/>
      <c r="T619" s="43"/>
      <c r="U619" s="43" t="s">
        <v>1552</v>
      </c>
      <c r="V619" s="49"/>
      <c r="W619" s="49"/>
      <c r="X619" s="53">
        <v>25.48</v>
      </c>
      <c r="Y619" s="53" t="s">
        <v>1535</v>
      </c>
      <c r="Z619" s="53" t="s">
        <v>1531</v>
      </c>
      <c r="AA619" s="53"/>
      <c r="AB619" s="53"/>
      <c r="AC619" s="53"/>
      <c r="AD619" s="53"/>
      <c r="AE619" s="53"/>
      <c r="AF619" s="53"/>
      <c r="AG619" s="53"/>
      <c r="AH619" s="53"/>
      <c r="AI619" s="53"/>
      <c r="AJ619" s="53"/>
      <c r="AK619" s="53"/>
      <c r="AL619" s="53"/>
      <c r="AM619" s="53"/>
    </row>
    <row r="620" spans="1:39" ht="13" x14ac:dyDescent="0.15">
      <c r="A620" s="43"/>
      <c r="B620" s="43" t="s">
        <v>1929</v>
      </c>
      <c r="C620" s="43" t="s">
        <v>1930</v>
      </c>
      <c r="D620" s="43" t="s">
        <v>1898</v>
      </c>
      <c r="E620" s="43"/>
      <c r="F620" s="43" t="s">
        <v>1504</v>
      </c>
      <c r="G620" s="43"/>
      <c r="H620" s="43"/>
      <c r="I620" s="43"/>
      <c r="J620" s="43"/>
      <c r="K620" s="43"/>
      <c r="L620" s="43"/>
      <c r="M620" s="43"/>
      <c r="N620" s="43"/>
      <c r="O620" s="43"/>
      <c r="P620" s="43"/>
      <c r="Q620" s="43"/>
      <c r="R620" s="43">
        <v>0</v>
      </c>
      <c r="S620" s="43"/>
      <c r="T620" s="43"/>
      <c r="U620" s="43" t="s">
        <v>1530</v>
      </c>
      <c r="V620" s="49"/>
      <c r="W620" s="49"/>
      <c r="X620" s="53">
        <v>38.9</v>
      </c>
      <c r="Y620" s="53">
        <v>693</v>
      </c>
      <c r="Z620" s="53" t="s">
        <v>1531</v>
      </c>
      <c r="AA620" s="53"/>
      <c r="AB620" s="53"/>
      <c r="AC620" s="53"/>
      <c r="AD620" s="53"/>
      <c r="AE620" s="53"/>
      <c r="AF620" s="53"/>
      <c r="AG620" s="53"/>
      <c r="AH620" s="53"/>
      <c r="AI620" s="53"/>
      <c r="AJ620" s="53"/>
      <c r="AK620" s="53"/>
      <c r="AL620" s="53"/>
      <c r="AM620" s="53"/>
    </row>
    <row r="621" spans="1:39" ht="13" x14ac:dyDescent="0.15">
      <c r="A621" s="43"/>
      <c r="B621" s="43" t="s">
        <v>1931</v>
      </c>
      <c r="C621" s="43" t="s">
        <v>1932</v>
      </c>
      <c r="D621" s="43" t="s">
        <v>1898</v>
      </c>
      <c r="E621" s="43"/>
      <c r="F621" s="43" t="s">
        <v>1504</v>
      </c>
      <c r="G621" s="43"/>
      <c r="H621" s="43"/>
      <c r="I621" s="43"/>
      <c r="J621" s="43"/>
      <c r="K621" s="43"/>
      <c r="L621" s="43"/>
      <c r="M621" s="43"/>
      <c r="N621" s="43"/>
      <c r="O621" s="43"/>
      <c r="P621" s="43"/>
      <c r="Q621" s="43"/>
      <c r="R621" s="43">
        <v>0</v>
      </c>
      <c r="S621" s="43"/>
      <c r="T621" s="43"/>
      <c r="U621" s="43" t="s">
        <v>1530</v>
      </c>
      <c r="V621" s="49"/>
      <c r="W621" s="49"/>
      <c r="X621" s="53">
        <v>68.86</v>
      </c>
      <c r="Y621" s="53">
        <v>175</v>
      </c>
      <c r="Z621" s="53" t="s">
        <v>1531</v>
      </c>
      <c r="AA621" s="53"/>
      <c r="AB621" s="53"/>
      <c r="AC621" s="53"/>
      <c r="AD621" s="53"/>
      <c r="AE621" s="53"/>
      <c r="AF621" s="53"/>
      <c r="AG621" s="53"/>
      <c r="AH621" s="53"/>
      <c r="AI621" s="53"/>
      <c r="AJ621" s="53"/>
      <c r="AK621" s="53"/>
      <c r="AL621" s="53"/>
      <c r="AM621" s="53"/>
    </row>
    <row r="622" spans="1:39" ht="13" x14ac:dyDescent="0.15">
      <c r="A622" s="43"/>
      <c r="B622" s="43" t="s">
        <v>1933</v>
      </c>
      <c r="C622" s="43" t="s">
        <v>1934</v>
      </c>
      <c r="D622" s="43" t="s">
        <v>1898</v>
      </c>
      <c r="E622" s="43"/>
      <c r="F622" s="43" t="s">
        <v>1504</v>
      </c>
      <c r="G622" s="43"/>
      <c r="H622" s="43"/>
      <c r="I622" s="43"/>
      <c r="J622" s="43"/>
      <c r="K622" s="43"/>
      <c r="L622" s="43"/>
      <c r="M622" s="43"/>
      <c r="N622" s="43"/>
      <c r="O622" s="43"/>
      <c r="P622" s="43"/>
      <c r="Q622" s="43"/>
      <c r="R622" s="43">
        <v>0</v>
      </c>
      <c r="S622" s="43"/>
      <c r="T622" s="43"/>
      <c r="U622" s="43" t="s">
        <v>1530</v>
      </c>
      <c r="V622" s="49"/>
      <c r="W622" s="49"/>
      <c r="X622" s="53">
        <v>69.17</v>
      </c>
      <c r="Y622" s="53">
        <v>590</v>
      </c>
      <c r="Z622" s="53" t="s">
        <v>1531</v>
      </c>
      <c r="AA622" s="53"/>
      <c r="AB622" s="53"/>
      <c r="AC622" s="53"/>
      <c r="AD622" s="53"/>
      <c r="AE622" s="53"/>
      <c r="AF622" s="53"/>
      <c r="AG622" s="53"/>
      <c r="AH622" s="53"/>
      <c r="AI622" s="53"/>
      <c r="AJ622" s="53"/>
      <c r="AK622" s="53"/>
      <c r="AL622" s="53"/>
      <c r="AM622" s="53"/>
    </row>
    <row r="623" spans="1:39" ht="13" x14ac:dyDescent="0.15">
      <c r="A623" s="43"/>
      <c r="B623" s="43" t="s">
        <v>1935</v>
      </c>
      <c r="C623" s="43" t="s">
        <v>1936</v>
      </c>
      <c r="D623" s="43" t="s">
        <v>1898</v>
      </c>
      <c r="E623" s="43"/>
      <c r="F623" s="43" t="s">
        <v>1504</v>
      </c>
      <c r="G623" s="43"/>
      <c r="H623" s="43"/>
      <c r="I623" s="43"/>
      <c r="J623" s="43"/>
      <c r="K623" s="43"/>
      <c r="L623" s="43"/>
      <c r="M623" s="43"/>
      <c r="N623" s="43"/>
      <c r="O623" s="43"/>
      <c r="P623" s="43"/>
      <c r="Q623" s="43"/>
      <c r="R623" s="43">
        <v>0</v>
      </c>
      <c r="S623" s="43"/>
      <c r="T623" s="43"/>
      <c r="U623" s="43" t="s">
        <v>1530</v>
      </c>
      <c r="V623" s="49"/>
      <c r="W623" s="49"/>
      <c r="X623" s="53">
        <v>32.93</v>
      </c>
      <c r="Y623" s="53">
        <v>468</v>
      </c>
      <c r="Z623" s="53" t="s">
        <v>1531</v>
      </c>
      <c r="AA623" s="53"/>
      <c r="AB623" s="53"/>
      <c r="AC623" s="53"/>
      <c r="AD623" s="53"/>
      <c r="AE623" s="53"/>
      <c r="AF623" s="53"/>
      <c r="AG623" s="53"/>
      <c r="AH623" s="53"/>
      <c r="AI623" s="53"/>
      <c r="AJ623" s="53"/>
      <c r="AK623" s="53"/>
      <c r="AL623" s="53"/>
      <c r="AM623" s="53"/>
    </row>
    <row r="624" spans="1:39" ht="13" x14ac:dyDescent="0.15">
      <c r="A624" s="43"/>
      <c r="B624" s="43" t="s">
        <v>1937</v>
      </c>
      <c r="C624" s="43" t="s">
        <v>1938</v>
      </c>
      <c r="D624" s="43" t="s">
        <v>1898</v>
      </c>
      <c r="E624" s="43"/>
      <c r="F624" s="43" t="s">
        <v>1504</v>
      </c>
      <c r="G624" s="43"/>
      <c r="H624" s="43"/>
      <c r="I624" s="43"/>
      <c r="J624" s="43"/>
      <c r="K624" s="43"/>
      <c r="L624" s="43"/>
      <c r="M624" s="43"/>
      <c r="N624" s="43"/>
      <c r="O624" s="43"/>
      <c r="P624" s="43"/>
      <c r="Q624" s="43"/>
      <c r="R624" s="43">
        <v>1</v>
      </c>
      <c r="S624" s="43"/>
      <c r="T624" s="43"/>
      <c r="U624" s="43" t="s">
        <v>1530</v>
      </c>
      <c r="V624" s="49"/>
      <c r="W624" s="49"/>
      <c r="X624" s="53">
        <v>72.97</v>
      </c>
      <c r="Y624" s="53">
        <v>53</v>
      </c>
      <c r="Z624" s="53" t="s">
        <v>1531</v>
      </c>
      <c r="AA624" s="53"/>
      <c r="AB624" s="53"/>
      <c r="AC624" s="53"/>
      <c r="AD624" s="53"/>
      <c r="AE624" s="53"/>
      <c r="AF624" s="53"/>
      <c r="AG624" s="53"/>
      <c r="AH624" s="53"/>
      <c r="AI624" s="53"/>
      <c r="AJ624" s="53"/>
      <c r="AK624" s="53"/>
      <c r="AL624" s="53"/>
      <c r="AM624" s="53"/>
    </row>
    <row r="625" spans="1:39" ht="13" x14ac:dyDescent="0.15">
      <c r="A625" s="43"/>
      <c r="B625" s="43" t="s">
        <v>1939</v>
      </c>
      <c r="C625" s="43" t="s">
        <v>1940</v>
      </c>
      <c r="D625" s="43" t="s">
        <v>1898</v>
      </c>
      <c r="E625" s="43"/>
      <c r="F625" s="43" t="s">
        <v>1507</v>
      </c>
      <c r="G625" s="43"/>
      <c r="H625" s="43"/>
      <c r="I625" s="43"/>
      <c r="J625" s="43"/>
      <c r="K625" s="43"/>
      <c r="L625" s="43"/>
      <c r="M625" s="43"/>
      <c r="N625" s="43"/>
      <c r="O625" s="43"/>
      <c r="P625" s="43"/>
      <c r="Q625" s="43"/>
      <c r="R625" s="43">
        <v>1</v>
      </c>
      <c r="S625" s="43"/>
      <c r="T625" s="43"/>
      <c r="U625" s="43" t="s">
        <v>1530</v>
      </c>
      <c r="V625" s="49"/>
      <c r="W625" s="49"/>
      <c r="X625" s="53">
        <v>75.19</v>
      </c>
      <c r="Y625" s="53">
        <v>32</v>
      </c>
      <c r="Z625" s="53" t="s">
        <v>1536</v>
      </c>
      <c r="AA625" s="53"/>
      <c r="AB625" s="53"/>
      <c r="AC625" s="53"/>
      <c r="AD625" s="53"/>
      <c r="AE625" s="53"/>
      <c r="AF625" s="53"/>
      <c r="AG625" s="53"/>
      <c r="AH625" s="53"/>
      <c r="AI625" s="53"/>
      <c r="AJ625" s="53"/>
      <c r="AK625" s="53"/>
      <c r="AL625" s="53"/>
      <c r="AM625" s="53"/>
    </row>
    <row r="626" spans="1:39" ht="13" x14ac:dyDescent="0.15">
      <c r="A626" s="43"/>
      <c r="B626" s="43" t="s">
        <v>1941</v>
      </c>
      <c r="C626" s="43" t="s">
        <v>1942</v>
      </c>
      <c r="D626" s="43" t="s">
        <v>1898</v>
      </c>
      <c r="E626" s="43"/>
      <c r="F626" s="43" t="s">
        <v>1507</v>
      </c>
      <c r="G626" s="43"/>
      <c r="H626" s="43"/>
      <c r="I626" s="43"/>
      <c r="J626" s="43"/>
      <c r="K626" s="43"/>
      <c r="L626" s="43"/>
      <c r="M626" s="43"/>
      <c r="N626" s="43"/>
      <c r="O626" s="43"/>
      <c r="P626" s="43"/>
      <c r="Q626" s="43"/>
      <c r="R626" s="43">
        <v>0</v>
      </c>
      <c r="S626" s="43"/>
      <c r="T626" s="43"/>
      <c r="U626" s="43" t="s">
        <v>1530</v>
      </c>
      <c r="V626" s="49"/>
      <c r="W626" s="49"/>
      <c r="X626" s="53">
        <v>61.89</v>
      </c>
      <c r="Y626" s="53">
        <v>784</v>
      </c>
      <c r="Z626" s="53" t="s">
        <v>1531</v>
      </c>
      <c r="AA626" s="53"/>
      <c r="AB626" s="53"/>
      <c r="AC626" s="53"/>
      <c r="AD626" s="53"/>
      <c r="AE626" s="53"/>
      <c r="AF626" s="53"/>
      <c r="AG626" s="53"/>
      <c r="AH626" s="53"/>
      <c r="AI626" s="53"/>
      <c r="AJ626" s="53"/>
      <c r="AK626" s="53"/>
      <c r="AL626" s="53"/>
      <c r="AM626" s="53"/>
    </row>
    <row r="627" spans="1:39" ht="13" x14ac:dyDescent="0.15">
      <c r="A627" s="43"/>
      <c r="B627" s="43" t="s">
        <v>1943</v>
      </c>
      <c r="C627" s="43" t="s">
        <v>1944</v>
      </c>
      <c r="D627" s="43" t="s">
        <v>1898</v>
      </c>
      <c r="E627" s="43"/>
      <c r="F627" s="43" t="s">
        <v>1504</v>
      </c>
      <c r="G627" s="43"/>
      <c r="H627" s="43"/>
      <c r="I627" s="43"/>
      <c r="J627" s="43"/>
      <c r="K627" s="43"/>
      <c r="L627" s="43"/>
      <c r="M627" s="43"/>
      <c r="N627" s="43"/>
      <c r="O627" s="43"/>
      <c r="P627" s="43"/>
      <c r="Q627" s="43"/>
      <c r="R627" s="43">
        <v>1</v>
      </c>
      <c r="S627" s="43"/>
      <c r="T627" s="43"/>
      <c r="U627" s="43" t="s">
        <v>1530</v>
      </c>
      <c r="V627" s="49"/>
      <c r="W627" s="49"/>
      <c r="X627" s="53">
        <v>66.7</v>
      </c>
      <c r="Y627" s="53">
        <v>462</v>
      </c>
      <c r="Z627" s="53" t="s">
        <v>1531</v>
      </c>
      <c r="AA627" s="53"/>
      <c r="AB627" s="53"/>
      <c r="AC627" s="53"/>
      <c r="AD627" s="53"/>
      <c r="AE627" s="53"/>
      <c r="AF627" s="53"/>
      <c r="AG627" s="53"/>
      <c r="AH627" s="53"/>
      <c r="AI627" s="53"/>
      <c r="AJ627" s="53"/>
      <c r="AK627" s="53"/>
      <c r="AL627" s="53"/>
      <c r="AM627" s="53"/>
    </row>
    <row r="628" spans="1:39" ht="13" x14ac:dyDescent="0.15">
      <c r="A628" s="43"/>
      <c r="B628" s="43" t="s">
        <v>1945</v>
      </c>
      <c r="C628" s="43" t="s">
        <v>1946</v>
      </c>
      <c r="D628" s="43" t="s">
        <v>1898</v>
      </c>
      <c r="E628" s="43"/>
      <c r="F628" s="43" t="s">
        <v>1507</v>
      </c>
      <c r="G628" s="43"/>
      <c r="H628" s="43"/>
      <c r="I628" s="43"/>
      <c r="J628" s="43"/>
      <c r="K628" s="43"/>
      <c r="L628" s="43"/>
      <c r="M628" s="43"/>
      <c r="N628" s="43"/>
      <c r="O628" s="43"/>
      <c r="P628" s="43"/>
      <c r="Q628" s="43"/>
      <c r="R628" s="43">
        <v>0</v>
      </c>
      <c r="S628" s="43"/>
      <c r="T628" s="43"/>
      <c r="U628" s="43" t="s">
        <v>1530</v>
      </c>
      <c r="V628" s="49"/>
      <c r="W628" s="49"/>
      <c r="X628" s="53">
        <v>79.16</v>
      </c>
      <c r="Y628" s="53">
        <v>430</v>
      </c>
      <c r="Z628" s="53" t="s">
        <v>1531</v>
      </c>
      <c r="AA628" s="53"/>
      <c r="AB628" s="53"/>
      <c r="AC628" s="53"/>
      <c r="AD628" s="53"/>
      <c r="AE628" s="53"/>
      <c r="AF628" s="53"/>
      <c r="AG628" s="53"/>
      <c r="AH628" s="53"/>
      <c r="AI628" s="53"/>
      <c r="AJ628" s="53"/>
      <c r="AK628" s="53"/>
      <c r="AL628" s="53"/>
      <c r="AM628" s="53"/>
    </row>
    <row r="629" spans="1:39" ht="13" x14ac:dyDescent="0.15">
      <c r="A629" s="43"/>
      <c r="B629" s="43" t="s">
        <v>1947</v>
      </c>
      <c r="C629" s="43" t="s">
        <v>1948</v>
      </c>
      <c r="D629" s="43" t="s">
        <v>1898</v>
      </c>
      <c r="E629" s="43"/>
      <c r="F629" s="43" t="s">
        <v>1504</v>
      </c>
      <c r="G629" s="43"/>
      <c r="H629" s="43"/>
      <c r="I629" s="43"/>
      <c r="J629" s="43"/>
      <c r="K629" s="43"/>
      <c r="L629" s="43"/>
      <c r="M629" s="43"/>
      <c r="N629" s="43"/>
      <c r="O629" s="43"/>
      <c r="P629" s="43"/>
      <c r="Q629" s="43"/>
      <c r="R629" s="43">
        <v>0</v>
      </c>
      <c r="S629" s="43"/>
      <c r="T629" s="43"/>
      <c r="U629" s="43" t="s">
        <v>1530</v>
      </c>
      <c r="V629" s="49"/>
      <c r="W629" s="49"/>
      <c r="X629" s="53">
        <v>67.95</v>
      </c>
      <c r="Y629" s="53">
        <v>273</v>
      </c>
      <c r="Z629" s="53" t="s">
        <v>1536</v>
      </c>
      <c r="AA629" s="53"/>
      <c r="AB629" s="53"/>
      <c r="AC629" s="53"/>
      <c r="AD629" s="53"/>
      <c r="AE629" s="53"/>
      <c r="AF629" s="53"/>
      <c r="AG629" s="53"/>
      <c r="AH629" s="53"/>
      <c r="AI629" s="53"/>
      <c r="AJ629" s="53"/>
      <c r="AK629" s="53"/>
      <c r="AL629" s="53"/>
      <c r="AM629" s="53"/>
    </row>
    <row r="630" spans="1:39" ht="13" x14ac:dyDescent="0.15">
      <c r="A630" s="43"/>
      <c r="B630" s="43" t="s">
        <v>1949</v>
      </c>
      <c r="C630" s="43" t="s">
        <v>1950</v>
      </c>
      <c r="D630" s="43" t="s">
        <v>1898</v>
      </c>
      <c r="E630" s="43"/>
      <c r="F630" s="43" t="s">
        <v>1507</v>
      </c>
      <c r="G630" s="43"/>
      <c r="H630" s="43"/>
      <c r="I630" s="43"/>
      <c r="J630" s="43"/>
      <c r="K630" s="43"/>
      <c r="L630" s="43"/>
      <c r="M630" s="43"/>
      <c r="N630" s="43"/>
      <c r="O630" s="43"/>
      <c r="P630" s="43"/>
      <c r="Q630" s="43"/>
      <c r="R630" s="43">
        <v>0</v>
      </c>
      <c r="S630" s="43"/>
      <c r="T630" s="43"/>
      <c r="U630" s="43" t="s">
        <v>1530</v>
      </c>
      <c r="V630" s="49"/>
      <c r="W630" s="49"/>
      <c r="X630" s="53">
        <v>76.930000000000007</v>
      </c>
      <c r="Y630" s="53">
        <v>153</v>
      </c>
      <c r="Z630" s="53" t="s">
        <v>1531</v>
      </c>
      <c r="AA630" s="53"/>
      <c r="AB630" s="53"/>
      <c r="AC630" s="53"/>
      <c r="AD630" s="53"/>
      <c r="AE630" s="53"/>
      <c r="AF630" s="53"/>
      <c r="AG630" s="53"/>
      <c r="AH630" s="53"/>
      <c r="AI630" s="53"/>
      <c r="AJ630" s="53"/>
      <c r="AK630" s="53"/>
      <c r="AL630" s="53"/>
      <c r="AM630" s="53"/>
    </row>
    <row r="631" spans="1:39" ht="13" x14ac:dyDescent="0.15">
      <c r="A631" s="43"/>
      <c r="B631" s="43" t="s">
        <v>1951</v>
      </c>
      <c r="C631" s="43" t="s">
        <v>1952</v>
      </c>
      <c r="D631" s="43" t="s">
        <v>1898</v>
      </c>
      <c r="E631" s="43"/>
      <c r="F631" s="43" t="s">
        <v>1504</v>
      </c>
      <c r="G631" s="43"/>
      <c r="H631" s="43"/>
      <c r="I631" s="43"/>
      <c r="J631" s="43"/>
      <c r="K631" s="43"/>
      <c r="L631" s="43"/>
      <c r="M631" s="43"/>
      <c r="N631" s="43"/>
      <c r="O631" s="43"/>
      <c r="P631" s="43"/>
      <c r="Q631" s="43"/>
      <c r="R631" s="43">
        <v>0</v>
      </c>
      <c r="S631" s="43"/>
      <c r="T631" s="43"/>
      <c r="U631" s="43" t="s">
        <v>1530</v>
      </c>
      <c r="V631" s="49"/>
      <c r="W631" s="49"/>
      <c r="X631" s="53">
        <v>75.92</v>
      </c>
      <c r="Y631" s="53">
        <v>59</v>
      </c>
      <c r="Z631" s="53" t="s">
        <v>1535</v>
      </c>
      <c r="AA631" s="53"/>
      <c r="AB631" s="53"/>
      <c r="AC631" s="53"/>
      <c r="AD631" s="53"/>
      <c r="AE631" s="53"/>
      <c r="AF631" s="53"/>
      <c r="AG631" s="53"/>
      <c r="AH631" s="53"/>
      <c r="AI631" s="53"/>
      <c r="AJ631" s="53"/>
      <c r="AK631" s="53"/>
      <c r="AL631" s="53"/>
      <c r="AM631" s="53"/>
    </row>
    <row r="632" spans="1:39" ht="13" x14ac:dyDescent="0.15">
      <c r="A632" s="43"/>
      <c r="B632" s="43" t="s">
        <v>1953</v>
      </c>
      <c r="C632" s="43" t="s">
        <v>1954</v>
      </c>
      <c r="D632" s="43" t="s">
        <v>1898</v>
      </c>
      <c r="E632" s="43"/>
      <c r="F632" s="43" t="s">
        <v>1507</v>
      </c>
      <c r="G632" s="43"/>
      <c r="H632" s="43"/>
      <c r="I632" s="43"/>
      <c r="J632" s="43"/>
      <c r="K632" s="43"/>
      <c r="L632" s="43"/>
      <c r="M632" s="43"/>
      <c r="N632" s="43"/>
      <c r="O632" s="43"/>
      <c r="P632" s="43"/>
      <c r="Q632" s="43"/>
      <c r="R632" s="43">
        <v>0</v>
      </c>
      <c r="S632" s="43"/>
      <c r="T632" s="43"/>
      <c r="U632" s="43" t="s">
        <v>1530</v>
      </c>
      <c r="V632" s="49"/>
      <c r="W632" s="49"/>
      <c r="X632" s="53">
        <v>62</v>
      </c>
      <c r="Y632" s="53">
        <v>234</v>
      </c>
      <c r="Z632" s="53" t="s">
        <v>1535</v>
      </c>
      <c r="AA632" s="53"/>
      <c r="AB632" s="53"/>
      <c r="AC632" s="53"/>
      <c r="AD632" s="53"/>
      <c r="AE632" s="53"/>
      <c r="AF632" s="53"/>
      <c r="AG632" s="53"/>
      <c r="AH632" s="53"/>
      <c r="AI632" s="53"/>
      <c r="AJ632" s="53"/>
      <c r="AK632" s="53"/>
      <c r="AL632" s="53"/>
      <c r="AM632" s="53"/>
    </row>
    <row r="633" spans="1:39" ht="13" x14ac:dyDescent="0.15">
      <c r="A633" s="43"/>
      <c r="B633" s="43" t="s">
        <v>1955</v>
      </c>
      <c r="C633" s="43" t="s">
        <v>1956</v>
      </c>
      <c r="D633" s="43" t="s">
        <v>1957</v>
      </c>
      <c r="E633" s="43">
        <v>61</v>
      </c>
      <c r="F633" s="43"/>
      <c r="G633" s="43"/>
      <c r="H633" s="43"/>
      <c r="I633" s="43"/>
      <c r="J633" s="43"/>
      <c r="K633" s="43"/>
      <c r="L633" s="43"/>
      <c r="M633" s="43"/>
      <c r="N633" s="43"/>
      <c r="O633" s="43"/>
      <c r="P633" s="43"/>
      <c r="Q633" s="43"/>
      <c r="R633" s="43">
        <v>0</v>
      </c>
      <c r="S633" s="43">
        <v>544</v>
      </c>
      <c r="T633" s="43" t="s">
        <v>1505</v>
      </c>
      <c r="U633" s="43"/>
      <c r="V633" s="49"/>
      <c r="W633" s="49"/>
      <c r="X633" s="53"/>
      <c r="Y633" s="53"/>
      <c r="Z633" s="53"/>
      <c r="AA633" s="53"/>
      <c r="AB633" s="53"/>
      <c r="AC633" s="53"/>
      <c r="AD633" s="53"/>
      <c r="AE633" s="53"/>
      <c r="AF633" s="53"/>
      <c r="AG633" s="53"/>
      <c r="AH633" s="53"/>
      <c r="AI633" s="53"/>
      <c r="AJ633" s="53"/>
      <c r="AK633" s="53"/>
      <c r="AL633" s="53"/>
      <c r="AM633" s="53"/>
    </row>
    <row r="634" spans="1:39" ht="13" x14ac:dyDescent="0.15">
      <c r="A634" s="43"/>
      <c r="B634" s="43" t="s">
        <v>1958</v>
      </c>
      <c r="C634" s="43" t="s">
        <v>1959</v>
      </c>
      <c r="D634" s="43" t="s">
        <v>1957</v>
      </c>
      <c r="E634" s="43">
        <v>67</v>
      </c>
      <c r="F634" s="43"/>
      <c r="G634" s="43"/>
      <c r="H634" s="43"/>
      <c r="I634" s="43"/>
      <c r="J634" s="43"/>
      <c r="K634" s="43"/>
      <c r="L634" s="43"/>
      <c r="M634" s="43"/>
      <c r="N634" s="43"/>
      <c r="O634" s="43"/>
      <c r="P634" s="43"/>
      <c r="Q634" s="43"/>
      <c r="R634" s="43">
        <v>1</v>
      </c>
      <c r="S634" s="43">
        <v>880</v>
      </c>
      <c r="T634" s="43" t="s">
        <v>1505</v>
      </c>
      <c r="U634" s="43"/>
      <c r="V634" s="49"/>
      <c r="W634" s="49"/>
      <c r="X634" s="53"/>
      <c r="Y634" s="53"/>
      <c r="Z634" s="53"/>
      <c r="AA634" s="53"/>
      <c r="AB634" s="53"/>
      <c r="AC634" s="53"/>
      <c r="AD634" s="53"/>
      <c r="AE634" s="53"/>
      <c r="AF634" s="53"/>
      <c r="AG634" s="53"/>
      <c r="AH634" s="53"/>
      <c r="AI634" s="53"/>
      <c r="AJ634" s="53"/>
      <c r="AK634" s="53"/>
      <c r="AL634" s="53"/>
      <c r="AM634" s="53"/>
    </row>
    <row r="635" spans="1:39" ht="13" x14ac:dyDescent="0.15">
      <c r="A635" s="43"/>
      <c r="B635" s="43" t="s">
        <v>1960</v>
      </c>
      <c r="C635" s="43" t="s">
        <v>1961</v>
      </c>
      <c r="D635" s="43" t="s">
        <v>1957</v>
      </c>
      <c r="E635" s="43">
        <v>61</v>
      </c>
      <c r="F635" s="43"/>
      <c r="G635" s="43"/>
      <c r="H635" s="43"/>
      <c r="I635" s="43"/>
      <c r="J635" s="43"/>
      <c r="K635" s="43"/>
      <c r="L635" s="43"/>
      <c r="M635" s="43"/>
      <c r="N635" s="43"/>
      <c r="O635" s="43"/>
      <c r="P635" s="43"/>
      <c r="Q635" s="43"/>
      <c r="R635" s="43">
        <v>0</v>
      </c>
      <c r="S635" s="43">
        <v>300</v>
      </c>
      <c r="T635" s="43" t="s">
        <v>1509</v>
      </c>
      <c r="U635" s="43"/>
      <c r="V635" s="49"/>
      <c r="W635" s="49"/>
      <c r="X635" s="53"/>
      <c r="Y635" s="53"/>
      <c r="Z635" s="53"/>
      <c r="AA635" s="53"/>
      <c r="AB635" s="53"/>
      <c r="AC635" s="53"/>
      <c r="AD635" s="53"/>
      <c r="AE635" s="53"/>
      <c r="AF635" s="53"/>
      <c r="AG635" s="53"/>
      <c r="AH635" s="53"/>
      <c r="AI635" s="53"/>
      <c r="AJ635" s="53"/>
      <c r="AK635" s="53"/>
      <c r="AL635" s="53"/>
      <c r="AM635" s="53"/>
    </row>
    <row r="636" spans="1:39" ht="13" x14ac:dyDescent="0.15">
      <c r="A636" s="43"/>
      <c r="B636" s="43" t="s">
        <v>1962</v>
      </c>
      <c r="C636" s="43" t="s">
        <v>1963</v>
      </c>
      <c r="D636" s="43" t="s">
        <v>1957</v>
      </c>
      <c r="E636" s="43">
        <v>60</v>
      </c>
      <c r="F636" s="43"/>
      <c r="G636" s="43"/>
      <c r="H636" s="43"/>
      <c r="I636" s="43"/>
      <c r="J636" s="43"/>
      <c r="K636" s="43"/>
      <c r="L636" s="43"/>
      <c r="M636" s="43"/>
      <c r="N636" s="43"/>
      <c r="O636" s="43"/>
      <c r="P636" s="43"/>
      <c r="Q636" s="43"/>
      <c r="R636" s="43">
        <v>1</v>
      </c>
      <c r="S636" s="43">
        <v>437</v>
      </c>
      <c r="T636" s="43" t="s">
        <v>1505</v>
      </c>
      <c r="U636" s="43"/>
      <c r="V636" s="49"/>
      <c r="W636" s="49"/>
      <c r="X636" s="53"/>
      <c r="Y636" s="53"/>
      <c r="Z636" s="53"/>
      <c r="AA636" s="53"/>
      <c r="AB636" s="53"/>
      <c r="AC636" s="53"/>
      <c r="AD636" s="53"/>
      <c r="AE636" s="53"/>
      <c r="AF636" s="53"/>
      <c r="AG636" s="53"/>
      <c r="AH636" s="53"/>
      <c r="AI636" s="53"/>
      <c r="AJ636" s="53"/>
      <c r="AK636" s="53"/>
      <c r="AL636" s="53"/>
      <c r="AM636" s="53"/>
    </row>
    <row r="637" spans="1:39" ht="13" x14ac:dyDescent="0.15">
      <c r="V637" s="49"/>
      <c r="W637" s="49"/>
    </row>
    <row r="638" spans="1:39" ht="13" x14ac:dyDescent="0.15">
      <c r="V638" s="49"/>
      <c r="W638" s="49"/>
    </row>
    <row r="639" spans="1:39" ht="13" x14ac:dyDescent="0.15">
      <c r="V639" s="49"/>
      <c r="W639" s="49"/>
    </row>
    <row r="640" spans="1:39" ht="13" x14ac:dyDescent="0.15">
      <c r="V640" s="49"/>
      <c r="W640" s="49"/>
    </row>
    <row r="641" spans="22:23" ht="13" x14ac:dyDescent="0.15">
      <c r="V641" s="49"/>
      <c r="W641" s="49"/>
    </row>
    <row r="642" spans="22:23" ht="13" x14ac:dyDescent="0.15">
      <c r="V642" s="49"/>
      <c r="W642" s="49"/>
    </row>
    <row r="643" spans="22:23" ht="13" x14ac:dyDescent="0.15">
      <c r="V643" s="49"/>
      <c r="W643" s="49"/>
    </row>
    <row r="644" spans="22:23" ht="13" x14ac:dyDescent="0.15">
      <c r="V644" s="49"/>
      <c r="W644" s="49"/>
    </row>
    <row r="645" spans="22:23" ht="13" x14ac:dyDescent="0.15">
      <c r="V645" s="49"/>
      <c r="W645" s="49"/>
    </row>
    <row r="646" spans="22:23" ht="13" x14ac:dyDescent="0.15">
      <c r="V646" s="49"/>
      <c r="W646" s="49"/>
    </row>
    <row r="647" spans="22:23" ht="13" x14ac:dyDescent="0.15">
      <c r="V647" s="49"/>
      <c r="W647" s="49"/>
    </row>
    <row r="648" spans="22:23" ht="13" x14ac:dyDescent="0.15">
      <c r="V648" s="49"/>
      <c r="W648" s="49"/>
    </row>
    <row r="649" spans="22:23" ht="13" x14ac:dyDescent="0.15">
      <c r="V649" s="49"/>
      <c r="W649" s="49"/>
    </row>
    <row r="650" spans="22:23" ht="13" x14ac:dyDescent="0.15">
      <c r="V650" s="49"/>
      <c r="W650" s="49"/>
    </row>
    <row r="651" spans="22:23" ht="13" x14ac:dyDescent="0.15">
      <c r="V651" s="49"/>
      <c r="W651" s="49"/>
    </row>
    <row r="652" spans="22:23" ht="13" x14ac:dyDescent="0.15">
      <c r="V652" s="49"/>
      <c r="W652" s="49"/>
    </row>
    <row r="653" spans="22:23" ht="13" x14ac:dyDescent="0.15">
      <c r="V653" s="49"/>
      <c r="W653" s="49"/>
    </row>
    <row r="654" spans="22:23" ht="13" x14ac:dyDescent="0.15">
      <c r="V654" s="49"/>
      <c r="W654" s="49"/>
    </row>
    <row r="655" spans="22:23" ht="13" x14ac:dyDescent="0.15">
      <c r="V655" s="49"/>
      <c r="W655" s="49"/>
    </row>
    <row r="656" spans="22:23" ht="13" x14ac:dyDescent="0.15">
      <c r="V656" s="49"/>
      <c r="W656" s="49"/>
    </row>
    <row r="657" spans="22:23" ht="13" x14ac:dyDescent="0.15">
      <c r="V657" s="49"/>
      <c r="W657" s="49"/>
    </row>
    <row r="658" spans="22:23" ht="13" x14ac:dyDescent="0.15">
      <c r="V658" s="49"/>
      <c r="W658" s="49"/>
    </row>
    <row r="659" spans="22:23" ht="13" x14ac:dyDescent="0.15">
      <c r="V659" s="49"/>
      <c r="W659" s="49"/>
    </row>
    <row r="660" spans="22:23" ht="13" x14ac:dyDescent="0.15">
      <c r="V660" s="49"/>
      <c r="W660" s="49"/>
    </row>
    <row r="661" spans="22:23" ht="13" x14ac:dyDescent="0.15">
      <c r="V661" s="49"/>
      <c r="W661" s="49"/>
    </row>
    <row r="662" spans="22:23" ht="13" x14ac:dyDescent="0.15">
      <c r="V662" s="49"/>
      <c r="W662" s="49"/>
    </row>
    <row r="663" spans="22:23" ht="13" x14ac:dyDescent="0.15">
      <c r="V663" s="49"/>
      <c r="W663" s="49"/>
    </row>
    <row r="664" spans="22:23" ht="13" x14ac:dyDescent="0.15">
      <c r="V664" s="49"/>
      <c r="W664" s="49"/>
    </row>
    <row r="665" spans="22:23" ht="13" x14ac:dyDescent="0.15">
      <c r="V665" s="49"/>
      <c r="W665" s="49"/>
    </row>
    <row r="666" spans="22:23" ht="13" x14ac:dyDescent="0.15">
      <c r="V666" s="49"/>
      <c r="W666" s="49"/>
    </row>
    <row r="667" spans="22:23" ht="13" x14ac:dyDescent="0.15">
      <c r="V667" s="49"/>
      <c r="W667" s="49"/>
    </row>
    <row r="668" spans="22:23" ht="13" x14ac:dyDescent="0.15">
      <c r="V668" s="49"/>
      <c r="W668" s="49"/>
    </row>
    <row r="669" spans="22:23" ht="13" x14ac:dyDescent="0.15">
      <c r="V669" s="49"/>
      <c r="W669" s="49"/>
    </row>
    <row r="670" spans="22:23" ht="13" x14ac:dyDescent="0.15">
      <c r="V670" s="49"/>
      <c r="W670" s="49"/>
    </row>
    <row r="671" spans="22:23" ht="13" x14ac:dyDescent="0.15">
      <c r="V671" s="49"/>
      <c r="W671" s="49"/>
    </row>
    <row r="672" spans="22:23" ht="13" x14ac:dyDescent="0.15">
      <c r="V672" s="49"/>
      <c r="W672" s="49"/>
    </row>
    <row r="673" spans="22:23" ht="13" x14ac:dyDescent="0.15">
      <c r="V673" s="49"/>
      <c r="W673" s="49"/>
    </row>
    <row r="674" spans="22:23" ht="13" x14ac:dyDescent="0.15">
      <c r="V674" s="49"/>
      <c r="W674" s="49"/>
    </row>
    <row r="675" spans="22:23" ht="13" x14ac:dyDescent="0.15">
      <c r="V675" s="49"/>
      <c r="W675" s="49"/>
    </row>
    <row r="676" spans="22:23" ht="13" x14ac:dyDescent="0.15">
      <c r="V676" s="49"/>
      <c r="W676" s="49"/>
    </row>
    <row r="677" spans="22:23" ht="13" x14ac:dyDescent="0.15">
      <c r="V677" s="49"/>
      <c r="W677" s="49"/>
    </row>
    <row r="678" spans="22:23" ht="13" x14ac:dyDescent="0.15">
      <c r="V678" s="49"/>
      <c r="W678" s="49"/>
    </row>
    <row r="679" spans="22:23" ht="13" x14ac:dyDescent="0.15">
      <c r="V679" s="49"/>
      <c r="W679" s="49"/>
    </row>
    <row r="680" spans="22:23" ht="13" x14ac:dyDescent="0.15">
      <c r="V680" s="49"/>
      <c r="W680" s="49"/>
    </row>
    <row r="681" spans="22:23" ht="13" x14ac:dyDescent="0.15">
      <c r="V681" s="49"/>
      <c r="W681" s="49"/>
    </row>
    <row r="682" spans="22:23" ht="13" x14ac:dyDescent="0.15">
      <c r="V682" s="49"/>
      <c r="W682" s="49"/>
    </row>
    <row r="683" spans="22:23" ht="13" x14ac:dyDescent="0.15">
      <c r="V683" s="49"/>
      <c r="W683" s="49"/>
    </row>
    <row r="684" spans="22:23" ht="13" x14ac:dyDescent="0.15">
      <c r="V684" s="49"/>
      <c r="W684" s="49"/>
    </row>
    <row r="685" spans="22:23" ht="13" x14ac:dyDescent="0.15">
      <c r="V685" s="49"/>
      <c r="W685" s="49"/>
    </row>
    <row r="686" spans="22:23" ht="13" x14ac:dyDescent="0.15">
      <c r="V686" s="49"/>
      <c r="W686" s="49"/>
    </row>
    <row r="687" spans="22:23" ht="13" x14ac:dyDescent="0.15">
      <c r="V687" s="49"/>
      <c r="W687" s="49"/>
    </row>
    <row r="688" spans="22:23" ht="13" x14ac:dyDescent="0.15">
      <c r="V688" s="49"/>
      <c r="W688" s="49"/>
    </row>
    <row r="689" spans="22:23" ht="13" x14ac:dyDescent="0.15">
      <c r="V689" s="49"/>
      <c r="W689" s="49"/>
    </row>
    <row r="690" spans="22:23" ht="13" x14ac:dyDescent="0.15">
      <c r="V690" s="49"/>
      <c r="W690" s="49"/>
    </row>
    <row r="691" spans="22:23" ht="13" x14ac:dyDescent="0.15">
      <c r="V691" s="49"/>
      <c r="W691" s="49"/>
    </row>
    <row r="692" spans="22:23" ht="13" x14ac:dyDescent="0.15">
      <c r="V692" s="49"/>
      <c r="W692" s="49"/>
    </row>
    <row r="693" spans="22:23" ht="13" x14ac:dyDescent="0.15">
      <c r="V693" s="49"/>
      <c r="W693" s="49"/>
    </row>
    <row r="694" spans="22:23" ht="13" x14ac:dyDescent="0.15">
      <c r="V694" s="49"/>
      <c r="W694" s="49"/>
    </row>
    <row r="695" spans="22:23" ht="13" x14ac:dyDescent="0.15">
      <c r="V695" s="49"/>
      <c r="W695" s="49"/>
    </row>
    <row r="696" spans="22:23" ht="13" x14ac:dyDescent="0.15">
      <c r="V696" s="49"/>
      <c r="W696" s="49"/>
    </row>
    <row r="697" spans="22:23" ht="13" x14ac:dyDescent="0.15">
      <c r="V697" s="49"/>
      <c r="W697" s="49"/>
    </row>
    <row r="698" spans="22:23" ht="13" x14ac:dyDescent="0.15">
      <c r="V698" s="49"/>
      <c r="W698" s="49"/>
    </row>
    <row r="699" spans="22:23" ht="13" x14ac:dyDescent="0.15">
      <c r="V699" s="49"/>
      <c r="W699" s="49"/>
    </row>
    <row r="700" spans="22:23" ht="13" x14ac:dyDescent="0.15">
      <c r="V700" s="49"/>
      <c r="W700" s="49"/>
    </row>
    <row r="701" spans="22:23" ht="13" x14ac:dyDescent="0.15">
      <c r="V701" s="49"/>
      <c r="W701" s="49"/>
    </row>
    <row r="702" spans="22:23" ht="13" x14ac:dyDescent="0.15">
      <c r="V702" s="49"/>
      <c r="W702" s="49"/>
    </row>
    <row r="703" spans="22:23" ht="13" x14ac:dyDescent="0.15">
      <c r="V703" s="49"/>
      <c r="W703" s="49"/>
    </row>
    <row r="704" spans="22:23" ht="13" x14ac:dyDescent="0.15">
      <c r="V704" s="49"/>
      <c r="W704" s="49"/>
    </row>
    <row r="705" spans="22:23" ht="13" x14ac:dyDescent="0.15">
      <c r="V705" s="49"/>
      <c r="W705" s="49"/>
    </row>
    <row r="706" spans="22:23" ht="13" x14ac:dyDescent="0.15">
      <c r="V706" s="49"/>
      <c r="W706" s="49"/>
    </row>
    <row r="707" spans="22:23" ht="13" x14ac:dyDescent="0.15">
      <c r="V707" s="49"/>
      <c r="W707" s="49"/>
    </row>
    <row r="708" spans="22:23" ht="13" x14ac:dyDescent="0.15">
      <c r="V708" s="49"/>
      <c r="W708" s="49"/>
    </row>
    <row r="709" spans="22:23" ht="13" x14ac:dyDescent="0.15">
      <c r="V709" s="49"/>
      <c r="W709" s="49"/>
    </row>
    <row r="710" spans="22:23" ht="13" x14ac:dyDescent="0.15">
      <c r="V710" s="49"/>
      <c r="W710" s="49"/>
    </row>
    <row r="711" spans="22:23" ht="13" x14ac:dyDescent="0.15">
      <c r="V711" s="49"/>
      <c r="W711" s="49"/>
    </row>
    <row r="712" spans="22:23" ht="13" x14ac:dyDescent="0.15">
      <c r="V712" s="49"/>
      <c r="W712" s="49"/>
    </row>
    <row r="713" spans="22:23" ht="13" x14ac:dyDescent="0.15">
      <c r="V713" s="49"/>
      <c r="W713" s="49"/>
    </row>
    <row r="714" spans="22:23" ht="13" x14ac:dyDescent="0.15">
      <c r="V714" s="49"/>
      <c r="W714" s="49"/>
    </row>
    <row r="715" spans="22:23" ht="13" x14ac:dyDescent="0.15">
      <c r="V715" s="49"/>
      <c r="W715" s="49"/>
    </row>
    <row r="716" spans="22:23" ht="13" x14ac:dyDescent="0.15">
      <c r="V716" s="49"/>
      <c r="W716" s="49"/>
    </row>
    <row r="717" spans="22:23" ht="13" x14ac:dyDescent="0.15">
      <c r="V717" s="49"/>
      <c r="W717" s="49"/>
    </row>
    <row r="718" spans="22:23" ht="13" x14ac:dyDescent="0.15">
      <c r="V718" s="49"/>
      <c r="W718" s="49"/>
    </row>
    <row r="719" spans="22:23" ht="13" x14ac:dyDescent="0.15">
      <c r="V719" s="49"/>
      <c r="W719" s="49"/>
    </row>
    <row r="720" spans="22:23" ht="13" x14ac:dyDescent="0.15">
      <c r="V720" s="49"/>
      <c r="W720" s="49"/>
    </row>
    <row r="721" spans="22:23" ht="13" x14ac:dyDescent="0.15">
      <c r="V721" s="49"/>
      <c r="W721" s="49"/>
    </row>
    <row r="722" spans="22:23" ht="13" x14ac:dyDescent="0.15">
      <c r="V722" s="49"/>
      <c r="W722" s="49"/>
    </row>
    <row r="723" spans="22:23" ht="13" x14ac:dyDescent="0.15">
      <c r="V723" s="49"/>
      <c r="W723" s="49"/>
    </row>
    <row r="724" spans="22:23" ht="13" x14ac:dyDescent="0.15">
      <c r="V724" s="49"/>
      <c r="W724" s="49"/>
    </row>
    <row r="725" spans="22:23" ht="13" x14ac:dyDescent="0.15">
      <c r="V725" s="49"/>
      <c r="W725" s="49"/>
    </row>
    <row r="726" spans="22:23" ht="13" x14ac:dyDescent="0.15">
      <c r="V726" s="49"/>
      <c r="W726" s="49"/>
    </row>
    <row r="727" spans="22:23" ht="13" x14ac:dyDescent="0.15">
      <c r="V727" s="49"/>
      <c r="W727" s="49"/>
    </row>
    <row r="728" spans="22:23" ht="13" x14ac:dyDescent="0.15">
      <c r="V728" s="49"/>
      <c r="W728" s="49"/>
    </row>
    <row r="729" spans="22:23" ht="13" x14ac:dyDescent="0.15">
      <c r="V729" s="49"/>
      <c r="W729" s="49"/>
    </row>
    <row r="730" spans="22:23" ht="13" x14ac:dyDescent="0.15">
      <c r="V730" s="49"/>
      <c r="W730" s="49"/>
    </row>
    <row r="731" spans="22:23" ht="13" x14ac:dyDescent="0.15">
      <c r="V731" s="49"/>
      <c r="W731" s="49"/>
    </row>
    <row r="732" spans="22:23" ht="13" x14ac:dyDescent="0.15">
      <c r="V732" s="49"/>
      <c r="W732" s="49"/>
    </row>
    <row r="733" spans="22:23" ht="13" x14ac:dyDescent="0.15">
      <c r="V733" s="49"/>
      <c r="W733" s="49"/>
    </row>
    <row r="734" spans="22:23" ht="13" x14ac:dyDescent="0.15">
      <c r="V734" s="49"/>
      <c r="W734" s="49"/>
    </row>
    <row r="735" spans="22:23" ht="13" x14ac:dyDescent="0.15">
      <c r="V735" s="49"/>
      <c r="W735" s="49"/>
    </row>
    <row r="736" spans="22:23" ht="13" x14ac:dyDescent="0.15">
      <c r="V736" s="49"/>
      <c r="W736" s="49"/>
    </row>
    <row r="737" spans="22:23" ht="13" x14ac:dyDescent="0.15">
      <c r="V737" s="49"/>
      <c r="W737" s="49"/>
    </row>
    <row r="738" spans="22:23" ht="13" x14ac:dyDescent="0.15">
      <c r="V738" s="49"/>
      <c r="W738" s="49"/>
    </row>
    <row r="739" spans="22:23" ht="13" x14ac:dyDescent="0.15">
      <c r="V739" s="49"/>
      <c r="W739" s="49"/>
    </row>
    <row r="740" spans="22:23" ht="13" x14ac:dyDescent="0.15">
      <c r="V740" s="49"/>
      <c r="W740" s="49"/>
    </row>
    <row r="741" spans="22:23" ht="13" x14ac:dyDescent="0.15">
      <c r="V741" s="49"/>
      <c r="W741" s="49"/>
    </row>
    <row r="742" spans="22:23" ht="13" x14ac:dyDescent="0.15">
      <c r="V742" s="49"/>
      <c r="W742" s="49"/>
    </row>
    <row r="743" spans="22:23" ht="13" x14ac:dyDescent="0.15">
      <c r="V743" s="49"/>
      <c r="W743" s="49"/>
    </row>
    <row r="744" spans="22:23" ht="13" x14ac:dyDescent="0.15">
      <c r="V744" s="49"/>
      <c r="W744" s="49"/>
    </row>
    <row r="745" spans="22:23" ht="13" x14ac:dyDescent="0.15">
      <c r="V745" s="49"/>
      <c r="W745" s="49"/>
    </row>
    <row r="746" spans="22:23" ht="13" x14ac:dyDescent="0.15">
      <c r="V746" s="49"/>
      <c r="W746" s="49"/>
    </row>
    <row r="747" spans="22:23" ht="13" x14ac:dyDescent="0.15">
      <c r="V747" s="49"/>
      <c r="W747" s="49"/>
    </row>
    <row r="748" spans="22:23" ht="13" x14ac:dyDescent="0.15">
      <c r="V748" s="49"/>
      <c r="W748" s="49"/>
    </row>
    <row r="749" spans="22:23" ht="13" x14ac:dyDescent="0.15">
      <c r="V749" s="49"/>
      <c r="W749" s="49"/>
    </row>
    <row r="750" spans="22:23" ht="13" x14ac:dyDescent="0.15">
      <c r="V750" s="49"/>
      <c r="W750" s="49"/>
    </row>
    <row r="751" spans="22:23" ht="13" x14ac:dyDescent="0.15">
      <c r="V751" s="49"/>
      <c r="W751" s="49"/>
    </row>
    <row r="752" spans="22:23" ht="13" x14ac:dyDescent="0.15">
      <c r="V752" s="49"/>
      <c r="W752" s="49"/>
    </row>
    <row r="753" spans="22:23" ht="13" x14ac:dyDescent="0.15">
      <c r="V753" s="49"/>
      <c r="W753" s="49"/>
    </row>
    <row r="754" spans="22:23" ht="13" x14ac:dyDescent="0.15">
      <c r="V754" s="49"/>
      <c r="W754" s="49"/>
    </row>
    <row r="755" spans="22:23" ht="13" x14ac:dyDescent="0.15">
      <c r="V755" s="49"/>
      <c r="W755" s="49"/>
    </row>
    <row r="756" spans="22:23" ht="13" x14ac:dyDescent="0.15">
      <c r="V756" s="49"/>
      <c r="W756" s="49"/>
    </row>
    <row r="757" spans="22:23" ht="13" x14ac:dyDescent="0.15">
      <c r="V757" s="49"/>
      <c r="W757" s="49"/>
    </row>
    <row r="758" spans="22:23" ht="13" x14ac:dyDescent="0.15">
      <c r="V758" s="49"/>
      <c r="W758" s="49"/>
    </row>
    <row r="759" spans="22:23" ht="13" x14ac:dyDescent="0.15">
      <c r="V759" s="49"/>
      <c r="W759" s="49"/>
    </row>
    <row r="760" spans="22:23" ht="13" x14ac:dyDescent="0.15">
      <c r="V760" s="49"/>
      <c r="W760" s="49"/>
    </row>
    <row r="761" spans="22:23" ht="13" x14ac:dyDescent="0.15">
      <c r="V761" s="49"/>
      <c r="W761" s="49"/>
    </row>
    <row r="762" spans="22:23" ht="13" x14ac:dyDescent="0.15">
      <c r="V762" s="49"/>
      <c r="W762" s="49"/>
    </row>
    <row r="763" spans="22:23" ht="13" x14ac:dyDescent="0.15">
      <c r="V763" s="49"/>
      <c r="W763" s="49"/>
    </row>
    <row r="764" spans="22:23" ht="13" x14ac:dyDescent="0.15">
      <c r="V764" s="49"/>
      <c r="W764" s="49"/>
    </row>
    <row r="765" spans="22:23" ht="13" x14ac:dyDescent="0.15">
      <c r="V765" s="49"/>
      <c r="W765" s="49"/>
    </row>
    <row r="766" spans="22:23" ht="13" x14ac:dyDescent="0.15">
      <c r="V766" s="49"/>
      <c r="W766" s="49"/>
    </row>
    <row r="767" spans="22:23" ht="13" x14ac:dyDescent="0.15">
      <c r="V767" s="49"/>
      <c r="W767" s="49"/>
    </row>
    <row r="768" spans="22:23" ht="13" x14ac:dyDescent="0.15">
      <c r="V768" s="49"/>
      <c r="W768" s="49"/>
    </row>
    <row r="769" spans="22:23" ht="13" x14ac:dyDescent="0.15">
      <c r="V769" s="49"/>
      <c r="W769" s="49"/>
    </row>
    <row r="770" spans="22:23" ht="13" x14ac:dyDescent="0.15">
      <c r="V770" s="49"/>
      <c r="W770" s="49"/>
    </row>
    <row r="771" spans="22:23" ht="13" x14ac:dyDescent="0.15">
      <c r="V771" s="49"/>
      <c r="W771" s="49"/>
    </row>
    <row r="772" spans="22:23" ht="13" x14ac:dyDescent="0.15">
      <c r="V772" s="49"/>
      <c r="W772" s="49"/>
    </row>
    <row r="773" spans="22:23" ht="13" x14ac:dyDescent="0.15">
      <c r="V773" s="49"/>
      <c r="W773" s="49"/>
    </row>
    <row r="774" spans="22:23" ht="13" x14ac:dyDescent="0.15">
      <c r="V774" s="49"/>
      <c r="W774" s="49"/>
    </row>
    <row r="775" spans="22:23" ht="13" x14ac:dyDescent="0.15">
      <c r="V775" s="49"/>
      <c r="W775" s="49"/>
    </row>
    <row r="776" spans="22:23" ht="13" x14ac:dyDescent="0.15">
      <c r="V776" s="49"/>
      <c r="W776" s="49"/>
    </row>
    <row r="777" spans="22:23" ht="13" x14ac:dyDescent="0.15">
      <c r="V777" s="49"/>
      <c r="W777" s="49"/>
    </row>
    <row r="778" spans="22:23" ht="13" x14ac:dyDescent="0.15">
      <c r="V778" s="49"/>
      <c r="W778" s="49"/>
    </row>
    <row r="779" spans="22:23" ht="13" x14ac:dyDescent="0.15">
      <c r="V779" s="49"/>
      <c r="W779" s="49"/>
    </row>
    <row r="780" spans="22:23" ht="13" x14ac:dyDescent="0.15">
      <c r="V780" s="49"/>
      <c r="W780" s="49"/>
    </row>
    <row r="781" spans="22:23" ht="13" x14ac:dyDescent="0.15">
      <c r="V781" s="49"/>
      <c r="W781" s="49"/>
    </row>
    <row r="782" spans="22:23" ht="13" x14ac:dyDescent="0.15">
      <c r="V782" s="49"/>
      <c r="W782" s="49"/>
    </row>
    <row r="783" spans="22:23" ht="13" x14ac:dyDescent="0.15">
      <c r="V783" s="49"/>
      <c r="W783" s="49"/>
    </row>
    <row r="784" spans="22:23" ht="13" x14ac:dyDescent="0.15">
      <c r="V784" s="49"/>
      <c r="W784" s="49"/>
    </row>
    <row r="785" spans="22:23" ht="13" x14ac:dyDescent="0.15">
      <c r="V785" s="49"/>
      <c r="W785" s="49"/>
    </row>
    <row r="786" spans="22:23" ht="13" x14ac:dyDescent="0.15">
      <c r="V786" s="49"/>
      <c r="W786" s="49"/>
    </row>
    <row r="787" spans="22:23" ht="13" x14ac:dyDescent="0.15">
      <c r="V787" s="49"/>
      <c r="W787" s="49"/>
    </row>
    <row r="788" spans="22:23" ht="13" x14ac:dyDescent="0.15">
      <c r="V788" s="49"/>
      <c r="W788" s="49"/>
    </row>
    <row r="789" spans="22:23" ht="13" x14ac:dyDescent="0.15">
      <c r="V789" s="49"/>
      <c r="W789" s="49"/>
    </row>
    <row r="790" spans="22:23" ht="13" x14ac:dyDescent="0.15">
      <c r="V790" s="49"/>
      <c r="W790" s="49"/>
    </row>
    <row r="791" spans="22:23" ht="13" x14ac:dyDescent="0.15">
      <c r="V791" s="49"/>
      <c r="W791" s="49"/>
    </row>
    <row r="792" spans="22:23" ht="13" x14ac:dyDescent="0.15">
      <c r="V792" s="49"/>
      <c r="W792" s="49"/>
    </row>
    <row r="793" spans="22:23" ht="13" x14ac:dyDescent="0.15">
      <c r="V793" s="49"/>
      <c r="W793" s="49"/>
    </row>
    <row r="794" spans="22:23" ht="13" x14ac:dyDescent="0.15">
      <c r="V794" s="49"/>
      <c r="W794" s="49"/>
    </row>
    <row r="795" spans="22:23" ht="13" x14ac:dyDescent="0.15">
      <c r="V795" s="49"/>
      <c r="W795" s="49"/>
    </row>
    <row r="796" spans="22:23" ht="13" x14ac:dyDescent="0.15">
      <c r="V796" s="49"/>
      <c r="W796" s="49"/>
    </row>
    <row r="797" spans="22:23" ht="13" x14ac:dyDescent="0.15">
      <c r="V797" s="49"/>
      <c r="W797" s="49"/>
    </row>
    <row r="798" spans="22:23" ht="13" x14ac:dyDescent="0.15">
      <c r="V798" s="49"/>
      <c r="W798" s="49"/>
    </row>
    <row r="799" spans="22:23" ht="13" x14ac:dyDescent="0.15">
      <c r="V799" s="49"/>
      <c r="W799" s="49"/>
    </row>
    <row r="800" spans="22:23" ht="13" x14ac:dyDescent="0.15">
      <c r="V800" s="49"/>
      <c r="W800" s="49"/>
    </row>
    <row r="801" spans="22:23" ht="13" x14ac:dyDescent="0.15">
      <c r="V801" s="49"/>
      <c r="W801" s="49"/>
    </row>
    <row r="802" spans="22:23" ht="13" x14ac:dyDescent="0.15">
      <c r="V802" s="49"/>
      <c r="W802" s="49"/>
    </row>
    <row r="803" spans="22:23" ht="13" x14ac:dyDescent="0.15">
      <c r="V803" s="49"/>
      <c r="W803" s="49"/>
    </row>
    <row r="804" spans="22:23" ht="13" x14ac:dyDescent="0.15">
      <c r="V804" s="49"/>
      <c r="W804" s="49"/>
    </row>
    <row r="805" spans="22:23" ht="13" x14ac:dyDescent="0.15">
      <c r="V805" s="49"/>
      <c r="W805" s="49"/>
    </row>
    <row r="806" spans="22:23" ht="13" x14ac:dyDescent="0.15">
      <c r="V806" s="49"/>
      <c r="W806" s="49"/>
    </row>
    <row r="807" spans="22:23" ht="13" x14ac:dyDescent="0.15">
      <c r="V807" s="49"/>
      <c r="W807" s="49"/>
    </row>
    <row r="808" spans="22:23" ht="13" x14ac:dyDescent="0.15">
      <c r="V808" s="49"/>
      <c r="W808" s="49"/>
    </row>
    <row r="809" spans="22:23" ht="13" x14ac:dyDescent="0.15">
      <c r="V809" s="49"/>
      <c r="W809" s="49"/>
    </row>
    <row r="810" spans="22:23" ht="13" x14ac:dyDescent="0.15">
      <c r="V810" s="49"/>
      <c r="W810" s="49"/>
    </row>
    <row r="811" spans="22:23" ht="13" x14ac:dyDescent="0.15">
      <c r="V811" s="49"/>
      <c r="W811" s="49"/>
    </row>
    <row r="812" spans="22:23" ht="13" x14ac:dyDescent="0.15">
      <c r="V812" s="49"/>
      <c r="W812" s="49"/>
    </row>
    <row r="813" spans="22:23" ht="13" x14ac:dyDescent="0.15">
      <c r="V813" s="49"/>
      <c r="W813" s="49"/>
    </row>
    <row r="814" spans="22:23" ht="13" x14ac:dyDescent="0.15">
      <c r="V814" s="49"/>
      <c r="W814" s="49"/>
    </row>
    <row r="815" spans="22:23" ht="13" x14ac:dyDescent="0.15">
      <c r="V815" s="49"/>
      <c r="W815" s="49"/>
    </row>
    <row r="816" spans="22:23" ht="13" x14ac:dyDescent="0.15">
      <c r="V816" s="49"/>
      <c r="W816" s="49"/>
    </row>
    <row r="817" spans="22:23" ht="13" x14ac:dyDescent="0.15">
      <c r="V817" s="49"/>
      <c r="W817" s="49"/>
    </row>
    <row r="818" spans="22:23" ht="13" x14ac:dyDescent="0.15">
      <c r="V818" s="49"/>
      <c r="W818" s="49"/>
    </row>
    <row r="819" spans="22:23" ht="13" x14ac:dyDescent="0.15">
      <c r="V819" s="49"/>
      <c r="W819" s="49"/>
    </row>
    <row r="820" spans="22:23" ht="13" x14ac:dyDescent="0.15">
      <c r="V820" s="49"/>
      <c r="W820" s="49"/>
    </row>
    <row r="821" spans="22:23" ht="13" x14ac:dyDescent="0.15">
      <c r="V821" s="49"/>
      <c r="W821" s="49"/>
    </row>
    <row r="822" spans="22:23" ht="13" x14ac:dyDescent="0.15">
      <c r="V822" s="49"/>
      <c r="W822" s="49"/>
    </row>
    <row r="823" spans="22:23" ht="13" x14ac:dyDescent="0.15">
      <c r="V823" s="49"/>
      <c r="W823" s="49"/>
    </row>
    <row r="824" spans="22:23" ht="13" x14ac:dyDescent="0.15">
      <c r="V824" s="49"/>
      <c r="W824" s="49"/>
    </row>
    <row r="825" spans="22:23" ht="13" x14ac:dyDescent="0.15">
      <c r="V825" s="49"/>
      <c r="W825" s="49"/>
    </row>
    <row r="826" spans="22:23" ht="13" x14ac:dyDescent="0.15">
      <c r="V826" s="49"/>
      <c r="W826" s="49"/>
    </row>
    <row r="827" spans="22:23" ht="13" x14ac:dyDescent="0.15">
      <c r="V827" s="49"/>
      <c r="W827" s="49"/>
    </row>
    <row r="828" spans="22:23" ht="13" x14ac:dyDescent="0.15">
      <c r="V828" s="49"/>
      <c r="W828" s="49"/>
    </row>
    <row r="829" spans="22:23" ht="13" x14ac:dyDescent="0.15">
      <c r="V829" s="49"/>
      <c r="W829" s="49"/>
    </row>
    <row r="830" spans="22:23" ht="13" x14ac:dyDescent="0.15">
      <c r="V830" s="49"/>
      <c r="W830" s="49"/>
    </row>
    <row r="831" spans="22:23" ht="13" x14ac:dyDescent="0.15">
      <c r="V831" s="49"/>
      <c r="W831" s="49"/>
    </row>
    <row r="832" spans="22:23" ht="13" x14ac:dyDescent="0.15">
      <c r="V832" s="49"/>
      <c r="W832" s="49"/>
    </row>
    <row r="833" spans="22:23" ht="13" x14ac:dyDescent="0.15">
      <c r="V833" s="49"/>
      <c r="W833" s="49"/>
    </row>
    <row r="834" spans="22:23" ht="13" x14ac:dyDescent="0.15">
      <c r="V834" s="49"/>
      <c r="W834" s="49"/>
    </row>
    <row r="835" spans="22:23" ht="13" x14ac:dyDescent="0.15">
      <c r="V835" s="49"/>
      <c r="W835" s="49"/>
    </row>
    <row r="836" spans="22:23" ht="13" x14ac:dyDescent="0.15">
      <c r="V836" s="49"/>
      <c r="W836" s="49"/>
    </row>
    <row r="837" spans="22:23" ht="13" x14ac:dyDescent="0.15">
      <c r="V837" s="49"/>
      <c r="W837" s="49"/>
    </row>
    <row r="838" spans="22:23" ht="13" x14ac:dyDescent="0.15">
      <c r="V838" s="49"/>
      <c r="W838" s="49"/>
    </row>
    <row r="839" spans="22:23" ht="13" x14ac:dyDescent="0.15">
      <c r="V839" s="49"/>
      <c r="W839" s="49"/>
    </row>
    <row r="840" spans="22:23" ht="13" x14ac:dyDescent="0.15">
      <c r="V840" s="49"/>
      <c r="W840" s="49"/>
    </row>
    <row r="841" spans="22:23" ht="13" x14ac:dyDescent="0.15">
      <c r="V841" s="49"/>
      <c r="W841" s="49"/>
    </row>
    <row r="842" spans="22:23" ht="13" x14ac:dyDescent="0.15">
      <c r="V842" s="49"/>
      <c r="W842" s="49"/>
    </row>
    <row r="843" spans="22:23" ht="13" x14ac:dyDescent="0.15">
      <c r="V843" s="49"/>
      <c r="W843" s="49"/>
    </row>
    <row r="844" spans="22:23" ht="13" x14ac:dyDescent="0.15">
      <c r="V844" s="49"/>
      <c r="W844" s="49"/>
    </row>
    <row r="845" spans="22:23" ht="13" x14ac:dyDescent="0.15">
      <c r="V845" s="49"/>
      <c r="W845" s="49"/>
    </row>
    <row r="846" spans="22:23" ht="13" x14ac:dyDescent="0.15">
      <c r="V846" s="49"/>
      <c r="W846" s="49"/>
    </row>
    <row r="847" spans="22:23" ht="13" x14ac:dyDescent="0.15">
      <c r="V847" s="49"/>
      <c r="W847" s="49"/>
    </row>
    <row r="848" spans="22:23" ht="13" x14ac:dyDescent="0.15">
      <c r="V848" s="49"/>
      <c r="W848" s="49"/>
    </row>
    <row r="849" spans="22:23" ht="13" x14ac:dyDescent="0.15">
      <c r="V849" s="49"/>
      <c r="W849" s="49"/>
    </row>
    <row r="850" spans="22:23" ht="13" x14ac:dyDescent="0.15">
      <c r="V850" s="49"/>
      <c r="W850" s="49"/>
    </row>
    <row r="851" spans="22:23" ht="13" x14ac:dyDescent="0.15">
      <c r="V851" s="49"/>
      <c r="W851" s="49"/>
    </row>
    <row r="852" spans="22:23" ht="13" x14ac:dyDescent="0.15">
      <c r="V852" s="49"/>
      <c r="W852" s="49"/>
    </row>
    <row r="853" spans="22:23" ht="13" x14ac:dyDescent="0.15">
      <c r="V853" s="49"/>
      <c r="W853" s="49"/>
    </row>
    <row r="854" spans="22:23" ht="13" x14ac:dyDescent="0.15">
      <c r="V854" s="49"/>
      <c r="W854" s="49"/>
    </row>
    <row r="855" spans="22:23" ht="13" x14ac:dyDescent="0.15">
      <c r="V855" s="49"/>
      <c r="W855" s="49"/>
    </row>
    <row r="856" spans="22:23" ht="13" x14ac:dyDescent="0.15">
      <c r="V856" s="49"/>
      <c r="W856" s="49"/>
    </row>
    <row r="857" spans="22:23" ht="13" x14ac:dyDescent="0.15">
      <c r="V857" s="49"/>
      <c r="W857" s="49"/>
    </row>
    <row r="858" spans="22:23" ht="13" x14ac:dyDescent="0.15">
      <c r="V858" s="49"/>
      <c r="W858" s="49"/>
    </row>
    <row r="859" spans="22:23" ht="13" x14ac:dyDescent="0.15">
      <c r="V859" s="49"/>
      <c r="W859" s="49"/>
    </row>
    <row r="860" spans="22:23" ht="13" x14ac:dyDescent="0.15">
      <c r="V860" s="49"/>
      <c r="W860" s="49"/>
    </row>
    <row r="861" spans="22:23" ht="13" x14ac:dyDescent="0.15">
      <c r="V861" s="49"/>
      <c r="W861" s="49"/>
    </row>
    <row r="862" spans="22:23" ht="13" x14ac:dyDescent="0.15">
      <c r="V862" s="49"/>
      <c r="W862" s="49"/>
    </row>
    <row r="863" spans="22:23" ht="13" x14ac:dyDescent="0.15">
      <c r="V863" s="49"/>
      <c r="W863" s="49"/>
    </row>
    <row r="864" spans="22:23" ht="13" x14ac:dyDescent="0.15">
      <c r="V864" s="49"/>
      <c r="W864" s="49"/>
    </row>
    <row r="865" spans="22:23" ht="13" x14ac:dyDescent="0.15">
      <c r="V865" s="49"/>
      <c r="W865" s="49"/>
    </row>
    <row r="866" spans="22:23" ht="13" x14ac:dyDescent="0.15">
      <c r="V866" s="49"/>
      <c r="W866" s="49"/>
    </row>
    <row r="867" spans="22:23" ht="13" x14ac:dyDescent="0.15">
      <c r="V867" s="49"/>
      <c r="W867" s="49"/>
    </row>
    <row r="868" spans="22:23" ht="13" x14ac:dyDescent="0.15">
      <c r="V868" s="49"/>
      <c r="W868" s="49"/>
    </row>
    <row r="869" spans="22:23" ht="13" x14ac:dyDescent="0.15">
      <c r="V869" s="49"/>
      <c r="W869" s="49"/>
    </row>
    <row r="870" spans="22:23" ht="13" x14ac:dyDescent="0.15">
      <c r="V870" s="49"/>
      <c r="W870" s="49"/>
    </row>
    <row r="871" spans="22:23" ht="13" x14ac:dyDescent="0.15">
      <c r="V871" s="49"/>
      <c r="W871" s="49"/>
    </row>
    <row r="872" spans="22:23" ht="13" x14ac:dyDescent="0.15">
      <c r="V872" s="49"/>
      <c r="W872" s="49"/>
    </row>
    <row r="873" spans="22:23" ht="13" x14ac:dyDescent="0.15">
      <c r="V873" s="49"/>
      <c r="W873" s="49"/>
    </row>
    <row r="874" spans="22:23" ht="13" x14ac:dyDescent="0.15">
      <c r="V874" s="49"/>
      <c r="W874" s="49"/>
    </row>
    <row r="875" spans="22:23" ht="13" x14ac:dyDescent="0.15">
      <c r="V875" s="49"/>
      <c r="W875" s="49"/>
    </row>
    <row r="876" spans="22:23" ht="13" x14ac:dyDescent="0.15">
      <c r="V876" s="49"/>
      <c r="W876" s="49"/>
    </row>
    <row r="877" spans="22:23" ht="13" x14ac:dyDescent="0.15">
      <c r="V877" s="49"/>
      <c r="W877" s="49"/>
    </row>
    <row r="878" spans="22:23" ht="13" x14ac:dyDescent="0.15">
      <c r="V878" s="49"/>
      <c r="W878" s="49"/>
    </row>
    <row r="879" spans="22:23" ht="13" x14ac:dyDescent="0.15">
      <c r="V879" s="49"/>
      <c r="W879" s="49"/>
    </row>
    <row r="880" spans="22:23" ht="13" x14ac:dyDescent="0.15">
      <c r="V880" s="49"/>
      <c r="W880" s="49"/>
    </row>
    <row r="881" spans="22:23" ht="13" x14ac:dyDescent="0.15">
      <c r="V881" s="49"/>
      <c r="W881" s="49"/>
    </row>
    <row r="882" spans="22:23" ht="13" x14ac:dyDescent="0.15">
      <c r="V882" s="49"/>
      <c r="W882" s="49"/>
    </row>
    <row r="883" spans="22:23" ht="13" x14ac:dyDescent="0.15">
      <c r="V883" s="49"/>
      <c r="W883" s="49"/>
    </row>
    <row r="884" spans="22:23" ht="13" x14ac:dyDescent="0.15">
      <c r="V884" s="49"/>
      <c r="W884" s="49"/>
    </row>
    <row r="885" spans="22:23" ht="13" x14ac:dyDescent="0.15">
      <c r="V885" s="49"/>
      <c r="W885" s="49"/>
    </row>
    <row r="886" spans="22:23" ht="13" x14ac:dyDescent="0.15">
      <c r="V886" s="49"/>
      <c r="W886" s="49"/>
    </row>
    <row r="887" spans="22:23" ht="13" x14ac:dyDescent="0.15">
      <c r="V887" s="49"/>
      <c r="W887" s="49"/>
    </row>
    <row r="888" spans="22:23" ht="13" x14ac:dyDescent="0.15">
      <c r="V888" s="49"/>
      <c r="W888" s="49"/>
    </row>
    <row r="889" spans="22:23" ht="13" x14ac:dyDescent="0.15">
      <c r="V889" s="49"/>
      <c r="W889" s="49"/>
    </row>
    <row r="890" spans="22:23" ht="13" x14ac:dyDescent="0.15">
      <c r="V890" s="49"/>
      <c r="W890" s="49"/>
    </row>
    <row r="891" spans="22:23" ht="13" x14ac:dyDescent="0.15">
      <c r="V891" s="49"/>
      <c r="W891" s="49"/>
    </row>
    <row r="892" spans="22:23" ht="13" x14ac:dyDescent="0.15">
      <c r="V892" s="49"/>
      <c r="W892"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IMAGING-DATA</vt:lpstr>
      <vt:lpstr>Results</vt:lpstr>
      <vt:lpstr>Updated_results</vt:lpstr>
      <vt:lpstr>Results_Kfold</vt:lpstr>
      <vt:lpstr>Sheet9</vt:lpstr>
      <vt:lpstr>IMAGING-DATA(Aggregated_radiomi</vt:lpstr>
      <vt:lpstr>CLINICAL-RAW-DATA-FINAL</vt:lpstr>
      <vt:lpstr>TESTING - CLINICAL-RAW-DATA-FIN</vt:lpstr>
      <vt:lpstr>test</vt:lpstr>
      <vt:lpstr>RAW-UNFILTERED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Dickson T. Chen</cp:lastModifiedBy>
  <dcterms:modified xsi:type="dcterms:W3CDTF">2025-10-27T04:09:19Z</dcterms:modified>
</cp:coreProperties>
</file>